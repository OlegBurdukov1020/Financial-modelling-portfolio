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 Financial Management and Valuation/Interactive part/Unit 3/"/>
    </mc:Choice>
  </mc:AlternateContent>
  <xr:revisionPtr revIDLastSave="0" documentId="13_ncr:1_{705EB497-F511-FE4C-B79F-A61DB92E9681}" xr6:coauthVersionLast="47" xr6:coauthVersionMax="47" xr10:uidLastSave="{00000000-0000-0000-0000-000000000000}"/>
  <bookViews>
    <workbookView xWindow="0" yWindow="720" windowWidth="14580" windowHeight="18400" activeTab="1" xr2:uid="{DD06DFE7-CBC8-2445-AC88-FDD8D01A9FAB}"/>
  </bookViews>
  <sheets>
    <sheet name="M.C.3.1" sheetId="1" r:id="rId1"/>
    <sheet name="M.C.3.2" sheetId="7" r:id="rId2"/>
    <sheet name="M.C.3.3" sheetId="3" r:id="rId3"/>
    <sheet name="M.C.3.4" sheetId="4" r:id="rId4"/>
    <sheet name="M.C.3.5" sheetId="5" r:id="rId5"/>
    <sheet name="M.C.3.6" sheetId="6" r:id="rId6"/>
  </sheets>
  <definedNames>
    <definedName name="ExternalData_1" localSheetId="5" hidden="1">'M.C.3.6'!$A$3:$E$253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7" l="1"/>
  <c r="A16" i="7"/>
  <c r="E6" i="7"/>
  <c r="E5" i="7"/>
  <c r="K4" i="6"/>
  <c r="B28" i="5"/>
  <c r="C8" i="4"/>
  <c r="C9" i="4"/>
  <c r="C10" i="4"/>
  <c r="C11" i="4"/>
  <c r="C12" i="4"/>
  <c r="C13" i="4"/>
  <c r="C14" i="4"/>
  <c r="C15" i="4"/>
  <c r="C16" i="4"/>
  <c r="C17" i="4"/>
  <c r="C18" i="4"/>
  <c r="C19" i="4"/>
  <c r="C20" i="4"/>
  <c r="C21" i="4"/>
  <c r="C22" i="4"/>
  <c r="C23" i="4"/>
  <c r="C24" i="4"/>
  <c r="C25" i="4"/>
  <c r="C7" i="4"/>
  <c r="E10" i="3"/>
  <c r="B10" i="3"/>
  <c r="D27" i="5"/>
  <c r="D12" i="1"/>
  <c r="D14" i="1"/>
  <c r="D11" i="1"/>
  <c r="C7" i="1"/>
  <c r="K18" i="6"/>
  <c r="K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C52" i="7" l="1"/>
  <c r="C54" i="7" s="1"/>
  <c r="C47" i="7"/>
  <c r="C49" i="7" s="1"/>
  <c r="C31" i="7"/>
  <c r="C18" i="7"/>
  <c r="C27" i="7"/>
  <c r="C14" i="7"/>
  <c r="F37" i="7"/>
  <c r="F4" i="5"/>
  <c r="G4" i="5"/>
  <c r="G17" i="5" s="1"/>
  <c r="D26" i="5"/>
  <c r="C26" i="5"/>
  <c r="H4" i="5"/>
  <c r="E10" i="5"/>
  <c r="E29" i="7" l="1"/>
  <c r="E31" i="7" s="1"/>
  <c r="E33" i="7"/>
  <c r="E35" i="7" s="1"/>
  <c r="E49" i="7"/>
  <c r="E51" i="7" s="1"/>
  <c r="C55" i="7" s="1"/>
  <c r="E54" i="7"/>
  <c r="E56" i="7" s="1"/>
  <c r="E16" i="7"/>
  <c r="E20" i="7"/>
  <c r="E25" i="7"/>
  <c r="E27" i="7" s="1"/>
  <c r="E44" i="7"/>
  <c r="E46" i="7" s="1"/>
  <c r="E12" i="7"/>
  <c r="K5" i="6"/>
  <c r="H12" i="5"/>
  <c r="D11" i="5" s="1"/>
  <c r="H8" i="5"/>
  <c r="C29" i="7" l="1"/>
  <c r="C50" i="7"/>
  <c r="A52" i="7" s="1"/>
  <c r="C33" i="7"/>
  <c r="K7" i="6"/>
  <c r="K6" i="6"/>
  <c r="C27" i="5"/>
  <c r="C28" i="5" s="1"/>
  <c r="C20" i="5"/>
  <c r="C11" i="5"/>
  <c r="B8" i="4"/>
  <c r="B9" i="4"/>
  <c r="B10" i="4"/>
  <c r="B11" i="4"/>
  <c r="B12" i="4"/>
  <c r="B13" i="4"/>
  <c r="B14" i="4"/>
  <c r="B15" i="4"/>
  <c r="B16" i="4"/>
  <c r="B17" i="4"/>
  <c r="B18" i="4"/>
  <c r="B19" i="4"/>
  <c r="B20" i="4"/>
  <c r="B21" i="4"/>
  <c r="B22" i="4"/>
  <c r="B23" i="4"/>
  <c r="B24" i="4"/>
  <c r="B25" i="4"/>
  <c r="B7" i="4"/>
  <c r="G4" i="3"/>
  <c r="E20" i="3"/>
  <c r="E17" i="3"/>
  <c r="D16" i="3"/>
  <c r="C16" i="3"/>
  <c r="B16" i="3"/>
  <c r="C9" i="3"/>
  <c r="C17" i="3" s="1"/>
  <c r="E9" i="3"/>
  <c r="D9" i="3"/>
  <c r="D17" i="3" s="1"/>
  <c r="B9" i="3"/>
  <c r="A31" i="7" l="1"/>
  <c r="K8" i="6"/>
  <c r="K19" i="6" s="1"/>
  <c r="K14" i="6"/>
  <c r="K9" i="6"/>
  <c r="K20" i="6" s="1"/>
  <c r="K13" i="6"/>
  <c r="G18" i="5"/>
  <c r="D20" i="5"/>
  <c r="D28" i="5"/>
  <c r="B17" i="3"/>
  <c r="H4" i="3"/>
  <c r="D10" i="3"/>
  <c r="B19" i="3"/>
  <c r="B12" i="3"/>
  <c r="C10" i="3"/>
  <c r="K21" i="6" l="1"/>
  <c r="B20" i="5"/>
  <c r="B27" i="5"/>
  <c r="B26" i="5"/>
  <c r="C19" i="3"/>
  <c r="C12" i="3"/>
  <c r="D12" i="3" l="1"/>
  <c r="E12" i="3" s="1"/>
  <c r="D19" i="3"/>
  <c r="E19" i="3" s="1"/>
  <c r="E2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D36390-9182-4849-88B9-3D7228A53B69}" keepAlive="1" name="Query - HistoricalData_NASDAQ100" description="Connection to the 'HistoricalData_NASDAQ100' query in the workbook." type="5" refreshedVersion="0" background="1">
    <dbPr connection="Provider=Microsoft.Mashup.OleDb.1;Data Source=$Workbook$;Location=HistoricalData_NASDAQ100;Extended Properties=&quot;&quot;" command="SELECT * FROM [HistoricalData_NASDAQ100]"/>
  </connection>
  <connection id="2" xr16:uid="{89925B63-FD90-C145-8620-0968F120755B}" keepAlive="1" name="Query - HistoricalData_NASDAQ100 (2)" description="Connection to the 'HistoricalData_NASDAQ100 (2)' query in the workbook." type="5" refreshedVersion="8" background="1" saveData="1">
    <dbPr connection="Provider=Microsoft.Mashup.OleDb.1;Data Source=$Workbook$;Location=&quot;HistoricalData_NASDAQ100 (2)&quot;;Extended Properties=&quot;&quot;" command="SELECT * FROM [HistoricalData_NASDAQ100 (2)]"/>
  </connection>
</connections>
</file>

<file path=xl/sharedStrings.xml><?xml version="1.0" encoding="utf-8"?>
<sst xmlns="http://schemas.openxmlformats.org/spreadsheetml/2006/main" count="190" uniqueCount="112">
  <si>
    <t>Mini-case 3.1</t>
  </si>
  <si>
    <t>Strike ($)</t>
  </si>
  <si>
    <t>Years to expiration</t>
  </si>
  <si>
    <t>TASK A</t>
  </si>
  <si>
    <t>Exercise of the call</t>
  </si>
  <si>
    <t>Short-sell the stock</t>
  </si>
  <si>
    <t>Mini-case 3.2</t>
  </si>
  <si>
    <t>Assumptions</t>
  </si>
  <si>
    <t>u</t>
  </si>
  <si>
    <t>d</t>
  </si>
  <si>
    <t>U</t>
  </si>
  <si>
    <t>D</t>
  </si>
  <si>
    <t>DD</t>
  </si>
  <si>
    <t>UU</t>
  </si>
  <si>
    <t>?</t>
  </si>
  <si>
    <t>TASK B</t>
  </si>
  <si>
    <t>π</t>
  </si>
  <si>
    <t>1-π</t>
  </si>
  <si>
    <t>UD</t>
  </si>
  <si>
    <t>In order to compute the PV of the European put by 1 formula, we apply</t>
  </si>
  <si>
    <t>TASK C</t>
  </si>
  <si>
    <t>LEGEND</t>
  </si>
  <si>
    <t>Profit from execution</t>
  </si>
  <si>
    <t>Current price of the underlying</t>
  </si>
  <si>
    <t>Strike of the put</t>
  </si>
  <si>
    <t>Here we can observe that the fair price on the american option is greater than for the same European put. The reason for this is that in case of american put there are different values considered. One of those stands for the value of holding the option and another for exercising the option as american option provides such an opportunity. Thus, the computations are partly based on the values greater than those of European option</t>
  </si>
  <si>
    <t>Value of holding the option</t>
  </si>
  <si>
    <r>
      <t>S</t>
    </r>
    <r>
      <rPr>
        <sz val="8"/>
        <color theme="1"/>
        <rFont val="Aptos Narrow (Body)"/>
      </rPr>
      <t>0</t>
    </r>
    <r>
      <rPr>
        <sz val="12"/>
        <color theme="1"/>
        <rFont val="Aptos Narrow"/>
        <family val="2"/>
        <scheme val="minor"/>
      </rPr>
      <t xml:space="preserve"> ($)</t>
    </r>
  </si>
  <si>
    <r>
      <t>T</t>
    </r>
    <r>
      <rPr>
        <sz val="8"/>
        <color theme="1"/>
        <rFont val="Aptos Narrow (Body)"/>
      </rPr>
      <t>0</t>
    </r>
  </si>
  <si>
    <t>Mini-case 3.3</t>
  </si>
  <si>
    <t>Number of binomial periods</t>
  </si>
  <si>
    <t>Strike</t>
  </si>
  <si>
    <t>Action\ period</t>
  </si>
  <si>
    <t>Option hedging by the tracking portfolio (UDD)</t>
  </si>
  <si>
    <t>Purchase of shares</t>
  </si>
  <si>
    <t>The sum to borrow</t>
  </si>
  <si>
    <t>Total debt</t>
  </si>
  <si>
    <t>1 (up)</t>
  </si>
  <si>
    <t>2 (down)</t>
  </si>
  <si>
    <t>3 (down)</t>
  </si>
  <si>
    <t>Option hedging by the tracking portfolio (UDU)</t>
  </si>
  <si>
    <t>3 (up)</t>
  </si>
  <si>
    <t>∑</t>
  </si>
  <si>
    <t>Paying the debt off by selling 0,167 of the stock in our posses at the price of 90</t>
  </si>
  <si>
    <t>It couldn't harm my strategy. Accordingly to the PCP, the (no-dividend) american call's value is always greater than the value of exercise of it. From it follows that it never pays to exercise a non-dividend paying american call prematurelly. Thus, with the premature exercise of the option we might be able to close our position with more profit</t>
  </si>
  <si>
    <t>Mini-case 3.4</t>
  </si>
  <si>
    <t>K</t>
  </si>
  <si>
    <t>Profit from the option</t>
  </si>
  <si>
    <t>Payoff from the option</t>
  </si>
  <si>
    <r>
      <t>Price of underlying (S</t>
    </r>
    <r>
      <rPr>
        <sz val="8"/>
        <color theme="1"/>
        <rFont val="Aptos Narrow (Body)"/>
      </rPr>
      <t>t</t>
    </r>
    <r>
      <rPr>
        <sz val="12"/>
        <color theme="1"/>
        <rFont val="Aptos Narrow (Body)"/>
      </rPr>
      <t>)</t>
    </r>
  </si>
  <si>
    <t>Mini-case 3.5</t>
  </si>
  <si>
    <t>Value of the firm's assets (€)</t>
  </si>
  <si>
    <t>σ of the asset return</t>
  </si>
  <si>
    <t>Zero coupon repayment</t>
  </si>
  <si>
    <t>Maturity in years</t>
  </si>
  <si>
    <t>Binomial model for the firm's debt</t>
  </si>
  <si>
    <t>Tracking portfolio of the risky debt</t>
  </si>
  <si>
    <t>Risk-free debt</t>
  </si>
  <si>
    <t>Asset\date</t>
  </si>
  <si>
    <t>Short put on the firm's assets</t>
  </si>
  <si>
    <t>Put's strike</t>
  </si>
  <si>
    <t>TASK I</t>
  </si>
  <si>
    <t>up-state</t>
  </si>
  <si>
    <t>down-state</t>
  </si>
  <si>
    <t>T = 0</t>
  </si>
  <si>
    <t>T = 1</t>
  </si>
  <si>
    <t>TASK II</t>
  </si>
  <si>
    <t>Additional computations</t>
  </si>
  <si>
    <t>TASK III</t>
  </si>
  <si>
    <r>
      <t>S</t>
    </r>
    <r>
      <rPr>
        <sz val="8"/>
        <color theme="1"/>
        <rFont val="Aptos Narrow (Body)"/>
      </rPr>
      <t>0</t>
    </r>
  </si>
  <si>
    <r>
      <t>r</t>
    </r>
    <r>
      <rPr>
        <sz val="8"/>
        <color theme="1"/>
        <rFont val="Aptos Narrow (Body)"/>
      </rPr>
      <t xml:space="preserve">f </t>
    </r>
    <r>
      <rPr>
        <sz val="12"/>
        <color theme="1"/>
        <rFont val="Aptos Narrow"/>
        <family val="2"/>
        <scheme val="minor"/>
      </rPr>
      <t>(per period)</t>
    </r>
  </si>
  <si>
    <r>
      <t>C</t>
    </r>
    <r>
      <rPr>
        <sz val="8"/>
        <color theme="1"/>
        <rFont val="Aptos Narrow (Body)"/>
      </rPr>
      <t>0</t>
    </r>
  </si>
  <si>
    <r>
      <t>P</t>
    </r>
    <r>
      <rPr>
        <sz val="8"/>
        <color theme="1"/>
        <rFont val="Aptos Narrow (Body)"/>
      </rPr>
      <t>0</t>
    </r>
    <r>
      <rPr>
        <sz val="12"/>
        <color theme="1"/>
        <rFont val="Aptos Narrow"/>
        <family val="2"/>
        <scheme val="minor"/>
      </rPr>
      <t xml:space="preserve"> (European)</t>
    </r>
  </si>
  <si>
    <t>Market vaue of the risky debt
 (as the result of the tracking portfolio)</t>
  </si>
  <si>
    <r>
      <t>r</t>
    </r>
    <r>
      <rPr>
        <sz val="8"/>
        <color theme="1"/>
        <rFont val="Aptos Narrow (Body)"/>
      </rPr>
      <t>f</t>
    </r>
    <r>
      <rPr>
        <sz val="12"/>
        <color theme="1"/>
        <rFont val="Aptos Narrow"/>
        <family val="2"/>
        <scheme val="minor"/>
      </rPr>
      <t xml:space="preserve"> (per annum)</t>
    </r>
  </si>
  <si>
    <r>
      <t>V</t>
    </r>
    <r>
      <rPr>
        <sz val="8"/>
        <color theme="1"/>
        <rFont val="Aptos Narrow (Body)"/>
      </rPr>
      <t>0</t>
    </r>
    <r>
      <rPr>
        <sz val="12"/>
        <color theme="1"/>
        <rFont val="Aptos Narrow"/>
        <family val="2"/>
        <scheme val="minor"/>
      </rPr>
      <t xml:space="preserve"> </t>
    </r>
  </si>
  <si>
    <r>
      <t>V</t>
    </r>
    <r>
      <rPr>
        <sz val="8"/>
        <color theme="1"/>
        <rFont val="Aptos Narrow (Body)"/>
      </rPr>
      <t xml:space="preserve">u </t>
    </r>
  </si>
  <si>
    <r>
      <t>V</t>
    </r>
    <r>
      <rPr>
        <sz val="8"/>
        <color theme="1"/>
        <rFont val="Aptos Narrow (Body)"/>
      </rPr>
      <t>d</t>
    </r>
    <r>
      <rPr>
        <sz val="12"/>
        <color theme="1"/>
        <rFont val="Aptos Narrow"/>
        <family val="2"/>
        <scheme val="minor"/>
      </rPr>
      <t xml:space="preserve"> </t>
    </r>
  </si>
  <si>
    <t>Mini-case 3.6</t>
  </si>
  <si>
    <t>Date</t>
  </si>
  <si>
    <t>Close/Last</t>
  </si>
  <si>
    <t>Open</t>
  </si>
  <si>
    <t>High</t>
  </si>
  <si>
    <t>Low</t>
  </si>
  <si>
    <t>Historical data</t>
  </si>
  <si>
    <t>daily log-returns</t>
  </si>
  <si>
    <t>σ^2 of the daily log-returns</t>
  </si>
  <si>
    <t xml:space="preserve">Annualized σ^2 </t>
  </si>
  <si>
    <t>Annualized σ</t>
  </si>
  <si>
    <t>up-state factor (u)</t>
  </si>
  <si>
    <t>down-state factor (d)</t>
  </si>
  <si>
    <t>up-state forecast</t>
  </si>
  <si>
    <t>down-state forecast</t>
  </si>
  <si>
    <t>European call on NASDAQ - 100</t>
  </si>
  <si>
    <r>
      <t>C</t>
    </r>
    <r>
      <rPr>
        <sz val="8"/>
        <color theme="1"/>
        <rFont val="Aptos Narrow (Body)"/>
      </rPr>
      <t>1</t>
    </r>
    <r>
      <rPr>
        <sz val="12"/>
        <color theme="1"/>
        <rFont val="Aptos Narrow"/>
        <family val="2"/>
        <scheme val="minor"/>
      </rPr>
      <t xml:space="preserve"> (up-state)</t>
    </r>
  </si>
  <si>
    <r>
      <t>C</t>
    </r>
    <r>
      <rPr>
        <sz val="8"/>
        <color theme="1"/>
        <rFont val="Aptos Narrow (Body)"/>
      </rPr>
      <t>1</t>
    </r>
    <r>
      <rPr>
        <sz val="12"/>
        <color theme="1"/>
        <rFont val="Aptos Narrow"/>
        <family val="2"/>
        <scheme val="minor"/>
      </rPr>
      <t xml:space="preserve"> (down-state)</t>
    </r>
  </si>
  <si>
    <r>
      <t>r</t>
    </r>
    <r>
      <rPr>
        <sz val="8"/>
        <color theme="1"/>
        <rFont val="Aptos Narrow (Body)"/>
      </rPr>
      <t>f</t>
    </r>
  </si>
  <si>
    <r>
      <rPr>
        <sz val="14"/>
        <color theme="1"/>
        <rFont val="Aptos Narrow (Body)"/>
      </rPr>
      <t>r</t>
    </r>
    <r>
      <rPr>
        <sz val="8"/>
        <color theme="1"/>
        <rFont val="Aptos Narrow (Body)"/>
      </rPr>
      <t>f</t>
    </r>
    <r>
      <rPr>
        <sz val="12"/>
        <color theme="1"/>
        <rFont val="Aptos Narrow"/>
        <family val="2"/>
        <scheme val="minor"/>
      </rPr>
      <t xml:space="preserve"> (per period)</t>
    </r>
  </si>
  <si>
    <r>
      <t>5*[1+</t>
    </r>
    <r>
      <rPr>
        <sz val="16"/>
        <color theme="1"/>
        <rFont val="Aptos Narrow (Body)"/>
      </rPr>
      <t>r</t>
    </r>
    <r>
      <rPr>
        <sz val="8"/>
        <color theme="1"/>
        <rFont val="Aptos Narrow (Body)"/>
      </rPr>
      <t>f</t>
    </r>
    <r>
      <rPr>
        <sz val="12"/>
        <color theme="1"/>
        <rFont val="Aptos Narrow (Body)"/>
      </rPr>
      <t>]</t>
    </r>
  </si>
  <si>
    <t>CF at expiration</t>
  </si>
  <si>
    <t xml:space="preserve">CF at expiration </t>
  </si>
  <si>
    <t>Acquisition of a stock</t>
  </si>
  <si>
    <t>Exercise of the call (up-state)</t>
  </si>
  <si>
    <t>Purchase (down-state)</t>
  </si>
  <si>
    <t>Deposit withdrawal</t>
  </si>
  <si>
    <t>General data on American call</t>
  </si>
  <si>
    <t>Case A</t>
  </si>
  <si>
    <t>Case B</t>
  </si>
  <si>
    <t>Deposit the proceeds</t>
  </si>
  <si>
    <t>The CF in the case B would be greater as we have deposited $25 instead of $5 (case A). Whatever the rate is, a bigger deposit earns more interest.</t>
  </si>
  <si>
    <r>
      <t>25*[1+r</t>
    </r>
    <r>
      <rPr>
        <sz val="8"/>
        <color theme="1"/>
        <rFont val="Aptos Narrow (Body)"/>
      </rPr>
      <t>f</t>
    </r>
    <r>
      <rPr>
        <sz val="12"/>
        <color theme="1"/>
        <rFont val="Aptos Narrow"/>
        <family val="2"/>
        <scheme val="minor"/>
      </rPr>
      <t>]</t>
    </r>
  </si>
  <si>
    <r>
      <t>[-S</t>
    </r>
    <r>
      <rPr>
        <sz val="8"/>
        <color theme="1"/>
        <rFont val="Aptos Narrow (Body)"/>
      </rPr>
      <t>1d</t>
    </r>
    <r>
      <rPr>
        <sz val="12"/>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</si>
</sst>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
    <numFmt numFmtId="166" formatCode="0.0"/>
    <numFmt numFmtId="167" formatCode="&quot;€&quot;\ #,##0.00"/>
    <numFmt numFmtId="168" formatCode="0.000"/>
    <numFmt numFmtId="169" formatCode="0.000000"/>
    <numFmt numFmtId="170" formatCode="0.000000000"/>
  </numFmts>
  <fonts count="10" x14ac:knownFonts="1">
    <font>
      <sz val="12"/>
      <color theme="1"/>
      <name val="Aptos Narrow"/>
      <family val="2"/>
      <scheme val="minor"/>
    </font>
    <font>
      <sz val="12"/>
      <color theme="0"/>
      <name val="Aptos Narrow"/>
      <family val="2"/>
      <scheme val="minor"/>
    </font>
    <font>
      <sz val="22"/>
      <color theme="0"/>
      <name val="Aptos Narrow"/>
      <family val="2"/>
      <scheme val="minor"/>
    </font>
    <font>
      <sz val="8"/>
      <color theme="1"/>
      <name val="Aptos Narrow (Body)"/>
    </font>
    <font>
      <b/>
      <sz val="12"/>
      <color theme="1"/>
      <name val="Aptos Narrow"/>
      <scheme val="minor"/>
    </font>
    <font>
      <sz val="12"/>
      <color theme="1"/>
      <name val="Aptos Narrow (Body)"/>
    </font>
    <font>
      <sz val="12"/>
      <color rgb="FF000000"/>
      <name val="Aptos Narrow"/>
      <scheme val="minor"/>
    </font>
    <font>
      <sz val="14"/>
      <color theme="1"/>
      <name val="Aptos Narrow (Body)"/>
    </font>
    <font>
      <sz val="16"/>
      <color theme="1"/>
      <name val="Aptos Narrow (Body)"/>
    </font>
    <font>
      <sz val="12"/>
      <color rgb="FFFF0000"/>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2" tint="-0.749992370372631"/>
        <bgColor indexed="64"/>
      </patternFill>
    </fill>
    <fill>
      <patternFill patternType="solid">
        <fgColor theme="3" tint="0.499984740745262"/>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49998474074526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s>
  <cellStyleXfs count="1">
    <xf numFmtId="0" fontId="0" fillId="0" borderId="0"/>
  </cellStyleXfs>
  <cellXfs count="116">
    <xf numFmtId="0" fontId="0" fillId="0" borderId="0" xfId="0"/>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5" borderId="0" xfId="0" applyFill="1" applyAlignment="1">
      <alignment horizontal="center" vertical="center"/>
    </xf>
    <xf numFmtId="0" fontId="0" fillId="5" borderId="0" xfId="0" applyFill="1" applyAlignment="1">
      <alignment horizontal="left"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0" fillId="5" borderId="0" xfId="0" applyFill="1" applyAlignment="1">
      <alignment horizontal="right" vertical="center"/>
    </xf>
    <xf numFmtId="165" fontId="0" fillId="5" borderId="0" xfId="0" applyNumberFormat="1" applyFill="1" applyAlignment="1">
      <alignment horizontal="center" vertical="center"/>
    </xf>
    <xf numFmtId="164" fontId="0" fillId="6" borderId="6" xfId="0" applyNumberFormat="1" applyFill="1" applyBorder="1" applyAlignment="1">
      <alignment horizontal="center" vertic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7" borderId="0" xfId="0" applyFill="1" applyAlignment="1">
      <alignment horizontal="center" vertical="center"/>
    </xf>
    <xf numFmtId="0" fontId="0" fillId="7" borderId="7" xfId="0" applyFill="1" applyBorder="1" applyAlignment="1">
      <alignment horizontal="center" vertical="center"/>
    </xf>
    <xf numFmtId="0" fontId="0" fillId="7" borderId="6" xfId="0" applyFill="1" applyBorder="1" applyAlignment="1">
      <alignment horizontal="center" vertical="center"/>
    </xf>
    <xf numFmtId="0" fontId="0" fillId="9" borderId="6" xfId="0" applyFill="1" applyBorder="1" applyAlignment="1">
      <alignment horizontal="center" vertical="center"/>
    </xf>
    <xf numFmtId="0" fontId="0" fillId="9" borderId="0" xfId="0" applyFill="1" applyAlignment="1">
      <alignment horizontal="center" vertical="center"/>
    </xf>
    <xf numFmtId="0" fontId="0" fillId="9" borderId="5" xfId="0" applyFill="1" applyBorder="1" applyAlignment="1">
      <alignment horizontal="center" vertical="center"/>
    </xf>
    <xf numFmtId="0" fontId="0" fillId="9" borderId="7" xfId="0" applyFill="1" applyBorder="1" applyAlignment="1">
      <alignment horizontal="center" vertical="center"/>
    </xf>
    <xf numFmtId="0" fontId="0" fillId="2" borderId="1" xfId="0" applyFill="1" applyBorder="1" applyAlignment="1">
      <alignment horizontal="center" vertical="center"/>
    </xf>
    <xf numFmtId="0" fontId="0" fillId="7" borderId="1" xfId="0" applyFill="1" applyBorder="1"/>
    <xf numFmtId="0" fontId="0" fillId="8" borderId="1" xfId="0" applyFill="1" applyBorder="1"/>
    <xf numFmtId="0" fontId="0" fillId="9" borderId="1" xfId="0" applyFill="1" applyBorder="1"/>
    <xf numFmtId="0" fontId="0" fillId="2" borderId="1" xfId="0" applyFill="1" applyBorder="1" applyAlignment="1">
      <alignment horizontal="center"/>
    </xf>
    <xf numFmtId="0" fontId="0" fillId="2" borderId="13" xfId="0" applyFill="1" applyBorder="1" applyAlignment="1">
      <alignment horizontal="center" vertical="center"/>
    </xf>
    <xf numFmtId="165" fontId="0" fillId="2" borderId="1" xfId="0" applyNumberFormat="1" applyFill="1" applyBorder="1" applyAlignment="1">
      <alignment horizontal="center" vertical="center"/>
    </xf>
    <xf numFmtId="165" fontId="0" fillId="0" borderId="1" xfId="0" applyNumberFormat="1" applyBorder="1" applyAlignment="1">
      <alignment horizontal="center" vertical="center"/>
    </xf>
    <xf numFmtId="0" fontId="0" fillId="0" borderId="13" xfId="0" applyBorder="1"/>
    <xf numFmtId="0" fontId="0" fillId="8" borderId="1" xfId="0" applyFill="1" applyBorder="1" applyAlignment="1">
      <alignment horizontal="center" vertical="center"/>
    </xf>
    <xf numFmtId="166" fontId="0" fillId="8" borderId="1" xfId="0" applyNumberFormat="1" applyFill="1" applyBorder="1" applyAlignment="1">
      <alignment horizontal="center" vertical="center"/>
    </xf>
    <xf numFmtId="0" fontId="6" fillId="2" borderId="1" xfId="0" applyFont="1" applyFill="1" applyBorder="1" applyAlignment="1">
      <alignment horizontal="center" vertical="center"/>
    </xf>
    <xf numFmtId="167" fontId="0" fillId="0" borderId="1" xfId="0" applyNumberFormat="1" applyBorder="1" applyAlignment="1">
      <alignment horizontal="center" vertical="center"/>
    </xf>
    <xf numFmtId="167" fontId="0" fillId="6" borderId="1" xfId="0" applyNumberFormat="1" applyFill="1" applyBorder="1" applyAlignment="1">
      <alignment horizontal="center" vertical="center"/>
    </xf>
    <xf numFmtId="167" fontId="0" fillId="0" borderId="11" xfId="0" applyNumberFormat="1" applyBorder="1" applyAlignment="1">
      <alignment horizontal="center" vertical="center"/>
    </xf>
    <xf numFmtId="167" fontId="0" fillId="0" borderId="13" xfId="0" applyNumberFormat="1" applyBorder="1" applyAlignment="1">
      <alignment horizontal="center" vertical="center"/>
    </xf>
    <xf numFmtId="167" fontId="0" fillId="6" borderId="13" xfId="0" applyNumberFormat="1" applyFill="1" applyBorder="1" applyAlignment="1">
      <alignment horizontal="center" vertical="center"/>
    </xf>
    <xf numFmtId="167" fontId="0" fillId="5" borderId="5" xfId="0" applyNumberFormat="1" applyFill="1" applyBorder="1" applyAlignment="1">
      <alignment horizontal="center" vertical="center"/>
    </xf>
    <xf numFmtId="167" fontId="0" fillId="5" borderId="6" xfId="0" applyNumberFormat="1" applyFill="1" applyBorder="1" applyAlignment="1">
      <alignment horizontal="center" vertical="center"/>
    </xf>
    <xf numFmtId="167" fontId="0" fillId="5" borderId="0" xfId="0" applyNumberFormat="1" applyFill="1" applyAlignment="1">
      <alignment horizontal="center" vertical="center"/>
    </xf>
    <xf numFmtId="167" fontId="0" fillId="5" borderId="7" xfId="0" applyNumberFormat="1" applyFill="1" applyBorder="1" applyAlignment="1">
      <alignment horizontal="center" vertical="center"/>
    </xf>
    <xf numFmtId="14" fontId="0" fillId="0" borderId="0" xfId="0" applyNumberFormat="1"/>
    <xf numFmtId="14" fontId="0" fillId="0" borderId="15" xfId="0" applyNumberFormat="1" applyBorder="1"/>
    <xf numFmtId="14" fontId="0" fillId="0" borderId="5" xfId="0" applyNumberFormat="1" applyBorder="1"/>
    <xf numFmtId="169" fontId="0" fillId="0" borderId="13" xfId="0" applyNumberFormat="1" applyBorder="1"/>
    <xf numFmtId="169" fontId="0" fillId="0" borderId="4" xfId="0" applyNumberFormat="1" applyBorder="1"/>
    <xf numFmtId="2" fontId="0" fillId="0" borderId="1" xfId="0" applyNumberFormat="1" applyBorder="1" applyAlignment="1">
      <alignment horizontal="center" vertical="center"/>
    </xf>
    <xf numFmtId="0" fontId="0" fillId="6" borderId="1" xfId="0" applyFill="1" applyBorder="1" applyAlignment="1">
      <alignment horizontal="center" vertical="center"/>
    </xf>
    <xf numFmtId="170" fontId="0" fillId="0" borderId="1" xfId="0" applyNumberFormat="1" applyBorder="1" applyAlignment="1">
      <alignment horizontal="center" vertical="center"/>
    </xf>
    <xf numFmtId="169" fontId="0" fillId="0" borderId="1" xfId="0" applyNumberFormat="1" applyBorder="1" applyAlignment="1">
      <alignment horizontal="center" vertical="center"/>
    </xf>
    <xf numFmtId="0" fontId="0" fillId="6" borderId="1" xfId="0" applyFill="1" applyBorder="1" applyAlignment="1">
      <alignment horizontal="center" vertical="center" wrapText="1"/>
    </xf>
    <xf numFmtId="168" fontId="0" fillId="8" borderId="0" xfId="0" applyNumberFormat="1" applyFill="1" applyAlignment="1">
      <alignment horizontal="center" vertical="center"/>
    </xf>
    <xf numFmtId="168" fontId="0" fillId="8" borderId="6" xfId="0" applyNumberFormat="1" applyFill="1" applyBorder="1" applyAlignment="1">
      <alignment horizontal="center" vertical="center"/>
    </xf>
    <xf numFmtId="0" fontId="9" fillId="0" borderId="0" xfId="0" applyFont="1"/>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3" borderId="0" xfId="0" applyFont="1" applyFill="1" applyAlignment="1">
      <alignment horizontal="center" vertical="center"/>
    </xf>
    <xf numFmtId="0" fontId="0" fillId="0" borderId="0" xfId="0" applyAlignment="1">
      <alignment horizontal="center" vertical="center" wrapText="1"/>
    </xf>
    <xf numFmtId="0" fontId="1" fillId="10" borderId="0" xfId="0" applyFont="1" applyFill="1" applyAlignment="1">
      <alignment horizontal="center" vertical="center"/>
    </xf>
    <xf numFmtId="0" fontId="1" fillId="10" borderId="1" xfId="0" applyFont="1" applyFill="1" applyBorder="1" applyAlignment="1">
      <alignment horizontal="center" vertical="center"/>
    </xf>
    <xf numFmtId="0" fontId="1"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9" xfId="0" applyBorder="1" applyAlignment="1">
      <alignment horizontal="center" vertical="center" wrapText="1"/>
    </xf>
    <xf numFmtId="0" fontId="0" fillId="2" borderId="11" xfId="0" applyFill="1" applyBorder="1" applyAlignment="1">
      <alignment horizontal="center" vertical="center" wrapText="1"/>
    </xf>
    <xf numFmtId="0" fontId="0" fillId="2" borderId="2"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0" fontId="0" fillId="6" borderId="2" xfId="0" applyFill="1" applyBorder="1" applyAlignment="1">
      <alignment horizontal="center" vertical="center" wrapText="1"/>
    </xf>
    <xf numFmtId="0" fontId="0" fillId="0" borderId="1" xfId="0"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164" fontId="0" fillId="6" borderId="11" xfId="0" applyNumberFormat="1" applyFill="1" applyBorder="1" applyAlignment="1">
      <alignment horizontal="center" vertical="center" wrapText="1"/>
    </xf>
    <xf numFmtId="164" fontId="0" fillId="6" borderId="12" xfId="0" applyNumberFormat="1" applyFill="1" applyBorder="1" applyAlignment="1">
      <alignment horizontal="center" vertical="center" wrapText="1"/>
    </xf>
    <xf numFmtId="164" fontId="0" fillId="6" borderId="2" xfId="0" applyNumberFormat="1" applyFill="1" applyBorder="1" applyAlignment="1">
      <alignment horizontal="center" vertical="center" wrapText="1"/>
    </xf>
    <xf numFmtId="0" fontId="0" fillId="0" borderId="1" xfId="0" applyBorder="1" applyAlignment="1">
      <alignment horizontal="center" wrapText="1"/>
    </xf>
    <xf numFmtId="0" fontId="0" fillId="2" borderId="1" xfId="0" applyFill="1" applyBorder="1" applyAlignment="1">
      <alignment horizontal="center" vertical="center"/>
    </xf>
    <xf numFmtId="0" fontId="1" fillId="10" borderId="9" xfId="0" applyFont="1" applyFill="1" applyBorder="1" applyAlignment="1">
      <alignment horizontal="center"/>
    </xf>
    <xf numFmtId="0" fontId="0" fillId="0" borderId="13" xfId="0" applyBorder="1"/>
    <xf numFmtId="0" fontId="0" fillId="0" borderId="14" xfId="0" applyBorder="1"/>
    <xf numFmtId="0" fontId="0" fillId="0" borderId="15" xfId="0" applyBorder="1"/>
    <xf numFmtId="0" fontId="2" fillId="4" borderId="1" xfId="0" applyFont="1" applyFill="1" applyBorder="1" applyAlignment="1">
      <alignment horizontal="center" vertical="center" wrapText="1"/>
    </xf>
    <xf numFmtId="0" fontId="0" fillId="0" borderId="4" xfId="0"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0" xfId="0" applyAlignment="1">
      <alignment horizontal="center" wrapText="1"/>
    </xf>
    <xf numFmtId="0" fontId="0" fillId="0" borderId="7" xfId="0" applyBorder="1" applyAlignment="1">
      <alignment horizont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4" borderId="16" xfId="0" applyFont="1" applyFill="1" applyBorder="1" applyAlignment="1">
      <alignment horizontal="center" vertical="center"/>
    </xf>
    <xf numFmtId="0" fontId="1" fillId="4" borderId="15" xfId="0" applyFont="1" applyFill="1" applyBorder="1" applyAlignment="1">
      <alignment horizontal="center" vertical="center"/>
    </xf>
    <xf numFmtId="0" fontId="1" fillId="3" borderId="0" xfId="0" applyFont="1" applyFill="1" applyAlignment="1">
      <alignment horizontal="center"/>
    </xf>
    <xf numFmtId="0" fontId="1" fillId="4" borderId="0" xfId="0" applyFont="1" applyFill="1" applyAlignment="1">
      <alignment horizontal="center"/>
    </xf>
    <xf numFmtId="0" fontId="1" fillId="10" borderId="13" xfId="0" applyFont="1" applyFill="1" applyBorder="1" applyAlignment="1">
      <alignment horizontal="center"/>
    </xf>
    <xf numFmtId="0" fontId="1" fillId="10" borderId="14" xfId="0" applyFont="1" applyFill="1" applyBorder="1" applyAlignment="1">
      <alignment horizontal="center"/>
    </xf>
    <xf numFmtId="0" fontId="1" fillId="10" borderId="15" xfId="0" applyFont="1" applyFill="1" applyBorder="1" applyAlignment="1">
      <alignment horizontal="center"/>
    </xf>
  </cellXfs>
  <cellStyles count="1">
    <cellStyle name="Normal" xfId="0" builtinId="0"/>
  </cellStyles>
  <dxfs count="7">
    <dxf>
      <numFmt numFmtId="0" formatCode="General"/>
      <border diagonalUp="0" diagonalDown="0">
        <left style="thin">
          <color indexed="64"/>
        </left>
        <right/>
        <top style="thin">
          <color indexed="64"/>
        </top>
        <bottom style="thin">
          <color indexed="64"/>
        </bottom>
        <vertical/>
        <horizontal/>
      </border>
    </dxf>
    <dxf>
      <numFmt numFmtId="19" formatCode="dd/mm/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border diagonalUp="0" diagonalDown="0" outline="0">
        <left style="thin">
          <color indexed="64"/>
        </left>
        <right style="thin">
          <color indexed="64"/>
        </right>
        <top/>
        <bottom/>
      </border>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Variation of the investor’s profit with the stock price at the maturity of the option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AT"/>
        </a:p>
      </c:txPr>
    </c:title>
    <c:autoTitleDeleted val="0"/>
    <c:plotArea>
      <c:layout/>
      <c:scatterChart>
        <c:scatterStyle val="smoothMarker"/>
        <c:varyColors val="0"/>
        <c:ser>
          <c:idx val="1"/>
          <c:order val="0"/>
          <c:tx>
            <c:v>Strike</c:v>
          </c:tx>
          <c:spPr>
            <a:ln w="22225" cap="rnd">
              <a:solidFill>
                <a:schemeClr val="accent5"/>
              </a:solidFill>
            </a:ln>
            <a:effectLst>
              <a:glow rad="139700">
                <a:schemeClr val="accent5">
                  <a:satMod val="175000"/>
                  <a:alpha val="14000"/>
                </a:schemeClr>
              </a:glow>
            </a:effectLst>
          </c:spPr>
          <c:marker>
            <c:symbol val="none"/>
          </c:marker>
          <c:xVal>
            <c:numRef>
              <c:f>'M.C.3.4'!$C$4</c:f>
              <c:numCache>
                <c:formatCode>General</c:formatCode>
                <c:ptCount val="1"/>
                <c:pt idx="0">
                  <c:v>40</c:v>
                </c:pt>
              </c:numCache>
            </c:numRef>
          </c:xVal>
          <c:yVal>
            <c:numLit>
              <c:formatCode>General</c:formatCode>
              <c:ptCount val="1"/>
              <c:pt idx="0">
                <c:v>0</c:v>
              </c:pt>
            </c:numLit>
          </c:yVal>
          <c:smooth val="1"/>
          <c:extLst>
            <c:ext xmlns:c16="http://schemas.microsoft.com/office/drawing/2014/chart" uri="{C3380CC4-5D6E-409C-BE32-E72D297353CC}">
              <c16:uniqueId val="{00000001-32D4-5B43-BEFA-6D0D6F8E44CF}"/>
            </c:ext>
          </c:extLst>
        </c:ser>
        <c:ser>
          <c:idx val="0"/>
          <c:order val="1"/>
          <c:tx>
            <c:v>investor's profit</c:v>
          </c:tx>
          <c:spPr>
            <a:ln w="22225" cap="rnd">
              <a:solidFill>
                <a:schemeClr val="accent6"/>
              </a:solidFill>
            </a:ln>
            <a:effectLst>
              <a:glow rad="139700">
                <a:schemeClr val="accent6">
                  <a:satMod val="175000"/>
                  <a:alpha val="14000"/>
                </a:schemeClr>
              </a:glow>
            </a:effectLst>
          </c:spPr>
          <c:marker>
            <c:symbol val="none"/>
          </c:marker>
          <c:dPt>
            <c:idx val="10"/>
            <c:marker>
              <c:symbol val="square"/>
              <c:size val="7"/>
              <c:spPr>
                <a:solidFill>
                  <a:schemeClr val="accent5">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2-32D4-5B43-BEFA-6D0D6F8E44CF}"/>
              </c:ext>
            </c:extLst>
          </c:dPt>
          <c:xVal>
            <c:numRef>
              <c:f>'M.C.3.4'!$A$7:$A$25</c:f>
              <c:numCache>
                <c:formatCode>General</c:formatCode>
                <c:ptCount val="19"/>
                <c:pt idx="0">
                  <c:v>20</c:v>
                </c:pt>
                <c:pt idx="1">
                  <c:v>22</c:v>
                </c:pt>
                <c:pt idx="2">
                  <c:v>24</c:v>
                </c:pt>
                <c:pt idx="3">
                  <c:v>26</c:v>
                </c:pt>
                <c:pt idx="4">
                  <c:v>28</c:v>
                </c:pt>
                <c:pt idx="5">
                  <c:v>30</c:v>
                </c:pt>
                <c:pt idx="6">
                  <c:v>32</c:v>
                </c:pt>
                <c:pt idx="7">
                  <c:v>34</c:v>
                </c:pt>
                <c:pt idx="8">
                  <c:v>36</c:v>
                </c:pt>
                <c:pt idx="9">
                  <c:v>38</c:v>
                </c:pt>
                <c:pt idx="10">
                  <c:v>40</c:v>
                </c:pt>
                <c:pt idx="11">
                  <c:v>42</c:v>
                </c:pt>
                <c:pt idx="12">
                  <c:v>44</c:v>
                </c:pt>
                <c:pt idx="13">
                  <c:v>46</c:v>
                </c:pt>
                <c:pt idx="14">
                  <c:v>48</c:v>
                </c:pt>
                <c:pt idx="15">
                  <c:v>50</c:v>
                </c:pt>
                <c:pt idx="16">
                  <c:v>52</c:v>
                </c:pt>
                <c:pt idx="17">
                  <c:v>54</c:v>
                </c:pt>
                <c:pt idx="18">
                  <c:v>56</c:v>
                </c:pt>
              </c:numCache>
            </c:numRef>
          </c:xVal>
          <c:yVal>
            <c:numRef>
              <c:f>'M.C.3.4'!$C$7:$C$25</c:f>
              <c:numCache>
                <c:formatCode>General</c:formatCode>
                <c:ptCount val="19"/>
                <c:pt idx="0">
                  <c:v>17</c:v>
                </c:pt>
                <c:pt idx="1">
                  <c:v>15</c:v>
                </c:pt>
                <c:pt idx="2">
                  <c:v>13</c:v>
                </c:pt>
                <c:pt idx="3">
                  <c:v>11</c:v>
                </c:pt>
                <c:pt idx="4">
                  <c:v>9</c:v>
                </c:pt>
                <c:pt idx="5">
                  <c:v>7</c:v>
                </c:pt>
                <c:pt idx="6">
                  <c:v>5</c:v>
                </c:pt>
                <c:pt idx="7">
                  <c:v>3</c:v>
                </c:pt>
                <c:pt idx="8">
                  <c:v>1</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2D4-5B43-BEFA-6D0D6F8E44CF}"/>
            </c:ext>
          </c:extLst>
        </c:ser>
        <c:dLbls>
          <c:showLegendKey val="0"/>
          <c:showVal val="0"/>
          <c:showCatName val="0"/>
          <c:showSerName val="0"/>
          <c:showPercent val="0"/>
          <c:showBubbleSize val="0"/>
        </c:dLbls>
        <c:axId val="486749903"/>
        <c:axId val="434912880"/>
      </c:scatterChart>
      <c:valAx>
        <c:axId val="486749903"/>
        <c:scaling>
          <c:orientation val="minMax"/>
          <c:min val="2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434912880"/>
        <c:crosses val="autoZero"/>
        <c:crossBetween val="midCat"/>
      </c:valAx>
      <c:valAx>
        <c:axId val="4349128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4867499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555625</xdr:colOff>
      <xdr:row>14</xdr:row>
      <xdr:rowOff>157592</xdr:rowOff>
    </xdr:from>
    <xdr:to>
      <xdr:col>2</xdr:col>
      <xdr:colOff>250292</xdr:colOff>
      <xdr:row>16</xdr:row>
      <xdr:rowOff>121708</xdr:rowOff>
    </xdr:to>
    <xdr:cxnSp macro="">
      <xdr:nvCxnSpPr>
        <xdr:cNvPr id="2" name="Straight Connector 1">
          <a:extLst>
            <a:ext uri="{FF2B5EF4-FFF2-40B4-BE49-F238E27FC236}">
              <a16:creationId xmlns:a16="http://schemas.microsoft.com/office/drawing/2014/main" id="{84160A84-D291-1348-B08B-9D9890A323F8}"/>
            </a:ext>
          </a:extLst>
        </xdr:cNvPr>
        <xdr:cNvCxnSpPr/>
      </xdr:nvCxnSpPr>
      <xdr:spPr>
        <a:xfrm flipV="1">
          <a:off x="555625" y="32690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16</xdr:row>
      <xdr:rowOff>121708</xdr:rowOff>
    </xdr:from>
    <xdr:to>
      <xdr:col>2</xdr:col>
      <xdr:colOff>287373</xdr:colOff>
      <xdr:row>18</xdr:row>
      <xdr:rowOff>92701</xdr:rowOff>
    </xdr:to>
    <xdr:cxnSp macro="">
      <xdr:nvCxnSpPr>
        <xdr:cNvPr id="3" name="Straight Connector 2">
          <a:extLst>
            <a:ext uri="{FF2B5EF4-FFF2-40B4-BE49-F238E27FC236}">
              <a16:creationId xmlns:a16="http://schemas.microsoft.com/office/drawing/2014/main" id="{C76ABA18-0325-E741-8B58-9E5273141DC8}"/>
            </a:ext>
          </a:extLst>
        </xdr:cNvPr>
        <xdr:cNvCxnSpPr/>
      </xdr:nvCxnSpPr>
      <xdr:spPr>
        <a:xfrm>
          <a:off x="550333" y="36396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12</xdr:row>
      <xdr:rowOff>120511</xdr:rowOff>
    </xdr:from>
    <xdr:to>
      <xdr:col>4</xdr:col>
      <xdr:colOff>287372</xdr:colOff>
      <xdr:row>14</xdr:row>
      <xdr:rowOff>100542</xdr:rowOff>
    </xdr:to>
    <xdr:cxnSp macro="">
      <xdr:nvCxnSpPr>
        <xdr:cNvPr id="4" name="Straight Connector 3">
          <a:extLst>
            <a:ext uri="{FF2B5EF4-FFF2-40B4-BE49-F238E27FC236}">
              <a16:creationId xmlns:a16="http://schemas.microsoft.com/office/drawing/2014/main" id="{2BE60971-909E-184B-9EA6-190733D69A5A}"/>
            </a:ext>
          </a:extLst>
        </xdr:cNvPr>
        <xdr:cNvCxnSpPr/>
      </xdr:nvCxnSpPr>
      <xdr:spPr>
        <a:xfrm flipV="1">
          <a:off x="2164292" y="2825611"/>
          <a:ext cx="15139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14</xdr:row>
      <xdr:rowOff>100542</xdr:rowOff>
    </xdr:from>
    <xdr:to>
      <xdr:col>4</xdr:col>
      <xdr:colOff>268832</xdr:colOff>
      <xdr:row>16</xdr:row>
      <xdr:rowOff>111241</xdr:rowOff>
    </xdr:to>
    <xdr:cxnSp macro="">
      <xdr:nvCxnSpPr>
        <xdr:cNvPr id="5" name="Straight Connector 4">
          <a:extLst>
            <a:ext uri="{FF2B5EF4-FFF2-40B4-BE49-F238E27FC236}">
              <a16:creationId xmlns:a16="http://schemas.microsoft.com/office/drawing/2014/main" id="{6781839D-6E08-9044-8D95-413CAA41315C}"/>
            </a:ext>
          </a:extLst>
        </xdr:cNvPr>
        <xdr:cNvCxnSpPr/>
      </xdr:nvCxnSpPr>
      <xdr:spPr>
        <a:xfrm flipH="1" flipV="1">
          <a:off x="2174875" y="3212042"/>
          <a:ext cx="14848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16</xdr:row>
      <xdr:rowOff>105833</xdr:rowOff>
    </xdr:from>
    <xdr:to>
      <xdr:col>4</xdr:col>
      <xdr:colOff>280458</xdr:colOff>
      <xdr:row>18</xdr:row>
      <xdr:rowOff>101971</xdr:rowOff>
    </xdr:to>
    <xdr:cxnSp macro="">
      <xdr:nvCxnSpPr>
        <xdr:cNvPr id="6" name="Straight Connector 5">
          <a:extLst>
            <a:ext uri="{FF2B5EF4-FFF2-40B4-BE49-F238E27FC236}">
              <a16:creationId xmlns:a16="http://schemas.microsoft.com/office/drawing/2014/main" id="{E56384BC-1D59-1F40-BE02-9A0338D8B1FB}"/>
            </a:ext>
          </a:extLst>
        </xdr:cNvPr>
        <xdr:cNvCxnSpPr/>
      </xdr:nvCxnSpPr>
      <xdr:spPr>
        <a:xfrm flipV="1">
          <a:off x="2216474" y="3623733"/>
          <a:ext cx="14548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18</xdr:row>
      <xdr:rowOff>101971</xdr:rowOff>
    </xdr:from>
    <xdr:to>
      <xdr:col>4</xdr:col>
      <xdr:colOff>259562</xdr:colOff>
      <xdr:row>20</xdr:row>
      <xdr:rowOff>83431</xdr:rowOff>
    </xdr:to>
    <xdr:cxnSp macro="">
      <xdr:nvCxnSpPr>
        <xdr:cNvPr id="7" name="Straight Connector 6">
          <a:extLst>
            <a:ext uri="{FF2B5EF4-FFF2-40B4-BE49-F238E27FC236}">
              <a16:creationId xmlns:a16="http://schemas.microsoft.com/office/drawing/2014/main" id="{130132D2-4A35-0D45-AAE6-974CD4760FAD}"/>
            </a:ext>
          </a:extLst>
        </xdr:cNvPr>
        <xdr:cNvCxnSpPr/>
      </xdr:nvCxnSpPr>
      <xdr:spPr>
        <a:xfrm flipH="1" flipV="1">
          <a:off x="2235015" y="4026271"/>
          <a:ext cx="14154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555625</xdr:colOff>
      <xdr:row>27</xdr:row>
      <xdr:rowOff>157592</xdr:rowOff>
    </xdr:from>
    <xdr:to>
      <xdr:col>2</xdr:col>
      <xdr:colOff>250292</xdr:colOff>
      <xdr:row>29</xdr:row>
      <xdr:rowOff>121708</xdr:rowOff>
    </xdr:to>
    <xdr:cxnSp macro="">
      <xdr:nvCxnSpPr>
        <xdr:cNvPr id="8" name="Straight Connector 7">
          <a:extLst>
            <a:ext uri="{FF2B5EF4-FFF2-40B4-BE49-F238E27FC236}">
              <a16:creationId xmlns:a16="http://schemas.microsoft.com/office/drawing/2014/main" id="{20227A0D-1657-9543-83A1-FD877FC86D66}"/>
            </a:ext>
          </a:extLst>
        </xdr:cNvPr>
        <xdr:cNvCxnSpPr/>
      </xdr:nvCxnSpPr>
      <xdr:spPr>
        <a:xfrm flipV="1">
          <a:off x="555625" y="59106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29</xdr:row>
      <xdr:rowOff>121708</xdr:rowOff>
    </xdr:from>
    <xdr:to>
      <xdr:col>2</xdr:col>
      <xdr:colOff>287373</xdr:colOff>
      <xdr:row>31</xdr:row>
      <xdr:rowOff>92701</xdr:rowOff>
    </xdr:to>
    <xdr:cxnSp macro="">
      <xdr:nvCxnSpPr>
        <xdr:cNvPr id="9" name="Straight Connector 8">
          <a:extLst>
            <a:ext uri="{FF2B5EF4-FFF2-40B4-BE49-F238E27FC236}">
              <a16:creationId xmlns:a16="http://schemas.microsoft.com/office/drawing/2014/main" id="{D6636476-CEFF-4F4E-9A21-A6BC02452333}"/>
            </a:ext>
          </a:extLst>
        </xdr:cNvPr>
        <xdr:cNvCxnSpPr/>
      </xdr:nvCxnSpPr>
      <xdr:spPr>
        <a:xfrm>
          <a:off x="550333" y="62812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25</xdr:row>
      <xdr:rowOff>120511</xdr:rowOff>
    </xdr:from>
    <xdr:to>
      <xdr:col>4</xdr:col>
      <xdr:colOff>287372</xdr:colOff>
      <xdr:row>27</xdr:row>
      <xdr:rowOff>100542</xdr:rowOff>
    </xdr:to>
    <xdr:cxnSp macro="">
      <xdr:nvCxnSpPr>
        <xdr:cNvPr id="10" name="Straight Connector 9">
          <a:extLst>
            <a:ext uri="{FF2B5EF4-FFF2-40B4-BE49-F238E27FC236}">
              <a16:creationId xmlns:a16="http://schemas.microsoft.com/office/drawing/2014/main" id="{2958CC09-BA45-AF49-99B5-37AD46D14CE1}"/>
            </a:ext>
          </a:extLst>
        </xdr:cNvPr>
        <xdr:cNvCxnSpPr/>
      </xdr:nvCxnSpPr>
      <xdr:spPr>
        <a:xfrm flipV="1">
          <a:off x="2164292" y="5467211"/>
          <a:ext cx="15139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27</xdr:row>
      <xdr:rowOff>100542</xdr:rowOff>
    </xdr:from>
    <xdr:to>
      <xdr:col>4</xdr:col>
      <xdr:colOff>268832</xdr:colOff>
      <xdr:row>29</xdr:row>
      <xdr:rowOff>111241</xdr:rowOff>
    </xdr:to>
    <xdr:cxnSp macro="">
      <xdr:nvCxnSpPr>
        <xdr:cNvPr id="11" name="Straight Connector 10">
          <a:extLst>
            <a:ext uri="{FF2B5EF4-FFF2-40B4-BE49-F238E27FC236}">
              <a16:creationId xmlns:a16="http://schemas.microsoft.com/office/drawing/2014/main" id="{4907EE51-8DF9-A041-B199-4266BBD42EF1}"/>
            </a:ext>
          </a:extLst>
        </xdr:cNvPr>
        <xdr:cNvCxnSpPr/>
      </xdr:nvCxnSpPr>
      <xdr:spPr>
        <a:xfrm flipH="1" flipV="1">
          <a:off x="2174875" y="5853642"/>
          <a:ext cx="14848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29</xdr:row>
      <xdr:rowOff>105833</xdr:rowOff>
    </xdr:from>
    <xdr:to>
      <xdr:col>4</xdr:col>
      <xdr:colOff>280458</xdr:colOff>
      <xdr:row>31</xdr:row>
      <xdr:rowOff>101971</xdr:rowOff>
    </xdr:to>
    <xdr:cxnSp macro="">
      <xdr:nvCxnSpPr>
        <xdr:cNvPr id="12" name="Straight Connector 11">
          <a:extLst>
            <a:ext uri="{FF2B5EF4-FFF2-40B4-BE49-F238E27FC236}">
              <a16:creationId xmlns:a16="http://schemas.microsoft.com/office/drawing/2014/main" id="{11FBDBD9-ED50-F348-AF2C-1E2F43692ACC}"/>
            </a:ext>
          </a:extLst>
        </xdr:cNvPr>
        <xdr:cNvCxnSpPr/>
      </xdr:nvCxnSpPr>
      <xdr:spPr>
        <a:xfrm flipV="1">
          <a:off x="2216474" y="6265333"/>
          <a:ext cx="14548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31</xdr:row>
      <xdr:rowOff>101971</xdr:rowOff>
    </xdr:from>
    <xdr:to>
      <xdr:col>4</xdr:col>
      <xdr:colOff>259562</xdr:colOff>
      <xdr:row>33</xdr:row>
      <xdr:rowOff>83431</xdr:rowOff>
    </xdr:to>
    <xdr:cxnSp macro="">
      <xdr:nvCxnSpPr>
        <xdr:cNvPr id="13" name="Straight Connector 12">
          <a:extLst>
            <a:ext uri="{FF2B5EF4-FFF2-40B4-BE49-F238E27FC236}">
              <a16:creationId xmlns:a16="http://schemas.microsoft.com/office/drawing/2014/main" id="{4B09A3C1-5BE5-2E40-A949-A8533954FCF9}"/>
            </a:ext>
          </a:extLst>
        </xdr:cNvPr>
        <xdr:cNvCxnSpPr/>
      </xdr:nvCxnSpPr>
      <xdr:spPr>
        <a:xfrm flipH="1" flipV="1">
          <a:off x="2235015" y="6667871"/>
          <a:ext cx="14154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555625</xdr:colOff>
      <xdr:row>27</xdr:row>
      <xdr:rowOff>157592</xdr:rowOff>
    </xdr:from>
    <xdr:to>
      <xdr:col>2</xdr:col>
      <xdr:colOff>250292</xdr:colOff>
      <xdr:row>29</xdr:row>
      <xdr:rowOff>121708</xdr:rowOff>
    </xdr:to>
    <xdr:cxnSp macro="">
      <xdr:nvCxnSpPr>
        <xdr:cNvPr id="14" name="Straight Connector 13">
          <a:extLst>
            <a:ext uri="{FF2B5EF4-FFF2-40B4-BE49-F238E27FC236}">
              <a16:creationId xmlns:a16="http://schemas.microsoft.com/office/drawing/2014/main" id="{D3E2C4BC-2064-5143-8415-D59481FF27EC}"/>
            </a:ext>
          </a:extLst>
        </xdr:cNvPr>
        <xdr:cNvCxnSpPr/>
      </xdr:nvCxnSpPr>
      <xdr:spPr>
        <a:xfrm flipV="1">
          <a:off x="555625" y="59106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29</xdr:row>
      <xdr:rowOff>121708</xdr:rowOff>
    </xdr:from>
    <xdr:to>
      <xdr:col>2</xdr:col>
      <xdr:colOff>287373</xdr:colOff>
      <xdr:row>31</xdr:row>
      <xdr:rowOff>92701</xdr:rowOff>
    </xdr:to>
    <xdr:cxnSp macro="">
      <xdr:nvCxnSpPr>
        <xdr:cNvPr id="15" name="Straight Connector 14">
          <a:extLst>
            <a:ext uri="{FF2B5EF4-FFF2-40B4-BE49-F238E27FC236}">
              <a16:creationId xmlns:a16="http://schemas.microsoft.com/office/drawing/2014/main" id="{10D38237-C429-774F-9C10-084A6CB1F6A2}"/>
            </a:ext>
          </a:extLst>
        </xdr:cNvPr>
        <xdr:cNvCxnSpPr/>
      </xdr:nvCxnSpPr>
      <xdr:spPr>
        <a:xfrm>
          <a:off x="550333" y="62812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25</xdr:row>
      <xdr:rowOff>120511</xdr:rowOff>
    </xdr:from>
    <xdr:to>
      <xdr:col>4</xdr:col>
      <xdr:colOff>287372</xdr:colOff>
      <xdr:row>27</xdr:row>
      <xdr:rowOff>100542</xdr:rowOff>
    </xdr:to>
    <xdr:cxnSp macro="">
      <xdr:nvCxnSpPr>
        <xdr:cNvPr id="16" name="Straight Connector 15">
          <a:extLst>
            <a:ext uri="{FF2B5EF4-FFF2-40B4-BE49-F238E27FC236}">
              <a16:creationId xmlns:a16="http://schemas.microsoft.com/office/drawing/2014/main" id="{1E31597A-0019-FB46-B323-8A1A658F590B}"/>
            </a:ext>
          </a:extLst>
        </xdr:cNvPr>
        <xdr:cNvCxnSpPr/>
      </xdr:nvCxnSpPr>
      <xdr:spPr>
        <a:xfrm flipV="1">
          <a:off x="2164292" y="5467211"/>
          <a:ext cx="15139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27</xdr:row>
      <xdr:rowOff>100542</xdr:rowOff>
    </xdr:from>
    <xdr:to>
      <xdr:col>4</xdr:col>
      <xdr:colOff>268832</xdr:colOff>
      <xdr:row>29</xdr:row>
      <xdr:rowOff>111241</xdr:rowOff>
    </xdr:to>
    <xdr:cxnSp macro="">
      <xdr:nvCxnSpPr>
        <xdr:cNvPr id="17" name="Straight Connector 16">
          <a:extLst>
            <a:ext uri="{FF2B5EF4-FFF2-40B4-BE49-F238E27FC236}">
              <a16:creationId xmlns:a16="http://schemas.microsoft.com/office/drawing/2014/main" id="{1A14CC0B-E15F-7B47-A68F-7AEE9B788A0E}"/>
            </a:ext>
          </a:extLst>
        </xdr:cNvPr>
        <xdr:cNvCxnSpPr/>
      </xdr:nvCxnSpPr>
      <xdr:spPr>
        <a:xfrm flipH="1" flipV="1">
          <a:off x="2174875" y="5853642"/>
          <a:ext cx="14848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29</xdr:row>
      <xdr:rowOff>105833</xdr:rowOff>
    </xdr:from>
    <xdr:to>
      <xdr:col>4</xdr:col>
      <xdr:colOff>280458</xdr:colOff>
      <xdr:row>31</xdr:row>
      <xdr:rowOff>101971</xdr:rowOff>
    </xdr:to>
    <xdr:cxnSp macro="">
      <xdr:nvCxnSpPr>
        <xdr:cNvPr id="18" name="Straight Connector 17">
          <a:extLst>
            <a:ext uri="{FF2B5EF4-FFF2-40B4-BE49-F238E27FC236}">
              <a16:creationId xmlns:a16="http://schemas.microsoft.com/office/drawing/2014/main" id="{783AA9C9-6DC7-C04C-B15B-81137BA43008}"/>
            </a:ext>
          </a:extLst>
        </xdr:cNvPr>
        <xdr:cNvCxnSpPr/>
      </xdr:nvCxnSpPr>
      <xdr:spPr>
        <a:xfrm flipV="1">
          <a:off x="2216474" y="6265333"/>
          <a:ext cx="14548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31</xdr:row>
      <xdr:rowOff>101971</xdr:rowOff>
    </xdr:from>
    <xdr:to>
      <xdr:col>4</xdr:col>
      <xdr:colOff>259562</xdr:colOff>
      <xdr:row>33</xdr:row>
      <xdr:rowOff>83431</xdr:rowOff>
    </xdr:to>
    <xdr:cxnSp macro="">
      <xdr:nvCxnSpPr>
        <xdr:cNvPr id="19" name="Straight Connector 18">
          <a:extLst>
            <a:ext uri="{FF2B5EF4-FFF2-40B4-BE49-F238E27FC236}">
              <a16:creationId xmlns:a16="http://schemas.microsoft.com/office/drawing/2014/main" id="{36F452A4-0041-104E-A916-A22B7B0BE9D2}"/>
            </a:ext>
          </a:extLst>
        </xdr:cNvPr>
        <xdr:cNvCxnSpPr/>
      </xdr:nvCxnSpPr>
      <xdr:spPr>
        <a:xfrm flipH="1" flipV="1">
          <a:off x="2235015" y="6667871"/>
          <a:ext cx="14154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1</xdr:colOff>
      <xdr:row>37</xdr:row>
      <xdr:rowOff>201705</xdr:rowOff>
    </xdr:from>
    <xdr:ext cx="4125210" cy="623257"/>
    <xdr:pic>
      <xdr:nvPicPr>
        <xdr:cNvPr id="20" name="Picture 19">
          <a:extLst>
            <a:ext uri="{FF2B5EF4-FFF2-40B4-BE49-F238E27FC236}">
              <a16:creationId xmlns:a16="http://schemas.microsoft.com/office/drawing/2014/main" id="{74097F55-143B-394F-A05C-9B24DDB7CB72}"/>
            </a:ext>
          </a:extLst>
        </xdr:cNvPr>
        <xdr:cNvPicPr>
          <a:picLocks noChangeAspect="1"/>
        </xdr:cNvPicPr>
      </xdr:nvPicPr>
      <xdr:blipFill>
        <a:blip xmlns:r="http://schemas.openxmlformats.org/officeDocument/2006/relationships" r:embed="rId1"/>
        <a:stretch>
          <a:fillRect/>
        </a:stretch>
      </xdr:blipFill>
      <xdr:spPr>
        <a:xfrm>
          <a:off x="1" y="7986805"/>
          <a:ext cx="4125210" cy="623257"/>
        </a:xfrm>
        <a:prstGeom prst="rect">
          <a:avLst/>
        </a:prstGeom>
      </xdr:spPr>
    </xdr:pic>
    <xdr:clientData/>
  </xdr:oneCellAnchor>
  <xdr:twoCellAnchor>
    <xdr:from>
      <xdr:col>0</xdr:col>
      <xdr:colOff>555625</xdr:colOff>
      <xdr:row>47</xdr:row>
      <xdr:rowOff>157592</xdr:rowOff>
    </xdr:from>
    <xdr:to>
      <xdr:col>2</xdr:col>
      <xdr:colOff>250292</xdr:colOff>
      <xdr:row>49</xdr:row>
      <xdr:rowOff>121708</xdr:rowOff>
    </xdr:to>
    <xdr:cxnSp macro="">
      <xdr:nvCxnSpPr>
        <xdr:cNvPr id="21" name="Straight Connector 20">
          <a:extLst>
            <a:ext uri="{FF2B5EF4-FFF2-40B4-BE49-F238E27FC236}">
              <a16:creationId xmlns:a16="http://schemas.microsoft.com/office/drawing/2014/main" id="{2B178BF0-85AA-6D40-95C2-C9127A29822E}"/>
            </a:ext>
          </a:extLst>
        </xdr:cNvPr>
        <xdr:cNvCxnSpPr/>
      </xdr:nvCxnSpPr>
      <xdr:spPr>
        <a:xfrm flipV="1">
          <a:off x="555625" y="99746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49</xdr:row>
      <xdr:rowOff>121708</xdr:rowOff>
    </xdr:from>
    <xdr:to>
      <xdr:col>2</xdr:col>
      <xdr:colOff>287373</xdr:colOff>
      <xdr:row>52</xdr:row>
      <xdr:rowOff>92701</xdr:rowOff>
    </xdr:to>
    <xdr:cxnSp macro="">
      <xdr:nvCxnSpPr>
        <xdr:cNvPr id="22" name="Straight Connector 21">
          <a:extLst>
            <a:ext uri="{FF2B5EF4-FFF2-40B4-BE49-F238E27FC236}">
              <a16:creationId xmlns:a16="http://schemas.microsoft.com/office/drawing/2014/main" id="{6E436BB0-92E7-1A42-8F5E-2CFDE54D317B}"/>
            </a:ext>
          </a:extLst>
        </xdr:cNvPr>
        <xdr:cNvCxnSpPr/>
      </xdr:nvCxnSpPr>
      <xdr:spPr>
        <a:xfrm>
          <a:off x="550333" y="10345208"/>
          <a:ext cx="1388040" cy="5805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44</xdr:row>
      <xdr:rowOff>120511</xdr:rowOff>
    </xdr:from>
    <xdr:to>
      <xdr:col>4</xdr:col>
      <xdr:colOff>287372</xdr:colOff>
      <xdr:row>47</xdr:row>
      <xdr:rowOff>100542</xdr:rowOff>
    </xdr:to>
    <xdr:cxnSp macro="">
      <xdr:nvCxnSpPr>
        <xdr:cNvPr id="23" name="Straight Connector 22">
          <a:extLst>
            <a:ext uri="{FF2B5EF4-FFF2-40B4-BE49-F238E27FC236}">
              <a16:creationId xmlns:a16="http://schemas.microsoft.com/office/drawing/2014/main" id="{B409F8D9-8705-2F44-8C9D-29350A4138E6}"/>
            </a:ext>
          </a:extLst>
        </xdr:cNvPr>
        <xdr:cNvCxnSpPr/>
      </xdr:nvCxnSpPr>
      <xdr:spPr>
        <a:xfrm flipV="1">
          <a:off x="2164292" y="9328011"/>
          <a:ext cx="1513980" cy="5896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47</xdr:row>
      <xdr:rowOff>100542</xdr:rowOff>
    </xdr:from>
    <xdr:to>
      <xdr:col>4</xdr:col>
      <xdr:colOff>268832</xdr:colOff>
      <xdr:row>49</xdr:row>
      <xdr:rowOff>111241</xdr:rowOff>
    </xdr:to>
    <xdr:cxnSp macro="">
      <xdr:nvCxnSpPr>
        <xdr:cNvPr id="24" name="Straight Connector 23">
          <a:extLst>
            <a:ext uri="{FF2B5EF4-FFF2-40B4-BE49-F238E27FC236}">
              <a16:creationId xmlns:a16="http://schemas.microsoft.com/office/drawing/2014/main" id="{CE425609-752B-1C47-BEB0-0DBF97A6843D}"/>
            </a:ext>
          </a:extLst>
        </xdr:cNvPr>
        <xdr:cNvCxnSpPr/>
      </xdr:nvCxnSpPr>
      <xdr:spPr>
        <a:xfrm flipH="1" flipV="1">
          <a:off x="2174875" y="9917642"/>
          <a:ext cx="14848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49</xdr:row>
      <xdr:rowOff>105833</xdr:rowOff>
    </xdr:from>
    <xdr:to>
      <xdr:col>4</xdr:col>
      <xdr:colOff>280458</xdr:colOff>
      <xdr:row>52</xdr:row>
      <xdr:rowOff>101971</xdr:rowOff>
    </xdr:to>
    <xdr:cxnSp macro="">
      <xdr:nvCxnSpPr>
        <xdr:cNvPr id="25" name="Straight Connector 24">
          <a:extLst>
            <a:ext uri="{FF2B5EF4-FFF2-40B4-BE49-F238E27FC236}">
              <a16:creationId xmlns:a16="http://schemas.microsoft.com/office/drawing/2014/main" id="{9E8B7752-ED03-8B4E-81F0-AB288651D093}"/>
            </a:ext>
          </a:extLst>
        </xdr:cNvPr>
        <xdr:cNvCxnSpPr/>
      </xdr:nvCxnSpPr>
      <xdr:spPr>
        <a:xfrm flipV="1">
          <a:off x="2216474" y="10329333"/>
          <a:ext cx="1454884" cy="6057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52</xdr:row>
      <xdr:rowOff>101971</xdr:rowOff>
    </xdr:from>
    <xdr:to>
      <xdr:col>4</xdr:col>
      <xdr:colOff>259562</xdr:colOff>
      <xdr:row>54</xdr:row>
      <xdr:rowOff>83431</xdr:rowOff>
    </xdr:to>
    <xdr:cxnSp macro="">
      <xdr:nvCxnSpPr>
        <xdr:cNvPr id="26" name="Straight Connector 25">
          <a:extLst>
            <a:ext uri="{FF2B5EF4-FFF2-40B4-BE49-F238E27FC236}">
              <a16:creationId xmlns:a16="http://schemas.microsoft.com/office/drawing/2014/main" id="{FEBE4230-31D0-5E4C-9299-9821EB927340}"/>
            </a:ext>
          </a:extLst>
        </xdr:cNvPr>
        <xdr:cNvCxnSpPr/>
      </xdr:nvCxnSpPr>
      <xdr:spPr>
        <a:xfrm flipH="1" flipV="1">
          <a:off x="2235015" y="10935071"/>
          <a:ext cx="14154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63500</xdr:colOff>
      <xdr:row>5</xdr:row>
      <xdr:rowOff>38100</xdr:rowOff>
    </xdr:from>
    <xdr:to>
      <xdr:col>13</xdr:col>
      <xdr:colOff>676729</xdr:colOff>
      <xdr:row>27</xdr:row>
      <xdr:rowOff>164762</xdr:rowOff>
    </xdr:to>
    <xdr:pic>
      <xdr:nvPicPr>
        <xdr:cNvPr id="2" name="Picture 1">
          <a:extLst>
            <a:ext uri="{FF2B5EF4-FFF2-40B4-BE49-F238E27FC236}">
              <a16:creationId xmlns:a16="http://schemas.microsoft.com/office/drawing/2014/main" id="{57E8F9F1-D96B-34A4-2F62-3C4A227391A6}"/>
            </a:ext>
          </a:extLst>
        </xdr:cNvPr>
        <xdr:cNvPicPr>
          <a:picLocks noChangeAspect="1"/>
        </xdr:cNvPicPr>
      </xdr:nvPicPr>
      <xdr:blipFill>
        <a:blip xmlns:r="http://schemas.openxmlformats.org/officeDocument/2006/relationships" r:embed="rId1"/>
        <a:stretch>
          <a:fillRect/>
        </a:stretch>
      </xdr:blipFill>
      <xdr:spPr>
        <a:xfrm>
          <a:off x="5638800" y="1054100"/>
          <a:ext cx="7289800" cy="459706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18014</xdr:colOff>
      <xdr:row>1</xdr:row>
      <xdr:rowOff>12700</xdr:rowOff>
    </xdr:from>
    <xdr:to>
      <xdr:col>9</xdr:col>
      <xdr:colOff>818114</xdr:colOff>
      <xdr:row>17</xdr:row>
      <xdr:rowOff>152400</xdr:rowOff>
    </xdr:to>
    <xdr:graphicFrame macro="">
      <xdr:nvGraphicFramePr>
        <xdr:cNvPr id="2" name="Chart 1">
          <a:extLst>
            <a:ext uri="{FF2B5EF4-FFF2-40B4-BE49-F238E27FC236}">
              <a16:creationId xmlns:a16="http://schemas.microsoft.com/office/drawing/2014/main" id="{454DD3F0-87EA-64DD-08BC-385F390E7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722386</xdr:colOff>
      <xdr:row>8</xdr:row>
      <xdr:rowOff>141111</xdr:rowOff>
    </xdr:from>
    <xdr:to>
      <xdr:col>7</xdr:col>
      <xdr:colOff>412479</xdr:colOff>
      <xdr:row>10</xdr:row>
      <xdr:rowOff>69908</xdr:rowOff>
    </xdr:to>
    <xdr:cxnSp macro="">
      <xdr:nvCxnSpPr>
        <xdr:cNvPr id="3" name="Straight Connector 2">
          <a:extLst>
            <a:ext uri="{FF2B5EF4-FFF2-40B4-BE49-F238E27FC236}">
              <a16:creationId xmlns:a16="http://schemas.microsoft.com/office/drawing/2014/main" id="{9666909B-6045-1311-E975-317156832ED1}"/>
            </a:ext>
          </a:extLst>
        </xdr:cNvPr>
        <xdr:cNvCxnSpPr/>
      </xdr:nvCxnSpPr>
      <xdr:spPr>
        <a:xfrm flipV="1">
          <a:off x="6862661" y="1725698"/>
          <a:ext cx="2952479" cy="32494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780642</xdr:colOff>
      <xdr:row>10</xdr:row>
      <xdr:rowOff>163119</xdr:rowOff>
    </xdr:from>
    <xdr:to>
      <xdr:col>7</xdr:col>
      <xdr:colOff>434188</xdr:colOff>
      <xdr:row>12</xdr:row>
      <xdr:rowOff>119402</xdr:rowOff>
    </xdr:to>
    <xdr:cxnSp macro="">
      <xdr:nvCxnSpPr>
        <xdr:cNvPr id="5" name="Straight Connector 4">
          <a:extLst>
            <a:ext uri="{FF2B5EF4-FFF2-40B4-BE49-F238E27FC236}">
              <a16:creationId xmlns:a16="http://schemas.microsoft.com/office/drawing/2014/main" id="{95FD6B61-8E77-5F34-F5E6-9D4CFA645673}"/>
            </a:ext>
          </a:extLst>
        </xdr:cNvPr>
        <xdr:cNvCxnSpPr/>
      </xdr:nvCxnSpPr>
      <xdr:spPr>
        <a:xfrm flipH="1" flipV="1">
          <a:off x="6920917" y="2143853"/>
          <a:ext cx="2915932" cy="35243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5DE5878-1D6B-584D-8889-650CEEC0B554}" autoFormatId="16" applyNumberFormats="0" applyBorderFormats="0" applyFontFormats="0" applyPatternFormats="0" applyAlignmentFormats="0" applyWidthHeightFormats="0">
  <queryTableRefresh nextId="6">
    <queryTableFields count="5">
      <queryTableField id="1" name="Date" tableColumnId="1"/>
      <queryTableField id="2" name="Close/Last" tableColumnId="2"/>
      <queryTableField id="3" name="Open" tableColumnId="3"/>
      <queryTableField id="4" name="High" tableColumnId="4"/>
      <queryTableField id="5" name="Low"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88B87E-9EED-0B4D-869C-E7D593EB42A4}" name="HistoricalData_NASDAQ100__2" displayName="HistoricalData_NASDAQ100__2" ref="A3:E253" tableType="queryTable" totalsRowShown="0">
  <autoFilter ref="A3:E253" xr:uid="{F688B87E-9EED-0B4D-869C-E7D593EB42A4}"/>
  <tableColumns count="5">
    <tableColumn id="1" xr3:uid="{5C013018-2AC3-864F-B004-A46134E8E686}" uniqueName="1" name="Date" queryTableFieldId="1" dataDxfId="6"/>
    <tableColumn id="2" xr3:uid="{76B24BE0-53BE-E143-A5CE-1F33DFB554F7}" uniqueName="2" name="Close/Last" queryTableFieldId="2"/>
    <tableColumn id="3" xr3:uid="{C4C1E32F-EE4E-774D-BB10-FAE8D6914417}" uniqueName="3" name="Open" queryTableFieldId="3"/>
    <tableColumn id="4" xr3:uid="{DD4101E6-3EC4-8841-AEA2-17103A45B84F}" uniqueName="4" name="High" queryTableFieldId="4"/>
    <tableColumn id="5" xr3:uid="{9E2CA75F-CC88-E846-97FC-466FFF3AD6E6}" uniqueName="5" name="Low"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BEE9F8-8633-0A48-A970-91E36A8B9A75}" name="Table4" displayName="Table4" ref="G3:H253" totalsRowShown="0" headerRowDxfId="5" headerRowBorderDxfId="4" tableBorderDxfId="3" totalsRowBorderDxfId="2">
  <autoFilter ref="G3:H253" xr:uid="{B3BEE9F8-8633-0A48-A970-91E36A8B9A75}"/>
  <tableColumns count="2">
    <tableColumn id="1" xr3:uid="{D3402752-EF88-5C48-8A97-B4E2EF613471}" name="Date" dataDxfId="1"/>
    <tableColumn id="2" xr3:uid="{C92269BB-84AA-A347-BBCD-CEF2EBFD4D64}" name="daily log-returns" dataDxfId="0">
      <calculatedColumnFormula>LOG($B4)-LOG($B5)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51175-E1F0-2F48-94D7-3CF032425CB3}">
  <sheetPr>
    <tabColor rgb="FFC00000"/>
  </sheetPr>
  <dimension ref="A1:E27"/>
  <sheetViews>
    <sheetView zoomScale="194" zoomScaleNormal="200" workbookViewId="0">
      <pane ySplit="1" topLeftCell="A2" activePane="bottomLeft" state="frozen"/>
      <selection pane="bottomLeft" activeCell="E9" sqref="E9"/>
    </sheetView>
  </sheetViews>
  <sheetFormatPr baseColWidth="10" defaultRowHeight="16" x14ac:dyDescent="0.2"/>
  <cols>
    <col min="1" max="1" width="9.33203125" bestFit="1" customWidth="1"/>
    <col min="2" max="2" width="17" bestFit="1" customWidth="1"/>
    <col min="3" max="3" width="25" bestFit="1" customWidth="1"/>
    <col min="4" max="4" width="8.33203125" bestFit="1" customWidth="1"/>
    <col min="6" max="7" width="10.83203125" customWidth="1"/>
  </cols>
  <sheetData>
    <row r="1" spans="1:5" x14ac:dyDescent="0.2">
      <c r="A1" s="77" t="s">
        <v>0</v>
      </c>
      <c r="B1" s="77"/>
      <c r="C1" s="77"/>
      <c r="D1" s="77"/>
    </row>
    <row r="2" spans="1:5" x14ac:dyDescent="0.2">
      <c r="A2" s="72" t="s">
        <v>105</v>
      </c>
      <c r="B2" s="72"/>
      <c r="C2" s="72"/>
      <c r="D2" s="3"/>
    </row>
    <row r="3" spans="1:5" ht="17" x14ac:dyDescent="0.2">
      <c r="A3" s="4" t="s">
        <v>1</v>
      </c>
      <c r="B3" s="4" t="s">
        <v>2</v>
      </c>
      <c r="C3" s="4" t="s">
        <v>27</v>
      </c>
      <c r="D3" s="3"/>
    </row>
    <row r="4" spans="1:5" x14ac:dyDescent="0.2">
      <c r="A4" s="6">
        <v>20</v>
      </c>
      <c r="B4" s="6">
        <v>1</v>
      </c>
      <c r="C4" s="6">
        <v>25</v>
      </c>
      <c r="D4" s="3"/>
    </row>
    <row r="5" spans="1:5" x14ac:dyDescent="0.2">
      <c r="A5" s="3"/>
      <c r="B5" s="3"/>
      <c r="C5" s="3"/>
      <c r="D5" s="3"/>
    </row>
    <row r="6" spans="1:5" ht="16" customHeight="1" x14ac:dyDescent="0.2">
      <c r="A6" s="78" t="s">
        <v>106</v>
      </c>
      <c r="B6" s="78"/>
      <c r="C6" s="78"/>
      <c r="D6" s="3"/>
    </row>
    <row r="7" spans="1:5" x14ac:dyDescent="0.2">
      <c r="A7" s="79" t="s">
        <v>4</v>
      </c>
      <c r="B7" s="79"/>
      <c r="C7" s="5">
        <f>C4-A4</f>
        <v>5</v>
      </c>
      <c r="D7" s="3"/>
    </row>
    <row r="8" spans="1:5" ht="34" customHeight="1" x14ac:dyDescent="0.2">
      <c r="A8" s="62" t="s">
        <v>99</v>
      </c>
      <c r="B8" s="32" t="s">
        <v>104</v>
      </c>
      <c r="C8" s="5" t="s">
        <v>98</v>
      </c>
      <c r="D8" s="3"/>
    </row>
    <row r="9" spans="1:5" ht="16" customHeight="1" x14ac:dyDescent="0.2">
      <c r="A9" s="3"/>
      <c r="B9" s="3"/>
      <c r="C9" s="3"/>
      <c r="D9" s="3"/>
    </row>
    <row r="10" spans="1:5" ht="16" customHeight="1" x14ac:dyDescent="0.2">
      <c r="A10" s="78" t="s">
        <v>107</v>
      </c>
      <c r="B10" s="78"/>
      <c r="C10" s="78"/>
      <c r="D10" s="78"/>
    </row>
    <row r="11" spans="1:5" x14ac:dyDescent="0.2">
      <c r="A11" s="79" t="s">
        <v>5</v>
      </c>
      <c r="B11" s="79"/>
      <c r="C11" s="79"/>
      <c r="D11" s="5">
        <f>C4</f>
        <v>25</v>
      </c>
    </row>
    <row r="12" spans="1:5" x14ac:dyDescent="0.2">
      <c r="A12" s="87" t="s">
        <v>108</v>
      </c>
      <c r="B12" s="88"/>
      <c r="C12" s="89"/>
      <c r="D12" s="5">
        <f>-D11</f>
        <v>-25</v>
      </c>
    </row>
    <row r="13" spans="1:5" x14ac:dyDescent="0.2">
      <c r="A13" s="83" t="s">
        <v>100</v>
      </c>
      <c r="B13" s="74" t="s">
        <v>104</v>
      </c>
      <c r="C13" s="76"/>
      <c r="D13" s="6" t="s">
        <v>110</v>
      </c>
      <c r="E13" s="2"/>
    </row>
    <row r="14" spans="1:5" x14ac:dyDescent="0.2">
      <c r="A14" s="84"/>
      <c r="B14" s="81" t="s">
        <v>101</v>
      </c>
      <c r="C14" s="32" t="s">
        <v>102</v>
      </c>
      <c r="D14" s="6">
        <f>-A4</f>
        <v>-20</v>
      </c>
    </row>
    <row r="15" spans="1:5" x14ac:dyDescent="0.2">
      <c r="A15" s="85"/>
      <c r="B15" s="82"/>
      <c r="C15" s="32" t="s">
        <v>103</v>
      </c>
      <c r="D15" s="6" t="s">
        <v>111</v>
      </c>
    </row>
    <row r="16" spans="1:5" ht="16" customHeight="1" x14ac:dyDescent="0.2">
      <c r="A16" s="86" t="s">
        <v>109</v>
      </c>
      <c r="B16" s="86"/>
      <c r="C16" s="86"/>
      <c r="D16" s="86"/>
    </row>
    <row r="17" spans="1:5" ht="16" customHeight="1" x14ac:dyDescent="0.2">
      <c r="A17" s="86"/>
      <c r="B17" s="86"/>
      <c r="C17" s="86"/>
      <c r="D17" s="86"/>
    </row>
    <row r="18" spans="1:5" x14ac:dyDescent="0.2">
      <c r="A18" s="86"/>
      <c r="B18" s="86"/>
      <c r="C18" s="86"/>
      <c r="D18" s="86"/>
    </row>
    <row r="19" spans="1:5" x14ac:dyDescent="0.2">
      <c r="A19" s="2"/>
      <c r="B19" s="2"/>
      <c r="C19" s="2"/>
      <c r="D19" s="2"/>
    </row>
    <row r="20" spans="1:5" x14ac:dyDescent="0.2">
      <c r="A20" s="2"/>
      <c r="B20" s="2"/>
      <c r="C20" s="2"/>
      <c r="D20" s="2"/>
    </row>
    <row r="27" spans="1:5" x14ac:dyDescent="0.2">
      <c r="D27" s="80"/>
      <c r="E27" s="80"/>
    </row>
  </sheetData>
  <mergeCells count="12">
    <mergeCell ref="D27:E27"/>
    <mergeCell ref="B14:B15"/>
    <mergeCell ref="A13:A15"/>
    <mergeCell ref="B13:C13"/>
    <mergeCell ref="A11:C11"/>
    <mergeCell ref="A16:D18"/>
    <mergeCell ref="A12:C12"/>
    <mergeCell ref="A2:C2"/>
    <mergeCell ref="A1:D1"/>
    <mergeCell ref="A6:C6"/>
    <mergeCell ref="A10:D10"/>
    <mergeCell ref="A7:B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7E9B-1D11-F246-A677-D06FCD68FCD7}">
  <sheetPr>
    <tabColor rgb="FFFFFF00"/>
  </sheetPr>
  <dimension ref="A1:F72"/>
  <sheetViews>
    <sheetView tabSelected="1" zoomScale="185" workbookViewId="0">
      <pane ySplit="1" topLeftCell="A2" activePane="bottomLeft" state="frozen"/>
      <selection pane="bottomLeft" activeCell="A52" sqref="A52"/>
    </sheetView>
  </sheetViews>
  <sheetFormatPr baseColWidth="10" defaultRowHeight="16" x14ac:dyDescent="0.2"/>
  <cols>
    <col min="3" max="3" width="10.83203125" customWidth="1"/>
    <col min="4" max="4" width="12" bestFit="1" customWidth="1"/>
  </cols>
  <sheetData>
    <row r="1" spans="1:5" x14ac:dyDescent="0.2">
      <c r="A1" s="77" t="s">
        <v>6</v>
      </c>
      <c r="B1" s="77"/>
      <c r="C1" s="77"/>
      <c r="D1" s="77"/>
      <c r="E1" s="77"/>
    </row>
    <row r="2" spans="1:5" x14ac:dyDescent="0.2">
      <c r="A2" s="99" t="s">
        <v>7</v>
      </c>
      <c r="B2" s="99"/>
      <c r="C2" s="99"/>
      <c r="D2" s="36" t="s">
        <v>27</v>
      </c>
      <c r="E2" s="6">
        <v>150</v>
      </c>
    </row>
    <row r="3" spans="1:5" x14ac:dyDescent="0.2">
      <c r="A3" s="99"/>
      <c r="B3" s="99"/>
      <c r="C3" s="99"/>
      <c r="D3" s="36" t="s">
        <v>8</v>
      </c>
      <c r="E3" s="58">
        <v>1.1100000000000001</v>
      </c>
    </row>
    <row r="4" spans="1:5" x14ac:dyDescent="0.2">
      <c r="A4" s="99"/>
      <c r="B4" s="99"/>
      <c r="C4" s="99"/>
      <c r="D4" s="36" t="s">
        <v>9</v>
      </c>
      <c r="E4" s="58">
        <v>0.93</v>
      </c>
    </row>
    <row r="5" spans="1:5" x14ac:dyDescent="0.2">
      <c r="A5" s="99"/>
      <c r="B5" s="99"/>
      <c r="C5" s="99"/>
      <c r="D5" s="36" t="s">
        <v>16</v>
      </c>
      <c r="E5" s="39">
        <f>(1+E7-E4)/(E3-E4)</f>
        <v>0.58333333333333248</v>
      </c>
    </row>
    <row r="6" spans="1:5" x14ac:dyDescent="0.2">
      <c r="A6" s="99"/>
      <c r="B6" s="99"/>
      <c r="C6" s="99"/>
      <c r="D6" s="36" t="s">
        <v>17</v>
      </c>
      <c r="E6" s="39">
        <f>(E3-1-E7)/(E3-E4)</f>
        <v>0.41666666666666707</v>
      </c>
    </row>
    <row r="7" spans="1:5" ht="19" x14ac:dyDescent="0.25">
      <c r="A7" s="99"/>
      <c r="B7" s="99"/>
      <c r="C7" s="99"/>
      <c r="D7" s="36" t="s">
        <v>97</v>
      </c>
      <c r="E7" s="6">
        <v>3.5000000000000003E-2</v>
      </c>
    </row>
    <row r="8" spans="1:5" ht="34" x14ac:dyDescent="0.2">
      <c r="A8" s="99"/>
      <c r="B8" s="99"/>
      <c r="C8" s="99"/>
      <c r="D8" s="4" t="s">
        <v>24</v>
      </c>
      <c r="E8" s="6">
        <v>155</v>
      </c>
    </row>
    <row r="11" spans="1:5" x14ac:dyDescent="0.2">
      <c r="A11" s="95" t="s">
        <v>3</v>
      </c>
      <c r="B11" s="95"/>
      <c r="C11" s="95"/>
      <c r="D11" s="95"/>
      <c r="E11" s="95"/>
    </row>
    <row r="12" spans="1:5" x14ac:dyDescent="0.2">
      <c r="A12" s="9"/>
      <c r="B12" s="10"/>
      <c r="C12" s="10"/>
      <c r="D12" s="10"/>
      <c r="E12" s="11">
        <f>$C$14*$E$3</f>
        <v>184.81500000000005</v>
      </c>
    </row>
    <row r="13" spans="1:5" x14ac:dyDescent="0.2">
      <c r="A13" s="12"/>
      <c r="B13" s="7"/>
      <c r="C13" s="7"/>
      <c r="D13" s="7"/>
      <c r="E13" s="13" t="s">
        <v>13</v>
      </c>
    </row>
    <row r="14" spans="1:5" x14ac:dyDescent="0.2">
      <c r="A14" s="12"/>
      <c r="B14" s="7"/>
      <c r="C14" s="7">
        <f>$A$16*$E$3</f>
        <v>166.50000000000003</v>
      </c>
      <c r="D14" s="8" t="s">
        <v>8</v>
      </c>
      <c r="E14" s="13"/>
    </row>
    <row r="15" spans="1:5" x14ac:dyDescent="0.2">
      <c r="A15" s="12"/>
      <c r="B15" s="7"/>
      <c r="C15" s="7" t="s">
        <v>10</v>
      </c>
      <c r="D15" s="7"/>
      <c r="E15" s="13"/>
    </row>
    <row r="16" spans="1:5" x14ac:dyDescent="0.2">
      <c r="A16" s="12">
        <f>E2</f>
        <v>150</v>
      </c>
      <c r="B16" s="8" t="s">
        <v>8</v>
      </c>
      <c r="C16" s="7"/>
      <c r="D16" s="8" t="s">
        <v>9</v>
      </c>
      <c r="E16" s="13">
        <f>$C$18*$E$3</f>
        <v>154.84500000000003</v>
      </c>
    </row>
    <row r="17" spans="1:5" x14ac:dyDescent="0.2">
      <c r="A17" s="12" t="s">
        <v>28</v>
      </c>
      <c r="B17" s="7"/>
      <c r="C17" s="7"/>
      <c r="D17" s="7"/>
      <c r="E17" s="13" t="s">
        <v>18</v>
      </c>
    </row>
    <row r="18" spans="1:5" x14ac:dyDescent="0.2">
      <c r="A18" s="12" t="s">
        <v>14</v>
      </c>
      <c r="B18" s="8" t="s">
        <v>9</v>
      </c>
      <c r="C18" s="7">
        <f>$A$16*$E$4</f>
        <v>139.5</v>
      </c>
      <c r="D18" s="8" t="s">
        <v>8</v>
      </c>
      <c r="E18" s="13"/>
    </row>
    <row r="19" spans="1:5" x14ac:dyDescent="0.2">
      <c r="A19" s="12"/>
      <c r="B19" s="7"/>
      <c r="C19" s="7" t="s">
        <v>11</v>
      </c>
      <c r="D19" s="7"/>
      <c r="E19" s="13"/>
    </row>
    <row r="20" spans="1:5" x14ac:dyDescent="0.2">
      <c r="A20" s="12"/>
      <c r="B20" s="7"/>
      <c r="C20" s="7"/>
      <c r="D20" s="8" t="s">
        <v>9</v>
      </c>
      <c r="E20" s="13">
        <f>$C$18*$E$4</f>
        <v>129.73500000000001</v>
      </c>
    </row>
    <row r="21" spans="1:5" x14ac:dyDescent="0.2">
      <c r="A21" s="12"/>
      <c r="B21" s="7"/>
      <c r="C21" s="7"/>
      <c r="D21" s="7"/>
      <c r="E21" s="13" t="s">
        <v>12</v>
      </c>
    </row>
    <row r="22" spans="1:5" x14ac:dyDescent="0.2">
      <c r="A22" s="14"/>
      <c r="B22" s="15"/>
      <c r="C22" s="15"/>
      <c r="D22" s="15"/>
      <c r="E22" s="16"/>
    </row>
    <row r="24" spans="1:5" x14ac:dyDescent="0.2">
      <c r="A24" s="95" t="s">
        <v>15</v>
      </c>
      <c r="B24" s="95"/>
      <c r="C24" s="95"/>
      <c r="D24" s="95"/>
      <c r="E24" s="95"/>
    </row>
    <row r="25" spans="1:5" x14ac:dyDescent="0.2">
      <c r="A25" s="9"/>
      <c r="B25" s="10"/>
      <c r="C25" s="10"/>
      <c r="D25" s="10"/>
      <c r="E25" s="11">
        <f>$C$14*$E$3</f>
        <v>184.81500000000005</v>
      </c>
    </row>
    <row r="26" spans="1:5" x14ac:dyDescent="0.2">
      <c r="A26" s="12"/>
      <c r="B26" s="7"/>
      <c r="C26" s="7"/>
      <c r="D26" s="17" t="s">
        <v>8</v>
      </c>
      <c r="E26" s="13" t="s">
        <v>13</v>
      </c>
    </row>
    <row r="27" spans="1:5" x14ac:dyDescent="0.2">
      <c r="A27" s="12"/>
      <c r="B27" s="7"/>
      <c r="C27" s="7">
        <f>$A$16*$E$3</f>
        <v>166.50000000000003</v>
      </c>
      <c r="D27" s="8"/>
      <c r="E27" s="13">
        <f>MAX(0,E8-E25)</f>
        <v>0</v>
      </c>
    </row>
    <row r="28" spans="1:5" x14ac:dyDescent="0.2">
      <c r="A28" s="12"/>
      <c r="B28" s="7"/>
      <c r="C28" s="7" t="s">
        <v>10</v>
      </c>
      <c r="D28" s="7"/>
      <c r="E28" s="13"/>
    </row>
    <row r="29" spans="1:5" x14ac:dyDescent="0.2">
      <c r="A29" s="12">
        <v>150</v>
      </c>
      <c r="B29" s="8" t="s">
        <v>8</v>
      </c>
      <c r="C29" s="18">
        <f>(E5*E27+E6*E31)/(1+E7)</f>
        <v>6.2399355877605832E-2</v>
      </c>
      <c r="D29" s="17" t="s">
        <v>9</v>
      </c>
      <c r="E29" s="13">
        <f>$C$18*$E$3</f>
        <v>154.84500000000003</v>
      </c>
    </row>
    <row r="30" spans="1:5" x14ac:dyDescent="0.2">
      <c r="A30" s="12" t="s">
        <v>28</v>
      </c>
      <c r="B30" s="7"/>
      <c r="C30" s="7"/>
      <c r="D30" s="7"/>
      <c r="E30" s="13" t="s">
        <v>18</v>
      </c>
    </row>
    <row r="31" spans="1:5" x14ac:dyDescent="0.2">
      <c r="A31" s="19">
        <f>(E5*C29+E6*C33)/(1+E7)</f>
        <v>4.1649811612354428</v>
      </c>
      <c r="B31" s="8" t="s">
        <v>9</v>
      </c>
      <c r="C31" s="7">
        <f>$A$16*$E$4</f>
        <v>139.5</v>
      </c>
      <c r="D31" s="17" t="s">
        <v>8</v>
      </c>
      <c r="E31" s="13">
        <f>MAX(0,E8-E29)</f>
        <v>0.15499999999997272</v>
      </c>
    </row>
    <row r="32" spans="1:5" x14ac:dyDescent="0.2">
      <c r="A32" s="12"/>
      <c r="B32" s="7"/>
      <c r="C32" s="7" t="s">
        <v>11</v>
      </c>
      <c r="D32" s="7"/>
      <c r="E32" s="13"/>
    </row>
    <row r="33" spans="1:6" x14ac:dyDescent="0.2">
      <c r="A33" s="12"/>
      <c r="B33" s="7"/>
      <c r="C33" s="18">
        <f>(E5*E31+E6*E35)/(1+E7)</f>
        <v>10.258454106280182</v>
      </c>
      <c r="D33" s="17" t="s">
        <v>9</v>
      </c>
      <c r="E33" s="13">
        <f>$C$18*$E$4</f>
        <v>129.73500000000001</v>
      </c>
    </row>
    <row r="34" spans="1:6" x14ac:dyDescent="0.2">
      <c r="A34" s="12"/>
      <c r="B34" s="7"/>
      <c r="C34" s="7"/>
      <c r="D34" s="7"/>
      <c r="E34" s="13" t="s">
        <v>12</v>
      </c>
    </row>
    <row r="35" spans="1:6" x14ac:dyDescent="0.2">
      <c r="A35" s="14"/>
      <c r="B35" s="15"/>
      <c r="C35" s="15"/>
      <c r="D35" s="15"/>
      <c r="E35" s="16">
        <f>MAX(0,E8-E33)</f>
        <v>25.264999999999986</v>
      </c>
    </row>
    <row r="37" spans="1:6" x14ac:dyDescent="0.2">
      <c r="A37" s="100" t="s">
        <v>19</v>
      </c>
      <c r="B37" s="101"/>
      <c r="C37" s="101"/>
      <c r="D37" s="101"/>
      <c r="E37" s="102"/>
      <c r="F37" s="90">
        <f>(1/((1+E7)^2))*((FACT(2)/(FACT(0)*FACT(2-0)))*E5^0*E6^(2-0)*MAX(0,E8-E3^0*E4^(2-0)*A29)+(FACT(2)/(FACT(1)*FACT(2-1)))*E5^1*E6^1*MAX(0,E8-E3^1*E4^1*A29)+(FACT(2)/(FACT(2)*FACT(2-2)))*E5^2*E6^(2-2)*MAX(0,E8-E3^2*E6^0*A29))</f>
        <v>4.1649811612354437</v>
      </c>
    </row>
    <row r="38" spans="1:6" x14ac:dyDescent="0.2">
      <c r="A38" s="103"/>
      <c r="B38" s="104"/>
      <c r="C38" s="104"/>
      <c r="D38" s="104"/>
      <c r="E38" s="105"/>
      <c r="F38" s="91"/>
    </row>
    <row r="39" spans="1:6" x14ac:dyDescent="0.2">
      <c r="A39" s="20"/>
      <c r="E39" s="21"/>
      <c r="F39" s="91"/>
    </row>
    <row r="40" spans="1:6" x14ac:dyDescent="0.2">
      <c r="A40" s="20"/>
      <c r="E40" s="21"/>
      <c r="F40" s="91"/>
    </row>
    <row r="41" spans="1:6" x14ac:dyDescent="0.2">
      <c r="A41" s="22"/>
      <c r="B41" s="23"/>
      <c r="C41" s="23"/>
      <c r="D41" s="23"/>
      <c r="E41" s="24"/>
      <c r="F41" s="92"/>
    </row>
    <row r="43" spans="1:6" x14ac:dyDescent="0.2">
      <c r="A43" s="95" t="s">
        <v>20</v>
      </c>
      <c r="B43" s="95"/>
      <c r="C43" s="95"/>
      <c r="D43" s="95"/>
      <c r="E43" s="95"/>
    </row>
    <row r="44" spans="1:6" x14ac:dyDescent="0.2">
      <c r="A44" s="9"/>
      <c r="B44" s="10"/>
      <c r="C44" s="10"/>
      <c r="D44" s="10"/>
      <c r="E44" s="30">
        <f>$C$14*$E$3</f>
        <v>184.81500000000005</v>
      </c>
    </row>
    <row r="45" spans="1:6" x14ac:dyDescent="0.2">
      <c r="A45" s="12"/>
      <c r="B45" s="7"/>
      <c r="C45" s="7"/>
      <c r="D45" s="7"/>
      <c r="E45" s="13" t="s">
        <v>13</v>
      </c>
    </row>
    <row r="46" spans="1:6" x14ac:dyDescent="0.2">
      <c r="A46" s="12"/>
      <c r="B46" s="7"/>
      <c r="C46" s="7"/>
      <c r="D46" s="7"/>
      <c r="E46" s="26">
        <f>MAX(0,E8-E44)</f>
        <v>0</v>
      </c>
    </row>
    <row r="47" spans="1:6" x14ac:dyDescent="0.2">
      <c r="A47" s="12"/>
      <c r="B47" s="7"/>
      <c r="C47" s="29">
        <f>$A$16*$E$3</f>
        <v>166.50000000000003</v>
      </c>
      <c r="D47" s="7" t="s">
        <v>8</v>
      </c>
      <c r="E47" s="13"/>
    </row>
    <row r="48" spans="1:6" x14ac:dyDescent="0.2">
      <c r="A48" s="12"/>
      <c r="B48" s="7"/>
      <c r="C48" s="7" t="s">
        <v>10</v>
      </c>
      <c r="D48" s="7"/>
      <c r="E48" s="13"/>
    </row>
    <row r="49" spans="1:5" x14ac:dyDescent="0.2">
      <c r="A49" s="28">
        <v>150</v>
      </c>
      <c r="B49" s="8" t="s">
        <v>8</v>
      </c>
      <c r="C49" s="25">
        <f>MAX(0,E8-C47)</f>
        <v>0</v>
      </c>
      <c r="D49" s="17" t="s">
        <v>9</v>
      </c>
      <c r="E49" s="31">
        <f>$C$18*$E$3</f>
        <v>154.84500000000003</v>
      </c>
    </row>
    <row r="50" spans="1:5" x14ac:dyDescent="0.2">
      <c r="A50" s="12" t="s">
        <v>28</v>
      </c>
      <c r="B50" s="7"/>
      <c r="C50" s="63">
        <f>(E5*E46+E6*E51)/(1+E7)</f>
        <v>6.2399355877605832E-2</v>
      </c>
      <c r="D50" s="7"/>
      <c r="E50" s="13" t="s">
        <v>18</v>
      </c>
    </row>
    <row r="51" spans="1:5" x14ac:dyDescent="0.2">
      <c r="A51" s="27">
        <f>MAX(0,E8-A49)</f>
        <v>5</v>
      </c>
      <c r="B51" s="7"/>
      <c r="C51" s="7"/>
      <c r="D51" s="7"/>
      <c r="E51" s="26">
        <f>MAX(0,E8-E49)</f>
        <v>0.15499999999997272</v>
      </c>
    </row>
    <row r="52" spans="1:5" x14ac:dyDescent="0.2">
      <c r="A52" s="64">
        <f>(E5*C50+E6*C54)/(1+E7)</f>
        <v>6.2751043068553392</v>
      </c>
      <c r="B52" s="7" t="s">
        <v>9</v>
      </c>
      <c r="C52" s="29">
        <f>$A$16*$E$4</f>
        <v>139.5</v>
      </c>
      <c r="D52" s="7" t="s">
        <v>8</v>
      </c>
      <c r="E52" s="13"/>
    </row>
    <row r="53" spans="1:5" x14ac:dyDescent="0.2">
      <c r="A53" s="12"/>
      <c r="B53" s="7"/>
      <c r="C53" s="7" t="s">
        <v>11</v>
      </c>
      <c r="D53" s="7"/>
      <c r="E53" s="13"/>
    </row>
    <row r="54" spans="1:5" x14ac:dyDescent="0.2">
      <c r="A54" s="12"/>
      <c r="B54" s="7"/>
      <c r="C54" s="25">
        <f>MAX(0,E8-C52)</f>
        <v>15.5</v>
      </c>
      <c r="D54" s="17" t="s">
        <v>9</v>
      </c>
      <c r="E54" s="31">
        <f>$C$18*$E$4</f>
        <v>129.73500000000001</v>
      </c>
    </row>
    <row r="55" spans="1:5" x14ac:dyDescent="0.2">
      <c r="A55" s="12"/>
      <c r="B55" s="7"/>
      <c r="C55" s="63">
        <f>(E5*E51+E6*E56)/(1+E7)</f>
        <v>10.258454106280182</v>
      </c>
      <c r="D55" s="7"/>
      <c r="E55" s="13" t="s">
        <v>12</v>
      </c>
    </row>
    <row r="56" spans="1:5" x14ac:dyDescent="0.2">
      <c r="A56" s="12"/>
      <c r="B56" s="7"/>
      <c r="C56" s="7"/>
      <c r="D56" s="7"/>
      <c r="E56" s="26">
        <f>MAX(0,E8-E54)</f>
        <v>25.264999999999986</v>
      </c>
    </row>
    <row r="57" spans="1:5" x14ac:dyDescent="0.2">
      <c r="A57" s="94" t="s">
        <v>21</v>
      </c>
      <c r="B57" s="35"/>
      <c r="C57" s="96" t="s">
        <v>23</v>
      </c>
      <c r="D57" s="97"/>
      <c r="E57" s="98"/>
    </row>
    <row r="58" spans="1:5" x14ac:dyDescent="0.2">
      <c r="A58" s="94"/>
      <c r="B58" s="33"/>
      <c r="C58" s="96" t="s">
        <v>22</v>
      </c>
      <c r="D58" s="97"/>
      <c r="E58" s="98"/>
    </row>
    <row r="59" spans="1:5" x14ac:dyDescent="0.2">
      <c r="A59" s="94"/>
      <c r="B59" s="34"/>
      <c r="C59" s="96" t="s">
        <v>26</v>
      </c>
      <c r="D59" s="97"/>
      <c r="E59" s="98"/>
    </row>
    <row r="60" spans="1:5" ht="16" customHeight="1" x14ac:dyDescent="0.2">
      <c r="A60" s="93" t="s">
        <v>25</v>
      </c>
      <c r="B60" s="93"/>
      <c r="C60" s="93"/>
      <c r="D60" s="93"/>
      <c r="E60" s="93"/>
    </row>
    <row r="61" spans="1:5" x14ac:dyDescent="0.2">
      <c r="A61" s="93"/>
      <c r="B61" s="93"/>
      <c r="C61" s="93"/>
      <c r="D61" s="93"/>
      <c r="E61" s="93"/>
    </row>
    <row r="62" spans="1:5" x14ac:dyDescent="0.2">
      <c r="A62" s="93"/>
      <c r="B62" s="93"/>
      <c r="C62" s="93"/>
      <c r="D62" s="93"/>
      <c r="E62" s="93"/>
    </row>
    <row r="63" spans="1:5" x14ac:dyDescent="0.2">
      <c r="A63" s="93"/>
      <c r="B63" s="93"/>
      <c r="C63" s="93"/>
      <c r="D63" s="93"/>
      <c r="E63" s="93"/>
    </row>
    <row r="64" spans="1:5" x14ac:dyDescent="0.2">
      <c r="A64" s="93"/>
      <c r="B64" s="93"/>
      <c r="C64" s="93"/>
      <c r="D64" s="93"/>
      <c r="E64" s="93"/>
    </row>
    <row r="65" spans="1:5" x14ac:dyDescent="0.2">
      <c r="A65" s="93"/>
      <c r="B65" s="93"/>
      <c r="C65" s="93"/>
      <c r="D65" s="93"/>
      <c r="E65" s="93"/>
    </row>
    <row r="66" spans="1:5" x14ac:dyDescent="0.2">
      <c r="A66" s="93"/>
      <c r="B66" s="93"/>
      <c r="C66" s="93"/>
      <c r="D66" s="93"/>
      <c r="E66" s="93"/>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sheetData>
  <mergeCells count="12">
    <mergeCell ref="A43:E43"/>
    <mergeCell ref="A57:A59"/>
    <mergeCell ref="C57:E57"/>
    <mergeCell ref="C58:E58"/>
    <mergeCell ref="C59:E59"/>
    <mergeCell ref="A60:E66"/>
    <mergeCell ref="A1:E1"/>
    <mergeCell ref="A2:C8"/>
    <mergeCell ref="A11:E11"/>
    <mergeCell ref="A24:E24"/>
    <mergeCell ref="A37:E38"/>
    <mergeCell ref="F37:F41"/>
  </mergeCells>
  <conditionalFormatting sqref="A51:A52">
    <cfRule type="iconSet" priority="3">
      <iconSet iconSet="3Symbols2">
        <cfvo type="percent" val="0"/>
        <cfvo type="percent" val="33"/>
        <cfvo type="percent" val="67"/>
      </iconSet>
    </cfRule>
  </conditionalFormatting>
  <conditionalFormatting sqref="C49:C50">
    <cfRule type="iconSet" priority="2">
      <iconSet iconSet="3Symbols2">
        <cfvo type="percent" val="0"/>
        <cfvo type="percent" val="33"/>
        <cfvo type="percent" val="67"/>
      </iconSet>
    </cfRule>
  </conditionalFormatting>
  <conditionalFormatting sqref="C54:C55">
    <cfRule type="iconSet" priority="1">
      <iconSet iconSet="3Symbols2">
        <cfvo type="percent" val="0"/>
        <cfvo type="percent" val="33"/>
        <cfvo type="percent" val="67"/>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29B51-F913-9D4C-9881-0D970A388F73}">
  <sheetPr>
    <tabColor theme="4"/>
  </sheetPr>
  <dimension ref="A1:O30"/>
  <sheetViews>
    <sheetView zoomScale="140" zoomScaleNormal="156" workbookViewId="0">
      <pane ySplit="1" topLeftCell="A2" activePane="bottomLeft" state="frozen"/>
      <selection pane="bottomLeft" activeCell="K3" sqref="K3"/>
    </sheetView>
  </sheetViews>
  <sheetFormatPr baseColWidth="10" defaultRowHeight="16" x14ac:dyDescent="0.2"/>
  <cols>
    <col min="1" max="1" width="16.6640625" bestFit="1" customWidth="1"/>
    <col min="2" max="2" width="24" bestFit="1" customWidth="1"/>
    <col min="4" max="4" width="11.6640625" customWidth="1"/>
    <col min="6" max="6" width="11.83203125" bestFit="1" customWidth="1"/>
  </cols>
  <sheetData>
    <row r="1" spans="1:15" x14ac:dyDescent="0.2">
      <c r="A1" s="68" t="s">
        <v>29</v>
      </c>
      <c r="B1" s="68"/>
      <c r="C1" s="68"/>
      <c r="D1" s="68"/>
      <c r="E1" s="68"/>
      <c r="F1" s="68"/>
      <c r="G1" s="68"/>
      <c r="H1" s="68"/>
      <c r="I1" s="68"/>
      <c r="J1" s="68"/>
      <c r="K1" s="68"/>
      <c r="L1" s="68"/>
      <c r="M1" s="68"/>
      <c r="N1" s="68"/>
      <c r="O1" s="3"/>
    </row>
    <row r="2" spans="1:15" x14ac:dyDescent="0.2">
      <c r="A2" s="66" t="s">
        <v>7</v>
      </c>
      <c r="B2" s="67"/>
      <c r="C2" s="67"/>
      <c r="D2" s="67"/>
      <c r="E2" s="67"/>
      <c r="F2" s="67"/>
      <c r="G2" s="67"/>
      <c r="H2" s="67"/>
      <c r="I2" s="67"/>
      <c r="K2" s="3"/>
      <c r="L2" s="3"/>
      <c r="M2" s="3"/>
      <c r="N2" s="3"/>
      <c r="O2" s="3"/>
    </row>
    <row r="3" spans="1:15" x14ac:dyDescent="0.2">
      <c r="A3" s="32" t="s">
        <v>69</v>
      </c>
      <c r="B3" s="32" t="s">
        <v>30</v>
      </c>
      <c r="C3" s="32" t="s">
        <v>31</v>
      </c>
      <c r="D3" s="32" t="s">
        <v>8</v>
      </c>
      <c r="E3" s="32" t="s">
        <v>9</v>
      </c>
      <c r="F3" s="32" t="s">
        <v>70</v>
      </c>
      <c r="G3" s="32" t="s">
        <v>16</v>
      </c>
      <c r="H3" s="32" t="s">
        <v>17</v>
      </c>
      <c r="I3" s="32" t="s">
        <v>71</v>
      </c>
      <c r="K3" s="3"/>
      <c r="L3" s="3"/>
      <c r="M3" s="3"/>
      <c r="N3" s="3"/>
      <c r="O3" s="3"/>
    </row>
    <row r="4" spans="1:15" x14ac:dyDescent="0.2">
      <c r="A4" s="6">
        <v>80</v>
      </c>
      <c r="B4" s="6">
        <v>3</v>
      </c>
      <c r="C4" s="6">
        <v>80</v>
      </c>
      <c r="D4" s="6">
        <v>1.5</v>
      </c>
      <c r="E4" s="6">
        <v>0.5</v>
      </c>
      <c r="F4" s="6">
        <v>0.1</v>
      </c>
      <c r="G4" s="6">
        <f>(1+F4-E4)/(D4-E4)</f>
        <v>0.60000000000000009</v>
      </c>
      <c r="H4" s="6">
        <f>1-G4</f>
        <v>0.39999999999999991</v>
      </c>
      <c r="I4" s="6">
        <v>34.064999999999998</v>
      </c>
      <c r="K4" s="3"/>
      <c r="L4" s="3"/>
      <c r="M4" s="3"/>
      <c r="N4" s="3"/>
      <c r="O4" s="3"/>
    </row>
    <row r="5" spans="1:15" x14ac:dyDescent="0.2">
      <c r="D5" s="3"/>
      <c r="E5" s="3"/>
      <c r="F5" s="3"/>
      <c r="G5" s="3"/>
      <c r="H5" s="3"/>
      <c r="I5" s="3"/>
      <c r="J5" s="3"/>
      <c r="K5" s="3"/>
      <c r="L5" s="3"/>
      <c r="M5" s="3"/>
      <c r="N5" s="3"/>
      <c r="O5" s="3"/>
    </row>
    <row r="6" spans="1:15" x14ac:dyDescent="0.2">
      <c r="A6" s="71" t="s">
        <v>3</v>
      </c>
      <c r="B6" s="71"/>
      <c r="C6" s="71"/>
      <c r="D6" s="71"/>
      <c r="E6" s="71"/>
      <c r="F6" s="3"/>
      <c r="G6" s="3"/>
      <c r="H6" s="3"/>
      <c r="I6" s="3"/>
      <c r="J6" s="3"/>
      <c r="K6" s="3"/>
      <c r="L6" s="3"/>
      <c r="M6" s="3"/>
      <c r="N6" s="3"/>
      <c r="O6" s="3"/>
    </row>
    <row r="7" spans="1:15" x14ac:dyDescent="0.2">
      <c r="A7" s="72" t="s">
        <v>33</v>
      </c>
      <c r="B7" s="72"/>
      <c r="C7" s="72"/>
      <c r="D7" s="72"/>
      <c r="E7" s="72"/>
      <c r="F7" s="3"/>
      <c r="G7" s="3"/>
      <c r="H7" s="3"/>
      <c r="I7" s="3"/>
      <c r="J7" s="3"/>
      <c r="K7" s="3"/>
      <c r="L7" s="3"/>
      <c r="M7" s="3"/>
      <c r="N7" s="3"/>
      <c r="O7" s="3"/>
    </row>
    <row r="8" spans="1:15" x14ac:dyDescent="0.2">
      <c r="A8" s="32" t="s">
        <v>32</v>
      </c>
      <c r="B8" s="6">
        <v>0</v>
      </c>
      <c r="C8" s="6" t="s">
        <v>37</v>
      </c>
      <c r="D8" s="6" t="s">
        <v>38</v>
      </c>
      <c r="E8" s="41" t="s">
        <v>39</v>
      </c>
      <c r="F8" s="3"/>
      <c r="G8" s="3"/>
      <c r="H8" s="3"/>
      <c r="I8" s="3"/>
      <c r="J8" s="3"/>
      <c r="K8" s="3"/>
      <c r="L8" s="3"/>
      <c r="M8" s="3"/>
      <c r="N8" s="3"/>
      <c r="O8" s="3"/>
    </row>
    <row r="9" spans="1:15" x14ac:dyDescent="0.2">
      <c r="A9" s="32" t="s">
        <v>34</v>
      </c>
      <c r="B9" s="6">
        <f>-0.719*80</f>
        <v>-57.519999999999996</v>
      </c>
      <c r="C9" s="6">
        <f>-(0.848-0.719)*120</f>
        <v>-15.48</v>
      </c>
      <c r="D9" s="6">
        <f>-(0.167-0.848)*60</f>
        <v>40.86</v>
      </c>
      <c r="E9" s="41">
        <f>-(0-0.167)*30</f>
        <v>5.0100000000000007</v>
      </c>
      <c r="F9" s="3"/>
      <c r="G9" s="3"/>
      <c r="H9" s="3"/>
      <c r="I9" s="3"/>
      <c r="J9" s="3"/>
      <c r="K9" s="3"/>
      <c r="L9" s="3"/>
      <c r="M9" s="3"/>
      <c r="N9" s="3"/>
      <c r="O9" s="3"/>
    </row>
    <row r="10" spans="1:15" x14ac:dyDescent="0.2">
      <c r="A10" s="32" t="s">
        <v>35</v>
      </c>
      <c r="B10" s="6">
        <f>-($B$9+$I$4)</f>
        <v>23.454999999999998</v>
      </c>
      <c r="C10" s="6">
        <f>-$C$9</f>
        <v>15.48</v>
      </c>
      <c r="D10" s="6">
        <f>-$D$9</f>
        <v>-40.86</v>
      </c>
      <c r="E10" s="41">
        <f>-$E$9</f>
        <v>-5.0100000000000007</v>
      </c>
      <c r="F10" s="3"/>
      <c r="G10" s="3"/>
      <c r="H10" s="3"/>
      <c r="I10" s="3"/>
      <c r="J10" s="3"/>
      <c r="K10" s="3"/>
      <c r="L10" s="3"/>
      <c r="M10" s="3"/>
      <c r="N10" s="3"/>
      <c r="O10" s="3"/>
    </row>
    <row r="11" spans="1:15" x14ac:dyDescent="0.2">
      <c r="A11" s="3"/>
      <c r="B11" s="3"/>
      <c r="C11" s="3"/>
      <c r="D11" s="3"/>
      <c r="E11" s="3"/>
      <c r="F11" s="3"/>
      <c r="G11" s="3"/>
      <c r="H11" s="3"/>
      <c r="I11" s="3"/>
      <c r="J11" s="3"/>
      <c r="K11" s="3"/>
      <c r="L11" s="3"/>
      <c r="M11" s="3"/>
      <c r="N11" s="3"/>
      <c r="O11" s="3"/>
    </row>
    <row r="12" spans="1:15" x14ac:dyDescent="0.2">
      <c r="A12" s="38" t="s">
        <v>36</v>
      </c>
      <c r="B12" s="39">
        <f>$B$10</f>
        <v>23.454999999999998</v>
      </c>
      <c r="C12" s="39">
        <f>$B$12*(1+$F$4)+$C$10</f>
        <v>41.280500000000004</v>
      </c>
      <c r="D12" s="39">
        <f>$C$12*(1+$F$4)+$D$10</f>
        <v>4.5485500000000059</v>
      </c>
      <c r="E12" s="42">
        <f>$D$12*(1+$F$4)+$E$10</f>
        <v>-6.5949999999936892E-3</v>
      </c>
      <c r="F12" s="3"/>
      <c r="G12" s="3"/>
      <c r="H12" s="3"/>
      <c r="I12" s="3"/>
      <c r="J12" s="3"/>
      <c r="K12" s="3"/>
      <c r="L12" s="3"/>
      <c r="M12" s="3"/>
      <c r="N12" s="3"/>
      <c r="O12" s="3"/>
    </row>
    <row r="13" spans="1:15" x14ac:dyDescent="0.2">
      <c r="A13" s="3"/>
      <c r="B13" s="3"/>
      <c r="C13" s="3"/>
      <c r="D13" s="3"/>
      <c r="E13" s="3"/>
      <c r="F13" s="3"/>
      <c r="G13" s="3"/>
      <c r="H13" s="3"/>
      <c r="I13" s="3"/>
      <c r="J13" s="3"/>
      <c r="K13" s="3"/>
      <c r="L13" s="3"/>
      <c r="M13" s="3"/>
      <c r="N13" s="3"/>
      <c r="O13" s="3"/>
    </row>
    <row r="14" spans="1:15" x14ac:dyDescent="0.2">
      <c r="A14" s="72" t="s">
        <v>40</v>
      </c>
      <c r="B14" s="72"/>
      <c r="C14" s="72"/>
      <c r="D14" s="72"/>
      <c r="E14" s="72"/>
      <c r="F14" s="3"/>
      <c r="G14" s="3"/>
      <c r="H14" s="3"/>
      <c r="I14" s="3"/>
      <c r="J14" s="3"/>
      <c r="K14" s="3"/>
      <c r="L14" s="3"/>
      <c r="M14" s="3"/>
      <c r="N14" s="3"/>
      <c r="O14" s="3"/>
    </row>
    <row r="15" spans="1:15" x14ac:dyDescent="0.2">
      <c r="A15" s="32" t="s">
        <v>32</v>
      </c>
      <c r="B15" s="6">
        <v>0</v>
      </c>
      <c r="C15" s="6" t="s">
        <v>37</v>
      </c>
      <c r="D15" s="6" t="s">
        <v>38</v>
      </c>
      <c r="E15" s="41" t="s">
        <v>41</v>
      </c>
      <c r="F15" s="3"/>
      <c r="G15" s="3"/>
      <c r="H15" s="3"/>
      <c r="I15" s="3"/>
      <c r="J15" s="3"/>
      <c r="K15" s="3"/>
      <c r="L15" s="3"/>
      <c r="M15" s="3"/>
      <c r="N15" s="3"/>
      <c r="O15" s="3"/>
    </row>
    <row r="16" spans="1:15" x14ac:dyDescent="0.2">
      <c r="A16" s="32" t="s">
        <v>34</v>
      </c>
      <c r="B16" s="6">
        <f>-0.719*80</f>
        <v>-57.519999999999996</v>
      </c>
      <c r="C16" s="6">
        <f>-(0.848-0.719)*120</f>
        <v>-15.48</v>
      </c>
      <c r="D16" s="6">
        <f>-(0.167-0.848)*60</f>
        <v>40.86</v>
      </c>
      <c r="E16" s="41">
        <v>-90</v>
      </c>
      <c r="F16" s="3"/>
      <c r="G16" s="3"/>
      <c r="H16" s="3"/>
      <c r="I16" s="3"/>
      <c r="J16" s="3"/>
      <c r="K16" s="3"/>
      <c r="L16" s="3"/>
      <c r="M16" s="3"/>
      <c r="N16" s="3"/>
      <c r="O16" s="3"/>
    </row>
    <row r="17" spans="1:15" x14ac:dyDescent="0.2">
      <c r="A17" s="32" t="s">
        <v>35</v>
      </c>
      <c r="B17" s="6">
        <f>-($B$9+$I$4)</f>
        <v>23.454999999999998</v>
      </c>
      <c r="C17" s="6">
        <f>-$C$9</f>
        <v>15.48</v>
      </c>
      <c r="D17" s="6">
        <f>-$D$9</f>
        <v>-40.86</v>
      </c>
      <c r="E17" s="41">
        <f>90-C4</f>
        <v>10</v>
      </c>
      <c r="F17" s="3"/>
      <c r="G17" s="3"/>
      <c r="H17" s="3"/>
      <c r="I17" s="3"/>
      <c r="J17" s="3"/>
      <c r="K17" s="3"/>
      <c r="L17" s="3"/>
      <c r="M17" s="3"/>
      <c r="N17" s="3"/>
      <c r="O17" s="3"/>
    </row>
    <row r="18" spans="1:15" x14ac:dyDescent="0.2">
      <c r="A18" s="3"/>
      <c r="B18" s="3"/>
      <c r="C18" s="3"/>
      <c r="D18" s="3"/>
      <c r="E18" s="3"/>
      <c r="F18" s="3"/>
      <c r="G18" s="3"/>
      <c r="H18" s="3"/>
      <c r="I18" s="3"/>
      <c r="J18" s="3"/>
      <c r="K18" s="3"/>
      <c r="L18" s="3"/>
      <c r="M18" s="3"/>
      <c r="N18" s="3"/>
      <c r="O18" s="3"/>
    </row>
    <row r="19" spans="1:15" x14ac:dyDescent="0.2">
      <c r="A19" s="38" t="s">
        <v>36</v>
      </c>
      <c r="B19" s="39">
        <f>$B$10</f>
        <v>23.454999999999998</v>
      </c>
      <c r="C19" s="39">
        <f>$B$12*(1+$F$4)+$C$10</f>
        <v>41.280500000000004</v>
      </c>
      <c r="D19" s="39">
        <f>$C$12*(1+$F$4)+$D$10</f>
        <v>4.5485500000000059</v>
      </c>
      <c r="E19" s="42">
        <f>D19*(1+F4)+E17</f>
        <v>15.003405000000008</v>
      </c>
      <c r="F19" s="3"/>
      <c r="G19" s="3"/>
      <c r="H19" s="3"/>
      <c r="I19" s="3"/>
      <c r="J19" s="3"/>
      <c r="K19" s="3"/>
      <c r="L19" s="3"/>
      <c r="M19" s="3"/>
      <c r="N19" s="3"/>
      <c r="O19" s="3"/>
    </row>
    <row r="20" spans="1:15" x14ac:dyDescent="0.2">
      <c r="A20" s="74" t="s">
        <v>43</v>
      </c>
      <c r="B20" s="75"/>
      <c r="C20" s="75"/>
      <c r="D20" s="76"/>
      <c r="E20" s="42">
        <f>-0.167*90</f>
        <v>-15.030000000000001</v>
      </c>
      <c r="F20" s="3"/>
      <c r="G20" s="3"/>
      <c r="H20" s="3"/>
      <c r="I20" s="3"/>
      <c r="J20" s="3"/>
      <c r="K20" s="3"/>
      <c r="L20" s="3"/>
      <c r="M20" s="3"/>
      <c r="N20" s="3"/>
      <c r="O20" s="3"/>
    </row>
    <row r="21" spans="1:15" x14ac:dyDescent="0.2">
      <c r="A21" s="73" t="s">
        <v>42</v>
      </c>
      <c r="B21" s="73"/>
      <c r="C21" s="73"/>
      <c r="D21" s="73"/>
      <c r="E21" s="42">
        <f>E19+E20</f>
        <v>-2.6594999999993263E-2</v>
      </c>
      <c r="F21" s="3"/>
      <c r="G21" s="3"/>
      <c r="H21" s="3"/>
      <c r="I21" s="3"/>
      <c r="J21" s="3"/>
      <c r="K21" s="3"/>
      <c r="L21" s="3"/>
      <c r="M21" s="3"/>
      <c r="N21" s="3"/>
    </row>
    <row r="23" spans="1:15" x14ac:dyDescent="0.2">
      <c r="A23" s="70" t="s">
        <v>15</v>
      </c>
      <c r="B23" s="70"/>
      <c r="C23" s="70"/>
      <c r="D23" s="70"/>
      <c r="E23" s="70"/>
    </row>
    <row r="24" spans="1:15" ht="16" customHeight="1" x14ac:dyDescent="0.2">
      <c r="A24" s="69" t="s">
        <v>44</v>
      </c>
      <c r="B24" s="69"/>
      <c r="C24" s="69"/>
      <c r="D24" s="69"/>
      <c r="E24" s="69"/>
    </row>
    <row r="25" spans="1:15" x14ac:dyDescent="0.2">
      <c r="A25" s="69"/>
      <c r="B25" s="69"/>
      <c r="C25" s="69"/>
      <c r="D25" s="69"/>
      <c r="E25" s="69"/>
    </row>
    <row r="26" spans="1:15" x14ac:dyDescent="0.2">
      <c r="A26" s="69"/>
      <c r="B26" s="69"/>
      <c r="C26" s="69"/>
      <c r="D26" s="69"/>
      <c r="E26" s="69"/>
    </row>
    <row r="27" spans="1:15" x14ac:dyDescent="0.2">
      <c r="A27" s="69"/>
      <c r="B27" s="69"/>
      <c r="C27" s="69"/>
      <c r="D27" s="69"/>
      <c r="E27" s="69"/>
    </row>
    <row r="28" spans="1:15" x14ac:dyDescent="0.2">
      <c r="A28" s="69"/>
      <c r="B28" s="69"/>
      <c r="C28" s="69"/>
      <c r="D28" s="69"/>
      <c r="E28" s="69"/>
    </row>
    <row r="29" spans="1:15" x14ac:dyDescent="0.2">
      <c r="A29" s="69"/>
      <c r="B29" s="69"/>
      <c r="C29" s="69"/>
      <c r="D29" s="69"/>
      <c r="E29" s="69"/>
    </row>
    <row r="30" spans="1:15" x14ac:dyDescent="0.2">
      <c r="A30" s="2"/>
      <c r="B30" s="2"/>
      <c r="C30" s="2"/>
      <c r="D30" s="2"/>
      <c r="E30" s="2"/>
    </row>
  </sheetData>
  <mergeCells count="9">
    <mergeCell ref="A2:I2"/>
    <mergeCell ref="A1:N1"/>
    <mergeCell ref="A24:E29"/>
    <mergeCell ref="A23:E23"/>
    <mergeCell ref="A6:E6"/>
    <mergeCell ref="A7:E7"/>
    <mergeCell ref="A14:E14"/>
    <mergeCell ref="A21:D21"/>
    <mergeCell ref="A20:D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344A2-EA2F-604E-A37A-3829C9C87F7E}">
  <sheetPr>
    <tabColor theme="9"/>
  </sheetPr>
  <dimension ref="A1:K25"/>
  <sheetViews>
    <sheetView zoomScale="170" workbookViewId="0">
      <pane ySplit="1" topLeftCell="A2" activePane="bottomLeft" state="frozen"/>
      <selection pane="bottomLeft" activeCell="C13" sqref="C13"/>
    </sheetView>
  </sheetViews>
  <sheetFormatPr baseColWidth="10" defaultRowHeight="16" x14ac:dyDescent="0.2"/>
  <cols>
    <col min="1" max="2" width="19" bestFit="1" customWidth="1"/>
    <col min="3" max="3" width="18.33203125" bestFit="1" customWidth="1"/>
  </cols>
  <sheetData>
    <row r="1" spans="1:11" ht="16" customHeight="1" x14ac:dyDescent="0.2">
      <c r="A1" s="106" t="s">
        <v>45</v>
      </c>
      <c r="B1" s="107"/>
      <c r="C1" s="107"/>
      <c r="D1" s="107"/>
      <c r="E1" s="107"/>
      <c r="F1" s="107"/>
      <c r="G1" s="107"/>
      <c r="H1" s="107"/>
      <c r="I1" s="107"/>
      <c r="J1" s="108"/>
    </row>
    <row r="2" spans="1:11" ht="17" x14ac:dyDescent="0.2">
      <c r="A2" s="78" t="s">
        <v>7</v>
      </c>
      <c r="B2" s="4" t="s">
        <v>72</v>
      </c>
      <c r="C2" s="5">
        <v>3</v>
      </c>
      <c r="D2" s="1"/>
      <c r="E2" s="1"/>
      <c r="F2" s="1"/>
      <c r="G2" s="1"/>
      <c r="H2" s="1"/>
      <c r="I2" s="1"/>
      <c r="J2" s="1"/>
      <c r="K2" s="1"/>
    </row>
    <row r="3" spans="1:11" ht="17" x14ac:dyDescent="0.2">
      <c r="A3" s="78"/>
      <c r="B3" s="4" t="s">
        <v>69</v>
      </c>
      <c r="C3" s="5">
        <v>42</v>
      </c>
      <c r="D3" s="1"/>
      <c r="E3" s="1"/>
      <c r="F3" s="1"/>
      <c r="G3" s="1"/>
      <c r="H3" s="1"/>
      <c r="I3" s="1"/>
      <c r="J3" s="1"/>
      <c r="K3" s="1"/>
    </row>
    <row r="4" spans="1:11" ht="17" x14ac:dyDescent="0.2">
      <c r="A4" s="78"/>
      <c r="B4" s="4" t="s">
        <v>46</v>
      </c>
      <c r="C4" s="5">
        <v>40</v>
      </c>
      <c r="D4" s="1"/>
      <c r="E4" s="1"/>
      <c r="F4" s="1"/>
      <c r="G4" s="1"/>
      <c r="H4" s="1"/>
      <c r="I4" s="1"/>
      <c r="J4" s="1"/>
      <c r="K4" s="1"/>
    </row>
    <row r="5" spans="1:11" x14ac:dyDescent="0.2">
      <c r="A5" s="1"/>
      <c r="B5" s="1"/>
      <c r="C5" s="1"/>
      <c r="D5" s="1"/>
      <c r="E5" s="1"/>
      <c r="F5" s="1"/>
      <c r="G5" s="1"/>
      <c r="H5" s="1"/>
      <c r="I5" s="1"/>
      <c r="J5" s="1"/>
      <c r="K5" s="1"/>
    </row>
    <row r="6" spans="1:11" ht="17" x14ac:dyDescent="0.2">
      <c r="A6" s="4" t="s">
        <v>49</v>
      </c>
      <c r="B6" s="4" t="s">
        <v>48</v>
      </c>
      <c r="C6" s="4" t="s">
        <v>47</v>
      </c>
      <c r="D6" s="1"/>
      <c r="E6" s="1"/>
      <c r="F6" s="1"/>
      <c r="G6" s="1"/>
      <c r="H6" s="1"/>
      <c r="I6" s="1"/>
      <c r="J6" s="1"/>
      <c r="K6" s="1"/>
    </row>
    <row r="7" spans="1:11" x14ac:dyDescent="0.2">
      <c r="A7" s="5">
        <v>20</v>
      </c>
      <c r="B7" s="5">
        <f>MAX(0,$C$4-A7)</f>
        <v>20</v>
      </c>
      <c r="C7" s="5">
        <f>MAX(0,$B7-$C$2)</f>
        <v>17</v>
      </c>
      <c r="D7" s="1"/>
      <c r="E7" s="1"/>
      <c r="F7" s="1"/>
      <c r="G7" s="1"/>
      <c r="H7" s="1"/>
      <c r="I7" s="1"/>
      <c r="J7" s="1"/>
      <c r="K7" s="1"/>
    </row>
    <row r="8" spans="1:11" x14ac:dyDescent="0.2">
      <c r="A8" s="5">
        <v>22</v>
      </c>
      <c r="B8" s="5">
        <f t="shared" ref="B8:B25" si="0">MAX(0,$C$4-A8)</f>
        <v>18</v>
      </c>
      <c r="C8" s="5">
        <f t="shared" ref="C8:C25" si="1">MAX(0,$B8-$C$2)</f>
        <v>15</v>
      </c>
      <c r="D8" s="1"/>
      <c r="E8" s="1"/>
      <c r="F8" s="1"/>
      <c r="G8" s="1"/>
      <c r="H8" s="1"/>
      <c r="I8" s="1"/>
      <c r="J8" s="1"/>
      <c r="K8" s="1"/>
    </row>
    <row r="9" spans="1:11" x14ac:dyDescent="0.2">
      <c r="A9" s="5">
        <v>24</v>
      </c>
      <c r="B9" s="5">
        <f t="shared" si="0"/>
        <v>16</v>
      </c>
      <c r="C9" s="5">
        <f t="shared" si="1"/>
        <v>13</v>
      </c>
      <c r="D9" s="1"/>
      <c r="E9" s="1"/>
      <c r="F9" s="1"/>
      <c r="G9" s="1"/>
      <c r="H9" s="1"/>
      <c r="I9" s="1"/>
      <c r="J9" s="1"/>
      <c r="K9" s="1"/>
    </row>
    <row r="10" spans="1:11" x14ac:dyDescent="0.2">
      <c r="A10" s="5">
        <v>26</v>
      </c>
      <c r="B10" s="5">
        <f t="shared" si="0"/>
        <v>14</v>
      </c>
      <c r="C10" s="5">
        <f t="shared" si="1"/>
        <v>11</v>
      </c>
      <c r="D10" s="1"/>
      <c r="E10" s="1"/>
      <c r="F10" s="1"/>
      <c r="G10" s="1"/>
      <c r="H10" s="1"/>
      <c r="I10" s="1"/>
      <c r="J10" s="1"/>
      <c r="K10" s="1"/>
    </row>
    <row r="11" spans="1:11" x14ac:dyDescent="0.2">
      <c r="A11" s="5">
        <v>28</v>
      </c>
      <c r="B11" s="5">
        <f t="shared" si="0"/>
        <v>12</v>
      </c>
      <c r="C11" s="5">
        <f t="shared" si="1"/>
        <v>9</v>
      </c>
      <c r="D11" s="1"/>
      <c r="E11" s="1"/>
      <c r="F11" s="1"/>
      <c r="G11" s="1"/>
      <c r="H11" s="1"/>
      <c r="I11" s="1"/>
      <c r="J11" s="1"/>
      <c r="K11" s="1"/>
    </row>
    <row r="12" spans="1:11" x14ac:dyDescent="0.2">
      <c r="A12" s="5">
        <v>30</v>
      </c>
      <c r="B12" s="5">
        <f t="shared" si="0"/>
        <v>10</v>
      </c>
      <c r="C12" s="5">
        <f t="shared" si="1"/>
        <v>7</v>
      </c>
      <c r="D12" s="1"/>
      <c r="E12" s="1"/>
      <c r="F12" s="1"/>
      <c r="G12" s="1"/>
      <c r="H12" s="1"/>
      <c r="I12" s="1"/>
      <c r="J12" s="1"/>
      <c r="K12" s="1"/>
    </row>
    <row r="13" spans="1:11" x14ac:dyDescent="0.2">
      <c r="A13" s="5">
        <v>32</v>
      </c>
      <c r="B13" s="5">
        <f t="shared" si="0"/>
        <v>8</v>
      </c>
      <c r="C13" s="5">
        <f t="shared" si="1"/>
        <v>5</v>
      </c>
      <c r="D13" s="1"/>
      <c r="E13" s="1"/>
      <c r="F13" s="1"/>
      <c r="G13" s="1"/>
      <c r="H13" s="1"/>
      <c r="I13" s="1"/>
      <c r="J13" s="1"/>
      <c r="K13" s="1"/>
    </row>
    <row r="14" spans="1:11" x14ac:dyDescent="0.2">
      <c r="A14" s="5">
        <v>34</v>
      </c>
      <c r="B14" s="5">
        <f t="shared" si="0"/>
        <v>6</v>
      </c>
      <c r="C14" s="5">
        <f t="shared" si="1"/>
        <v>3</v>
      </c>
      <c r="D14" s="1"/>
      <c r="E14" s="1"/>
      <c r="F14" s="1"/>
      <c r="G14" s="1"/>
      <c r="H14" s="1"/>
      <c r="I14" s="1"/>
      <c r="J14" s="1"/>
      <c r="K14" s="1"/>
    </row>
    <row r="15" spans="1:11" x14ac:dyDescent="0.2">
      <c r="A15" s="5">
        <v>36</v>
      </c>
      <c r="B15" s="5">
        <f t="shared" si="0"/>
        <v>4</v>
      </c>
      <c r="C15" s="5">
        <f t="shared" si="1"/>
        <v>1</v>
      </c>
      <c r="D15" s="1"/>
      <c r="E15" s="1"/>
      <c r="F15" s="1"/>
      <c r="G15" s="1"/>
      <c r="H15" s="1"/>
      <c r="I15" s="1"/>
      <c r="J15" s="1"/>
      <c r="K15" s="1"/>
    </row>
    <row r="16" spans="1:11" x14ac:dyDescent="0.2">
      <c r="A16" s="5">
        <v>38</v>
      </c>
      <c r="B16" s="5">
        <f t="shared" si="0"/>
        <v>2</v>
      </c>
      <c r="C16" s="5">
        <f t="shared" si="1"/>
        <v>0</v>
      </c>
      <c r="D16" s="1"/>
      <c r="E16" s="1"/>
      <c r="F16" s="1"/>
      <c r="G16" s="1"/>
      <c r="H16" s="1"/>
      <c r="I16" s="1"/>
      <c r="J16" s="1"/>
      <c r="K16" s="1"/>
    </row>
    <row r="17" spans="1:11" x14ac:dyDescent="0.2">
      <c r="A17" s="5">
        <v>40</v>
      </c>
      <c r="B17" s="5">
        <f t="shared" si="0"/>
        <v>0</v>
      </c>
      <c r="C17" s="5">
        <f t="shared" si="1"/>
        <v>0</v>
      </c>
      <c r="D17" s="1"/>
      <c r="E17" s="1"/>
      <c r="F17" s="1"/>
      <c r="G17" s="1"/>
      <c r="H17" s="1"/>
      <c r="I17" s="1"/>
      <c r="J17" s="1"/>
      <c r="K17" s="1"/>
    </row>
    <row r="18" spans="1:11" x14ac:dyDescent="0.2">
      <c r="A18" s="5">
        <v>42</v>
      </c>
      <c r="B18" s="5">
        <f t="shared" si="0"/>
        <v>0</v>
      </c>
      <c r="C18" s="5">
        <f t="shared" si="1"/>
        <v>0</v>
      </c>
      <c r="D18" s="1"/>
      <c r="E18" s="1"/>
      <c r="F18" s="1"/>
      <c r="G18" s="1"/>
      <c r="H18" s="1"/>
      <c r="I18" s="1"/>
      <c r="J18" s="1"/>
      <c r="K18" s="1"/>
    </row>
    <row r="19" spans="1:11" x14ac:dyDescent="0.2">
      <c r="A19" s="5">
        <v>44</v>
      </c>
      <c r="B19" s="5">
        <f t="shared" si="0"/>
        <v>0</v>
      </c>
      <c r="C19" s="5">
        <f t="shared" si="1"/>
        <v>0</v>
      </c>
      <c r="D19" s="1"/>
      <c r="E19" s="1"/>
      <c r="F19" s="1"/>
      <c r="G19" s="1"/>
      <c r="H19" s="1"/>
      <c r="I19" s="1"/>
      <c r="J19" s="1"/>
      <c r="K19" s="1"/>
    </row>
    <row r="20" spans="1:11" x14ac:dyDescent="0.2">
      <c r="A20" s="5">
        <v>46</v>
      </c>
      <c r="B20" s="5">
        <f t="shared" si="0"/>
        <v>0</v>
      </c>
      <c r="C20" s="5">
        <f t="shared" si="1"/>
        <v>0</v>
      </c>
      <c r="D20" s="1"/>
      <c r="E20" s="1"/>
      <c r="F20" s="1"/>
      <c r="G20" s="1"/>
      <c r="H20" s="1"/>
      <c r="I20" s="1"/>
      <c r="J20" s="1"/>
      <c r="K20" s="1"/>
    </row>
    <row r="21" spans="1:11" x14ac:dyDescent="0.2">
      <c r="A21" s="5">
        <v>48</v>
      </c>
      <c r="B21" s="5">
        <f t="shared" si="0"/>
        <v>0</v>
      </c>
      <c r="C21" s="5">
        <f t="shared" si="1"/>
        <v>0</v>
      </c>
      <c r="D21" s="1"/>
      <c r="E21" s="1"/>
      <c r="F21" s="1"/>
      <c r="G21" s="1"/>
      <c r="H21" s="1"/>
      <c r="I21" s="1"/>
      <c r="J21" s="1"/>
      <c r="K21" s="1"/>
    </row>
    <row r="22" spans="1:11" x14ac:dyDescent="0.2">
      <c r="A22" s="5">
        <v>50</v>
      </c>
      <c r="B22" s="5">
        <f t="shared" si="0"/>
        <v>0</v>
      </c>
      <c r="C22" s="5">
        <f t="shared" si="1"/>
        <v>0</v>
      </c>
      <c r="D22" s="1"/>
      <c r="E22" s="1"/>
      <c r="F22" s="1"/>
      <c r="G22" s="1"/>
      <c r="H22" s="1"/>
      <c r="I22" s="1"/>
      <c r="J22" s="1"/>
      <c r="K22" s="1"/>
    </row>
    <row r="23" spans="1:11" x14ac:dyDescent="0.2">
      <c r="A23" s="5">
        <v>52</v>
      </c>
      <c r="B23" s="5">
        <f t="shared" si="0"/>
        <v>0</v>
      </c>
      <c r="C23" s="5">
        <f t="shared" si="1"/>
        <v>0</v>
      </c>
      <c r="D23" s="1"/>
      <c r="E23" s="1"/>
      <c r="F23" s="1"/>
      <c r="G23" s="1"/>
      <c r="H23" s="1"/>
      <c r="I23" s="1"/>
      <c r="J23" s="1"/>
      <c r="K23" s="1"/>
    </row>
    <row r="24" spans="1:11" x14ac:dyDescent="0.2">
      <c r="A24" s="5">
        <v>54</v>
      </c>
      <c r="B24" s="5">
        <f t="shared" si="0"/>
        <v>0</v>
      </c>
      <c r="C24" s="5">
        <f t="shared" si="1"/>
        <v>0</v>
      </c>
      <c r="D24" s="1"/>
      <c r="E24" s="1"/>
      <c r="F24" s="1"/>
      <c r="G24" s="1"/>
      <c r="H24" s="1"/>
      <c r="I24" s="1"/>
      <c r="J24" s="1"/>
      <c r="K24" s="1"/>
    </row>
    <row r="25" spans="1:11" x14ac:dyDescent="0.2">
      <c r="A25" s="5">
        <v>56</v>
      </c>
      <c r="B25" s="5">
        <f t="shared" si="0"/>
        <v>0</v>
      </c>
      <c r="C25" s="5">
        <f t="shared" si="1"/>
        <v>0</v>
      </c>
      <c r="D25" s="1"/>
      <c r="E25" s="1"/>
      <c r="F25" s="1"/>
      <c r="G25" s="1"/>
      <c r="H25" s="1"/>
      <c r="I25" s="1"/>
      <c r="J25" s="1"/>
      <c r="K25" s="1"/>
    </row>
  </sheetData>
  <mergeCells count="2">
    <mergeCell ref="A2:A4"/>
    <mergeCell ref="A1:J1"/>
  </mergeCells>
  <conditionalFormatting sqref="A7:A25">
    <cfRule type="colorScale" priority="2">
      <colorScale>
        <cfvo type="min"/>
        <cfvo type="percentile" val="50"/>
        <cfvo type="max"/>
        <color rgb="FFF8696B"/>
        <color rgb="FFFFEB84"/>
        <color rgb="FF63BE7B"/>
      </colorScale>
    </cfRule>
  </conditionalFormatting>
  <conditionalFormatting sqref="B7:B25">
    <cfRule type="dataBar" priority="1">
      <dataBar>
        <cfvo type="min"/>
        <cfvo type="max"/>
        <color rgb="FF63C384"/>
      </dataBar>
      <extLst>
        <ext xmlns:x14="http://schemas.microsoft.com/office/spreadsheetml/2009/9/main" uri="{B025F937-C7B1-47D3-B67F-A62EFF666E3E}">
          <x14:id>{C62279E2-5063-C04E-B130-38C7E9B96ADC}</x14:id>
        </ext>
      </extLst>
    </cfRule>
  </conditionalFormatting>
  <conditionalFormatting sqref="C7:C25">
    <cfRule type="dataBar" priority="3">
      <dataBar>
        <cfvo type="min"/>
        <cfvo type="max"/>
        <color rgb="FF63C384"/>
      </dataBar>
      <extLst>
        <ext xmlns:x14="http://schemas.microsoft.com/office/spreadsheetml/2009/9/main" uri="{B025F937-C7B1-47D3-B67F-A62EFF666E3E}">
          <x14:id>{0300B586-34F7-714E-860B-7C628F95CDD9}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62279E2-5063-C04E-B130-38C7E9B96ADC}">
            <x14:dataBar minLength="0" maxLength="100" border="1" negativeBarBorderColorSameAsPositive="0">
              <x14:cfvo type="autoMin"/>
              <x14:cfvo type="autoMax"/>
              <x14:borderColor rgb="FF63C384"/>
              <x14:negativeFillColor rgb="FFFF0000"/>
              <x14:negativeBorderColor rgb="FFFF0000"/>
              <x14:axisColor rgb="FF000000"/>
            </x14:dataBar>
          </x14:cfRule>
          <xm:sqref>B7:B25</xm:sqref>
        </x14:conditionalFormatting>
        <x14:conditionalFormatting xmlns:xm="http://schemas.microsoft.com/office/excel/2006/main">
          <x14:cfRule type="dataBar" id="{0300B586-34F7-714E-860B-7C628F95CDD9}">
            <x14:dataBar minLength="0" maxLength="100" border="1" negativeBarBorderColorSameAsPositive="0">
              <x14:cfvo type="autoMin"/>
              <x14:cfvo type="autoMax"/>
              <x14:borderColor rgb="FF63C384"/>
              <x14:negativeFillColor rgb="FFFF0000"/>
              <x14:negativeBorderColor rgb="FFFF0000"/>
              <x14:axisColor rgb="FF000000"/>
            </x14:dataBar>
          </x14:cfRule>
          <xm:sqref>C7:C25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5D44C-EF9D-394A-8450-2C64AF9C4CC8}">
  <sheetPr>
    <tabColor theme="8"/>
  </sheetPr>
  <dimension ref="A1:H28"/>
  <sheetViews>
    <sheetView zoomScale="167" zoomScaleNormal="167" workbookViewId="0">
      <pane ySplit="1" topLeftCell="A13" activePane="bottomLeft" state="frozen"/>
      <selection pane="bottomLeft" activeCell="F27" sqref="F27"/>
    </sheetView>
  </sheetViews>
  <sheetFormatPr baseColWidth="10" defaultRowHeight="16" x14ac:dyDescent="0.2"/>
  <cols>
    <col min="1" max="1" width="27.1640625" style="3" bestFit="1" customWidth="1"/>
    <col min="2" max="2" width="17.1640625" style="3" bestFit="1" customWidth="1"/>
    <col min="3" max="3" width="20.33203125" style="3" bestFit="1" customWidth="1"/>
    <col min="4" max="4" width="14.83203125" style="3" bestFit="1" customWidth="1"/>
    <col min="5" max="5" width="14.33203125" style="3" bestFit="1" customWidth="1"/>
    <col min="6" max="6" width="21.1640625" style="3" bestFit="1" customWidth="1"/>
    <col min="7" max="7" width="12.83203125" style="3" bestFit="1" customWidth="1"/>
    <col min="8" max="8" width="14.33203125" style="3" bestFit="1" customWidth="1"/>
    <col min="9" max="16384" width="10.83203125" style="3"/>
  </cols>
  <sheetData>
    <row r="1" spans="1:8" x14ac:dyDescent="0.2">
      <c r="A1" s="77" t="s">
        <v>50</v>
      </c>
      <c r="B1" s="77"/>
      <c r="C1" s="77"/>
      <c r="D1" s="77"/>
      <c r="E1" s="77"/>
      <c r="F1" s="77"/>
      <c r="G1" s="77"/>
      <c r="H1" s="77"/>
    </row>
    <row r="2" spans="1:8" x14ac:dyDescent="0.2">
      <c r="A2" s="72" t="s">
        <v>7</v>
      </c>
      <c r="B2" s="72"/>
      <c r="C2" s="72"/>
      <c r="D2" s="72"/>
      <c r="E2" s="72"/>
      <c r="F2" s="72"/>
      <c r="G2" s="72"/>
      <c r="H2" s="72"/>
    </row>
    <row r="3" spans="1:8" x14ac:dyDescent="0.2">
      <c r="A3" s="32" t="s">
        <v>51</v>
      </c>
      <c r="B3" s="43" t="s">
        <v>52</v>
      </c>
      <c r="C3" s="32" t="s">
        <v>53</v>
      </c>
      <c r="D3" s="32" t="s">
        <v>54</v>
      </c>
      <c r="E3" s="32" t="s">
        <v>74</v>
      </c>
      <c r="F3" s="32" t="s">
        <v>8</v>
      </c>
      <c r="G3" s="32" t="s">
        <v>9</v>
      </c>
      <c r="H3" s="32" t="s">
        <v>60</v>
      </c>
    </row>
    <row r="4" spans="1:8" x14ac:dyDescent="0.2">
      <c r="A4" s="44">
        <v>52000000</v>
      </c>
      <c r="B4" s="6">
        <v>0.3</v>
      </c>
      <c r="C4" s="44">
        <v>45000000</v>
      </c>
      <c r="D4" s="6">
        <v>1</v>
      </c>
      <c r="E4" s="6">
        <v>0.03</v>
      </c>
      <c r="F4" s="6">
        <f>EXP(B4*SQRT(1))</f>
        <v>1.3498588075760032</v>
      </c>
      <c r="G4" s="6">
        <f>EXP(-B4*SQRT(1))</f>
        <v>0.74081822068171788</v>
      </c>
      <c r="H4" s="44">
        <f>C4</f>
        <v>45000000</v>
      </c>
    </row>
    <row r="6" spans="1:8" x14ac:dyDescent="0.2">
      <c r="A6" s="71" t="s">
        <v>61</v>
      </c>
      <c r="B6" s="71"/>
      <c r="C6" s="71"/>
      <c r="D6" s="71"/>
      <c r="E6" s="71"/>
      <c r="F6" s="71"/>
      <c r="G6" s="71"/>
      <c r="H6" s="71"/>
    </row>
    <row r="7" spans="1:8" x14ac:dyDescent="0.2">
      <c r="A7" s="72" t="s">
        <v>56</v>
      </c>
      <c r="B7" s="72"/>
      <c r="C7" s="72"/>
      <c r="D7" s="109"/>
      <c r="E7" s="110" t="s">
        <v>55</v>
      </c>
      <c r="F7" s="72"/>
      <c r="G7" s="72"/>
      <c r="H7" s="72"/>
    </row>
    <row r="8" spans="1:8" x14ac:dyDescent="0.2">
      <c r="A8" s="94" t="s">
        <v>58</v>
      </c>
      <c r="B8" s="94" t="s">
        <v>64</v>
      </c>
      <c r="C8" s="94" t="s">
        <v>65</v>
      </c>
      <c r="D8" s="74"/>
      <c r="E8" s="9"/>
      <c r="F8" s="10"/>
      <c r="G8" s="10"/>
      <c r="H8" s="49">
        <f>E10*F4</f>
        <v>70192657.99395217</v>
      </c>
    </row>
    <row r="9" spans="1:8" x14ac:dyDescent="0.2">
      <c r="A9" s="94"/>
      <c r="B9" s="94"/>
      <c r="C9" s="32" t="s">
        <v>62</v>
      </c>
      <c r="D9" s="37" t="s">
        <v>63</v>
      </c>
      <c r="E9" s="12"/>
      <c r="F9" s="7"/>
      <c r="G9" s="7"/>
      <c r="H9" s="13" t="s">
        <v>76</v>
      </c>
    </row>
    <row r="10" spans="1:8" x14ac:dyDescent="0.2">
      <c r="A10" s="32" t="s">
        <v>57</v>
      </c>
      <c r="B10" s="44"/>
      <c r="C10" s="44"/>
      <c r="D10" s="47"/>
      <c r="E10" s="50">
        <f>A4</f>
        <v>52000000</v>
      </c>
      <c r="F10" s="7"/>
      <c r="G10" s="7" t="s">
        <v>8</v>
      </c>
      <c r="H10" s="13"/>
    </row>
    <row r="11" spans="1:8" x14ac:dyDescent="0.2">
      <c r="A11" s="32" t="s">
        <v>59</v>
      </c>
      <c r="B11" s="44"/>
      <c r="C11" s="45">
        <f>MAX(0,$C$4-$H$8)</f>
        <v>0</v>
      </c>
      <c r="D11" s="48">
        <f>-MAX(0,$H$4-$H$12)</f>
        <v>-6477452.5245506689</v>
      </c>
      <c r="E11" s="12" t="s">
        <v>75</v>
      </c>
      <c r="F11" s="51"/>
      <c r="G11" s="7"/>
      <c r="H11" s="13"/>
    </row>
    <row r="12" spans="1:8" x14ac:dyDescent="0.2">
      <c r="E12" s="12"/>
      <c r="F12" s="7"/>
      <c r="G12" s="7" t="s">
        <v>9</v>
      </c>
      <c r="H12" s="52">
        <f>E10*G4</f>
        <v>38522547.475449331</v>
      </c>
    </row>
    <row r="13" spans="1:8" x14ac:dyDescent="0.2">
      <c r="E13" s="14"/>
      <c r="F13" s="15"/>
      <c r="G13" s="15"/>
      <c r="H13" s="16" t="s">
        <v>77</v>
      </c>
    </row>
    <row r="15" spans="1:8" x14ac:dyDescent="0.2">
      <c r="A15" s="71" t="s">
        <v>66</v>
      </c>
      <c r="B15" s="71"/>
      <c r="C15" s="71"/>
      <c r="D15" s="71"/>
    </row>
    <row r="16" spans="1:8" x14ac:dyDescent="0.2">
      <c r="A16" s="72" t="s">
        <v>56</v>
      </c>
      <c r="B16" s="72"/>
      <c r="C16" s="72"/>
      <c r="D16" s="72"/>
      <c r="F16" s="72" t="s">
        <v>67</v>
      </c>
      <c r="G16" s="72"/>
    </row>
    <row r="17" spans="1:7" x14ac:dyDescent="0.2">
      <c r="A17" s="94" t="s">
        <v>58</v>
      </c>
      <c r="B17" s="94" t="s">
        <v>64</v>
      </c>
      <c r="C17" s="94" t="s">
        <v>65</v>
      </c>
      <c r="D17" s="94"/>
      <c r="F17" s="32" t="s">
        <v>16</v>
      </c>
      <c r="G17" s="6">
        <f>(1+E4-G4)/(F4-G4)</f>
        <v>0.47481528413881735</v>
      </c>
    </row>
    <row r="18" spans="1:7" x14ac:dyDescent="0.2">
      <c r="A18" s="94"/>
      <c r="B18" s="94"/>
      <c r="C18" s="32" t="s">
        <v>62</v>
      </c>
      <c r="D18" s="32" t="s">
        <v>63</v>
      </c>
      <c r="F18" s="32" t="s">
        <v>17</v>
      </c>
      <c r="G18" s="6">
        <f>1-G17</f>
        <v>0.52518471586118265</v>
      </c>
    </row>
    <row r="19" spans="1:7" x14ac:dyDescent="0.2">
      <c r="A19" s="32" t="s">
        <v>57</v>
      </c>
      <c r="B19" s="44"/>
      <c r="C19" s="44"/>
      <c r="D19" s="44"/>
    </row>
    <row r="20" spans="1:7" x14ac:dyDescent="0.2">
      <c r="A20" s="32" t="s">
        <v>59</v>
      </c>
      <c r="B20" s="45">
        <f>-($G$17*$C$20+$G$18*$D$20)/(1+$E$4)</f>
        <v>3302775.7899130518</v>
      </c>
      <c r="C20" s="44">
        <f>MAX(0,$C$4-$H$8)</f>
        <v>0</v>
      </c>
      <c r="D20" s="44">
        <f>-MAX(0,$C$4-$H$12)</f>
        <v>-6477452.5245506689</v>
      </c>
    </row>
    <row r="22" spans="1:7" x14ac:dyDescent="0.2">
      <c r="A22" s="71" t="s">
        <v>68</v>
      </c>
      <c r="B22" s="71"/>
      <c r="C22" s="71"/>
      <c r="D22" s="71"/>
    </row>
    <row r="23" spans="1:7" x14ac:dyDescent="0.2">
      <c r="A23" s="72" t="s">
        <v>56</v>
      </c>
      <c r="B23" s="72"/>
      <c r="C23" s="72"/>
      <c r="D23" s="72"/>
    </row>
    <row r="24" spans="1:7" x14ac:dyDescent="0.2">
      <c r="A24" s="94" t="s">
        <v>58</v>
      </c>
      <c r="B24" s="94" t="s">
        <v>64</v>
      </c>
      <c r="C24" s="94" t="s">
        <v>65</v>
      </c>
      <c r="D24" s="94"/>
    </row>
    <row r="25" spans="1:7" x14ac:dyDescent="0.2">
      <c r="A25" s="94"/>
      <c r="B25" s="94"/>
      <c r="C25" s="32" t="s">
        <v>62</v>
      </c>
      <c r="D25" s="32" t="s">
        <v>63</v>
      </c>
    </row>
    <row r="26" spans="1:7" x14ac:dyDescent="0.2">
      <c r="A26" s="32" t="s">
        <v>57</v>
      </c>
      <c r="B26" s="44">
        <f>-(C26*G17+D26*G18)/(1+E4)</f>
        <v>-43689320.388349511</v>
      </c>
      <c r="C26" s="44">
        <f>C4</f>
        <v>45000000</v>
      </c>
      <c r="D26" s="44">
        <f>C4</f>
        <v>45000000</v>
      </c>
    </row>
    <row r="27" spans="1:7" x14ac:dyDescent="0.2">
      <c r="A27" s="32" t="s">
        <v>59</v>
      </c>
      <c r="B27" s="44">
        <f>-($G$17*$C$20+$G$18*$D$20)/(1+$E$4)</f>
        <v>3302775.7899130518</v>
      </c>
      <c r="C27" s="46">
        <f>MAX(0,$C$4-$H$8)</f>
        <v>0</v>
      </c>
      <c r="D27" s="46">
        <f>-MAX(0,$C$4-$H$12)</f>
        <v>-6477452.5245506689</v>
      </c>
    </row>
    <row r="28" spans="1:7" ht="51" x14ac:dyDescent="0.2">
      <c r="A28" s="4" t="s">
        <v>73</v>
      </c>
      <c r="B28" s="45">
        <f>(C28*G17+D28*G18)/(1+E4)</f>
        <v>40386544.59843646</v>
      </c>
      <c r="C28" s="44">
        <f>C26+C27</f>
        <v>45000000</v>
      </c>
      <c r="D28" s="44">
        <f>D26+D27</f>
        <v>38522547.475449331</v>
      </c>
    </row>
  </sheetData>
  <mergeCells count="19">
    <mergeCell ref="F16:G16"/>
    <mergeCell ref="E7:H7"/>
    <mergeCell ref="A22:D22"/>
    <mergeCell ref="A23:D23"/>
    <mergeCell ref="A24:A25"/>
    <mergeCell ref="B24:B25"/>
    <mergeCell ref="C24:D24"/>
    <mergeCell ref="A16:D16"/>
    <mergeCell ref="A17:A18"/>
    <mergeCell ref="B17:B18"/>
    <mergeCell ref="C17:D17"/>
    <mergeCell ref="A15:D15"/>
    <mergeCell ref="A1:H1"/>
    <mergeCell ref="C8:D8"/>
    <mergeCell ref="B8:B9"/>
    <mergeCell ref="A2:H2"/>
    <mergeCell ref="A8:A9"/>
    <mergeCell ref="A7:D7"/>
    <mergeCell ref="A6:H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E5C4-1F5C-5F4A-B71B-27D08E316793}">
  <sheetPr>
    <tabColor rgb="FFFFC000"/>
  </sheetPr>
  <dimension ref="A1:M253"/>
  <sheetViews>
    <sheetView zoomScale="131" workbookViewId="0">
      <pane ySplit="1" topLeftCell="A2" activePane="bottomLeft" state="frozen"/>
      <selection pane="bottomLeft" activeCell="N14" sqref="N14"/>
    </sheetView>
  </sheetViews>
  <sheetFormatPr baseColWidth="10" defaultRowHeight="16" x14ac:dyDescent="0.2"/>
  <cols>
    <col min="8" max="8" width="15.83203125" customWidth="1"/>
    <col min="9" max="9" width="3" customWidth="1"/>
    <col min="10" max="10" width="22.83203125" bestFit="1" customWidth="1"/>
    <col min="11" max="11" width="21.5" customWidth="1"/>
  </cols>
  <sheetData>
    <row r="1" spans="1:13" x14ac:dyDescent="0.2">
      <c r="A1" s="111" t="s">
        <v>78</v>
      </c>
      <c r="B1" s="111"/>
      <c r="C1" s="111"/>
      <c r="D1" s="111"/>
      <c r="E1" s="111"/>
      <c r="F1" s="111"/>
      <c r="G1" s="111"/>
      <c r="H1" s="111"/>
      <c r="I1" s="111"/>
      <c r="J1" s="111"/>
      <c r="K1" s="111"/>
    </row>
    <row r="2" spans="1:13" x14ac:dyDescent="0.2">
      <c r="A2" s="112" t="s">
        <v>84</v>
      </c>
      <c r="B2" s="112"/>
      <c r="C2" s="112"/>
      <c r="D2" s="112"/>
      <c r="E2" s="112"/>
      <c r="G2" s="113" t="s">
        <v>3</v>
      </c>
      <c r="H2" s="114"/>
      <c r="I2" s="114"/>
      <c r="J2" s="114"/>
      <c r="K2" s="115"/>
      <c r="L2" s="65"/>
      <c r="M2" s="65"/>
    </row>
    <row r="3" spans="1:13" x14ac:dyDescent="0.2">
      <c r="A3" t="s">
        <v>79</v>
      </c>
      <c r="B3" t="s">
        <v>80</v>
      </c>
      <c r="C3" t="s">
        <v>81</v>
      </c>
      <c r="D3" t="s">
        <v>82</v>
      </c>
      <c r="E3" t="s">
        <v>83</v>
      </c>
      <c r="G3" s="24" t="s">
        <v>79</v>
      </c>
      <c r="H3" s="22" t="s">
        <v>85</v>
      </c>
      <c r="J3" s="32" t="s">
        <v>86</v>
      </c>
      <c r="K3" s="60">
        <f>_xlfn.VAR.S(H4:H252)</f>
        <v>4.1128613689472303E-5</v>
      </c>
      <c r="L3" s="65"/>
      <c r="M3" s="65"/>
    </row>
    <row r="4" spans="1:13" x14ac:dyDescent="0.2">
      <c r="A4" s="53">
        <v>46027</v>
      </c>
      <c r="B4">
        <v>25401.32</v>
      </c>
      <c r="C4">
        <v>25471.79</v>
      </c>
      <c r="D4">
        <v>25520.51</v>
      </c>
      <c r="E4">
        <v>25354.66</v>
      </c>
      <c r="G4" s="54">
        <v>46027</v>
      </c>
      <c r="H4" s="40">
        <f t="shared" ref="H4:H67" si="0">LOG($B4)-LOG($B5)</f>
        <v>3.3494246892722401E-3</v>
      </c>
      <c r="J4" s="32" t="s">
        <v>87</v>
      </c>
      <c r="K4" s="61">
        <f>K3*COUNT(G4:G253)</f>
        <v>1.0282153422368075E-2</v>
      </c>
      <c r="L4" s="65"/>
      <c r="M4" s="65"/>
    </row>
    <row r="5" spans="1:13" x14ac:dyDescent="0.2">
      <c r="A5" s="53">
        <v>46024</v>
      </c>
      <c r="B5">
        <v>25206.17</v>
      </c>
      <c r="C5">
        <v>25524.27</v>
      </c>
      <c r="D5">
        <v>25597.65</v>
      </c>
      <c r="E5">
        <v>25086.36</v>
      </c>
      <c r="G5" s="54">
        <v>46024</v>
      </c>
      <c r="H5" s="56">
        <f t="shared" si="0"/>
        <v>-7.5194150107460445E-4</v>
      </c>
      <c r="J5" s="32" t="s">
        <v>88</v>
      </c>
      <c r="K5" s="61">
        <f>SQRT(K4)</f>
        <v>0.10140095375472596</v>
      </c>
      <c r="L5" s="65"/>
      <c r="M5" s="65"/>
    </row>
    <row r="6" spans="1:13" x14ac:dyDescent="0.2">
      <c r="A6" s="53">
        <v>46022</v>
      </c>
      <c r="B6">
        <v>25249.85</v>
      </c>
      <c r="C6">
        <v>25464.71</v>
      </c>
      <c r="D6">
        <v>25483.77</v>
      </c>
      <c r="E6">
        <v>25244.86</v>
      </c>
      <c r="G6" s="54">
        <v>46022</v>
      </c>
      <c r="H6" s="56">
        <f t="shared" si="0"/>
        <v>-3.6432629015479279E-3</v>
      </c>
      <c r="J6" s="32" t="s">
        <v>89</v>
      </c>
      <c r="K6" s="61">
        <f>EXP(K5*SQRT(1/1))</f>
        <v>1.1067202964732714</v>
      </c>
      <c r="L6" s="65"/>
      <c r="M6" s="65"/>
    </row>
    <row r="7" spans="1:13" x14ac:dyDescent="0.2">
      <c r="A7" s="53">
        <v>46021</v>
      </c>
      <c r="B7">
        <v>25462.560000000001</v>
      </c>
      <c r="C7">
        <v>25509.88</v>
      </c>
      <c r="D7">
        <v>25577.58</v>
      </c>
      <c r="E7">
        <v>25456.92</v>
      </c>
      <c r="G7" s="54">
        <v>46021</v>
      </c>
      <c r="H7" s="56">
        <f t="shared" si="0"/>
        <v>-1.0732133792492604E-3</v>
      </c>
      <c r="J7" s="32" t="s">
        <v>90</v>
      </c>
      <c r="K7" s="61">
        <f>EXP(-K5*SQRT(1/1))</f>
        <v>0.90357067019250348</v>
      </c>
      <c r="L7" s="65"/>
      <c r="M7" s="65"/>
    </row>
    <row r="8" spans="1:13" x14ac:dyDescent="0.2">
      <c r="A8" s="53">
        <v>46020</v>
      </c>
      <c r="B8">
        <v>25525.56</v>
      </c>
      <c r="C8">
        <v>25462.25</v>
      </c>
      <c r="D8">
        <v>25598.14</v>
      </c>
      <c r="E8">
        <v>25440.97</v>
      </c>
      <c r="G8" s="54">
        <v>46020</v>
      </c>
      <c r="H8" s="56">
        <f t="shared" si="0"/>
        <v>-2.017094253782048E-3</v>
      </c>
      <c r="J8" s="32" t="s">
        <v>91</v>
      </c>
      <c r="K8" s="58">
        <f>B4*K6</f>
        <v>28112.15640121244</v>
      </c>
      <c r="L8" s="65"/>
      <c r="M8" s="65"/>
    </row>
    <row r="9" spans="1:13" x14ac:dyDescent="0.2">
      <c r="A9" s="53">
        <v>46017</v>
      </c>
      <c r="B9">
        <v>25644.39</v>
      </c>
      <c r="C9">
        <v>25692.68</v>
      </c>
      <c r="D9">
        <v>25716.71</v>
      </c>
      <c r="E9">
        <v>25620.32</v>
      </c>
      <c r="G9" s="54">
        <v>46017</v>
      </c>
      <c r="H9" s="56">
        <f t="shared" si="0"/>
        <v>-1.9911303844555306E-4</v>
      </c>
      <c r="J9" s="32" t="s">
        <v>92</v>
      </c>
      <c r="K9" s="58">
        <f>B4*K7</f>
        <v>22951.887736174242</v>
      </c>
    </row>
    <row r="10" spans="1:13" x14ac:dyDescent="0.2">
      <c r="A10" s="53">
        <v>46015</v>
      </c>
      <c r="B10">
        <v>25656.15</v>
      </c>
      <c r="C10">
        <v>25582.34</v>
      </c>
      <c r="D10">
        <v>25665.279999999999</v>
      </c>
      <c r="E10">
        <v>25556.85</v>
      </c>
      <c r="G10" s="54">
        <v>46015</v>
      </c>
      <c r="H10" s="56">
        <f t="shared" si="0"/>
        <v>1.1580293561790356E-3</v>
      </c>
      <c r="J10" s="3"/>
      <c r="K10" s="3"/>
    </row>
    <row r="11" spans="1:13" x14ac:dyDescent="0.2">
      <c r="A11" s="53">
        <v>46014</v>
      </c>
      <c r="B11">
        <v>25587.83</v>
      </c>
      <c r="C11">
        <v>25441.42</v>
      </c>
      <c r="D11">
        <v>25590.03</v>
      </c>
      <c r="E11">
        <v>25403.26</v>
      </c>
      <c r="G11" s="54">
        <v>46014</v>
      </c>
      <c r="H11" s="56">
        <f t="shared" si="0"/>
        <v>2.1460598938674025E-3</v>
      </c>
      <c r="J11" s="71" t="s">
        <v>15</v>
      </c>
      <c r="K11" s="71"/>
    </row>
    <row r="12" spans="1:13" x14ac:dyDescent="0.2">
      <c r="A12" s="53">
        <v>46013</v>
      </c>
      <c r="B12">
        <v>25461.7</v>
      </c>
      <c r="C12">
        <v>25527.68</v>
      </c>
      <c r="D12">
        <v>25554.03</v>
      </c>
      <c r="E12">
        <v>25401.59</v>
      </c>
      <c r="G12" s="54">
        <v>46013</v>
      </c>
      <c r="H12" s="56">
        <f t="shared" si="0"/>
        <v>1.974882045904458E-3</v>
      </c>
      <c r="J12" s="32" t="s">
        <v>96</v>
      </c>
      <c r="K12" s="6">
        <v>2.5000000000000001E-2</v>
      </c>
    </row>
    <row r="13" spans="1:13" x14ac:dyDescent="0.2">
      <c r="A13" s="53">
        <v>46010</v>
      </c>
      <c r="B13">
        <v>25346.18</v>
      </c>
      <c r="C13">
        <v>25147.3</v>
      </c>
      <c r="D13">
        <v>25354.82</v>
      </c>
      <c r="E13">
        <v>25134.26</v>
      </c>
      <c r="G13" s="54">
        <v>46010</v>
      </c>
      <c r="H13" s="56">
        <f t="shared" si="0"/>
        <v>5.636145009715321E-3</v>
      </c>
      <c r="J13" s="32" t="s">
        <v>16</v>
      </c>
      <c r="K13" s="59">
        <f>(1+K12-K7)/(K6-K7)</f>
        <v>0.59773346390345827</v>
      </c>
    </row>
    <row r="14" spans="1:13" x14ac:dyDescent="0.2">
      <c r="A14" s="53">
        <v>46009</v>
      </c>
      <c r="B14">
        <v>25019.37</v>
      </c>
      <c r="C14">
        <v>25031.49</v>
      </c>
      <c r="D14">
        <v>25164.18</v>
      </c>
      <c r="E14">
        <v>24921.45</v>
      </c>
      <c r="G14" s="54">
        <v>46009</v>
      </c>
      <c r="H14" s="56">
        <f t="shared" si="0"/>
        <v>6.5015562407690908E-3</v>
      </c>
      <c r="J14" s="32" t="s">
        <v>17</v>
      </c>
      <c r="K14" s="6">
        <f>(K6-1-K12)/(K6-K7)</f>
        <v>0.40226653609654134</v>
      </c>
    </row>
    <row r="15" spans="1:13" x14ac:dyDescent="0.2">
      <c r="A15" s="53">
        <v>46008</v>
      </c>
      <c r="B15">
        <v>24647.61</v>
      </c>
      <c r="C15">
        <v>25167.86</v>
      </c>
      <c r="D15">
        <v>25193.41</v>
      </c>
      <c r="E15">
        <v>24647.61</v>
      </c>
      <c r="G15" s="54">
        <v>46008</v>
      </c>
      <c r="H15" s="56">
        <f t="shared" si="0"/>
        <v>-8.4684809394968141E-3</v>
      </c>
      <c r="J15" s="3"/>
      <c r="K15" s="3"/>
    </row>
    <row r="16" spans="1:13" x14ac:dyDescent="0.2">
      <c r="A16" s="53">
        <v>46007</v>
      </c>
      <c r="B16">
        <v>25132.94</v>
      </c>
      <c r="C16">
        <v>24991.49</v>
      </c>
      <c r="D16">
        <v>25188.76</v>
      </c>
      <c r="E16">
        <v>24922.94</v>
      </c>
      <c r="G16" s="54">
        <v>46007</v>
      </c>
      <c r="H16" s="56">
        <f t="shared" si="0"/>
        <v>1.1364288527762056E-3</v>
      </c>
      <c r="J16" s="71" t="s">
        <v>20</v>
      </c>
      <c r="K16" s="71"/>
    </row>
    <row r="17" spans="1:11" x14ac:dyDescent="0.2">
      <c r="A17" s="53">
        <v>46006</v>
      </c>
      <c r="B17">
        <v>25067.26</v>
      </c>
      <c r="C17">
        <v>25352.87</v>
      </c>
      <c r="D17">
        <v>25377.62</v>
      </c>
      <c r="E17">
        <v>25022.81</v>
      </c>
      <c r="G17" s="54">
        <v>46006</v>
      </c>
      <c r="H17" s="56">
        <f t="shared" si="0"/>
        <v>-2.2373166525619936E-3</v>
      </c>
      <c r="J17" s="72" t="s">
        <v>93</v>
      </c>
      <c r="K17" s="72"/>
    </row>
    <row r="18" spans="1:11" x14ac:dyDescent="0.2">
      <c r="A18" s="53">
        <v>46003</v>
      </c>
      <c r="B18">
        <v>25196.73</v>
      </c>
      <c r="C18">
        <v>25531.55</v>
      </c>
      <c r="D18">
        <v>25605.88</v>
      </c>
      <c r="E18">
        <v>25104.68</v>
      </c>
      <c r="G18" s="54">
        <v>46003</v>
      </c>
      <c r="H18" s="56">
        <f t="shared" si="0"/>
        <v>-8.3637931434532575E-3</v>
      </c>
      <c r="J18" s="32" t="s">
        <v>46</v>
      </c>
      <c r="K18" s="6">
        <f>B4</f>
        <v>25401.32</v>
      </c>
    </row>
    <row r="19" spans="1:11" x14ac:dyDescent="0.2">
      <c r="A19" s="53">
        <v>46002</v>
      </c>
      <c r="B19">
        <v>25686.68</v>
      </c>
      <c r="C19">
        <v>25598.39</v>
      </c>
      <c r="D19">
        <v>25696.29</v>
      </c>
      <c r="E19">
        <v>25372.18</v>
      </c>
      <c r="G19" s="54">
        <v>46002</v>
      </c>
      <c r="H19" s="56">
        <f t="shared" si="0"/>
        <v>-1.5149610915550227E-3</v>
      </c>
      <c r="J19" s="32" t="s">
        <v>94</v>
      </c>
      <c r="K19" s="58">
        <f>MAX(0,K8-K18)</f>
        <v>2710.8364012124403</v>
      </c>
    </row>
    <row r="20" spans="1:11" x14ac:dyDescent="0.2">
      <c r="A20" s="53">
        <v>46001</v>
      </c>
      <c r="B20">
        <v>25776.44</v>
      </c>
      <c r="C20">
        <v>25631.59</v>
      </c>
      <c r="D20">
        <v>25835.03</v>
      </c>
      <c r="E20">
        <v>25504.3</v>
      </c>
      <c r="G20" s="54">
        <v>46001</v>
      </c>
      <c r="H20" s="56">
        <f t="shared" si="0"/>
        <v>1.8192314355927053E-3</v>
      </c>
      <c r="J20" s="32" t="s">
        <v>95</v>
      </c>
      <c r="K20" s="58">
        <f>MAX(0,K9-K18)</f>
        <v>0</v>
      </c>
    </row>
    <row r="21" spans="1:11" x14ac:dyDescent="0.2">
      <c r="A21" s="53">
        <v>46000</v>
      </c>
      <c r="B21">
        <v>25668.69</v>
      </c>
      <c r="C21">
        <v>25593.67</v>
      </c>
      <c r="D21">
        <v>25698.26</v>
      </c>
      <c r="E21">
        <v>25532.34</v>
      </c>
      <c r="G21" s="54">
        <v>46000</v>
      </c>
      <c r="H21" s="56">
        <f t="shared" si="0"/>
        <v>6.8983703075975455E-4</v>
      </c>
      <c r="J21" s="32" t="s">
        <v>71</v>
      </c>
      <c r="K21" s="59">
        <f>(K19*K13+K20*K14)/(1+K12)</f>
        <v>1580.8367143144362</v>
      </c>
    </row>
    <row r="22" spans="1:11" x14ac:dyDescent="0.2">
      <c r="A22" s="53">
        <v>45999</v>
      </c>
      <c r="B22">
        <v>25627.95</v>
      </c>
      <c r="C22">
        <v>25758.82</v>
      </c>
      <c r="D22">
        <v>25828.16</v>
      </c>
      <c r="E22">
        <v>25531.75</v>
      </c>
      <c r="G22" s="54">
        <v>45999</v>
      </c>
      <c r="H22" s="56">
        <f t="shared" si="0"/>
        <v>-1.0848905209090987E-3</v>
      </c>
    </row>
    <row r="23" spans="1:11" x14ac:dyDescent="0.2">
      <c r="A23" s="53">
        <v>45996</v>
      </c>
      <c r="B23">
        <v>25692.05</v>
      </c>
      <c r="C23">
        <v>25657.78</v>
      </c>
      <c r="D23">
        <v>25827.08</v>
      </c>
      <c r="E23">
        <v>25617.35</v>
      </c>
      <c r="G23" s="54">
        <v>45996</v>
      </c>
      <c r="H23" s="56">
        <f t="shared" si="0"/>
        <v>1.8693569349270689E-3</v>
      </c>
    </row>
    <row r="24" spans="1:11" x14ac:dyDescent="0.2">
      <c r="A24" s="53">
        <v>45995</v>
      </c>
      <c r="B24">
        <v>25581.7</v>
      </c>
      <c r="C24">
        <v>25658.14</v>
      </c>
      <c r="D24">
        <v>25658.27</v>
      </c>
      <c r="E24">
        <v>25450.38</v>
      </c>
      <c r="G24" s="54">
        <v>45995</v>
      </c>
      <c r="H24" s="56">
        <f t="shared" si="0"/>
        <v>-4.2149821041981284E-4</v>
      </c>
    </row>
    <row r="25" spans="1:11" x14ac:dyDescent="0.2">
      <c r="A25" s="53">
        <v>45994</v>
      </c>
      <c r="B25">
        <v>25606.54</v>
      </c>
      <c r="C25">
        <v>25443.7</v>
      </c>
      <c r="D25">
        <v>25639.99</v>
      </c>
      <c r="E25">
        <v>25388.44</v>
      </c>
      <c r="G25" s="54">
        <v>45994</v>
      </c>
      <c r="H25" s="56">
        <f t="shared" si="0"/>
        <v>8.6039949423177831E-4</v>
      </c>
    </row>
    <row r="26" spans="1:11" x14ac:dyDescent="0.2">
      <c r="A26" s="53">
        <v>45993</v>
      </c>
      <c r="B26">
        <v>25555.86</v>
      </c>
      <c r="C26">
        <v>25449.87</v>
      </c>
      <c r="D26">
        <v>25622.58</v>
      </c>
      <c r="E26">
        <v>25369.360000000001</v>
      </c>
      <c r="G26" s="54">
        <v>45993</v>
      </c>
      <c r="H26" s="56">
        <f t="shared" si="0"/>
        <v>3.6350472404969025E-3</v>
      </c>
    </row>
    <row r="27" spans="1:11" x14ac:dyDescent="0.2">
      <c r="A27" s="53">
        <v>45992</v>
      </c>
      <c r="B27">
        <v>25342.85</v>
      </c>
      <c r="C27">
        <v>25232.75</v>
      </c>
      <c r="D27">
        <v>25443.21</v>
      </c>
      <c r="E27">
        <v>25158.63</v>
      </c>
      <c r="G27" s="54">
        <v>45992</v>
      </c>
      <c r="H27" s="56">
        <f t="shared" si="0"/>
        <v>-1.5744106725295026E-3</v>
      </c>
    </row>
    <row r="28" spans="1:11" x14ac:dyDescent="0.2">
      <c r="A28" s="53">
        <v>45989</v>
      </c>
      <c r="B28">
        <v>25434.89</v>
      </c>
      <c r="C28">
        <v>25310.28</v>
      </c>
      <c r="D28">
        <v>25435.77</v>
      </c>
      <c r="E28">
        <v>25280.959999999999</v>
      </c>
      <c r="G28" s="54">
        <v>45989</v>
      </c>
      <c r="H28" s="56">
        <f t="shared" si="0"/>
        <v>3.3931685519856813E-3</v>
      </c>
    </row>
    <row r="29" spans="1:11" x14ac:dyDescent="0.2">
      <c r="A29" s="53">
        <v>45987</v>
      </c>
      <c r="B29">
        <v>25236.94</v>
      </c>
      <c r="C29">
        <v>25168.31</v>
      </c>
      <c r="D29">
        <v>25309.15</v>
      </c>
      <c r="E29">
        <v>25077.86</v>
      </c>
      <c r="G29" s="54">
        <v>45987</v>
      </c>
      <c r="H29" s="56">
        <f t="shared" si="0"/>
        <v>3.777857716609212E-3</v>
      </c>
    </row>
    <row r="30" spans="1:11" x14ac:dyDescent="0.2">
      <c r="A30" s="53">
        <v>45986</v>
      </c>
      <c r="B30">
        <v>25018.36</v>
      </c>
      <c r="C30">
        <v>24790.07</v>
      </c>
      <c r="D30">
        <v>25069.54</v>
      </c>
      <c r="E30">
        <v>24542.720000000001</v>
      </c>
      <c r="G30" s="54">
        <v>45986</v>
      </c>
      <c r="H30" s="56">
        <f t="shared" si="0"/>
        <v>2.5158264621447657E-3</v>
      </c>
    </row>
    <row r="31" spans="1:11" x14ac:dyDescent="0.2">
      <c r="A31" s="53">
        <v>45985</v>
      </c>
      <c r="B31">
        <v>24873.85</v>
      </c>
      <c r="C31">
        <v>24462.87</v>
      </c>
      <c r="D31">
        <v>24923.59</v>
      </c>
      <c r="E31">
        <v>24455.65</v>
      </c>
      <c r="G31" s="54">
        <v>45985</v>
      </c>
      <c r="H31" s="56">
        <f t="shared" si="0"/>
        <v>1.121809966065257E-2</v>
      </c>
    </row>
    <row r="32" spans="1:11" x14ac:dyDescent="0.2">
      <c r="A32" s="53">
        <v>45982</v>
      </c>
      <c r="B32">
        <v>24239.57</v>
      </c>
      <c r="C32">
        <v>24137.66</v>
      </c>
      <c r="D32">
        <v>24521.84</v>
      </c>
      <c r="E32">
        <v>23854.03</v>
      </c>
      <c r="G32" s="54">
        <v>45982</v>
      </c>
      <c r="H32" s="56">
        <f t="shared" si="0"/>
        <v>3.3307438848746429E-3</v>
      </c>
    </row>
    <row r="33" spans="1:8" x14ac:dyDescent="0.2">
      <c r="A33" s="53">
        <v>45981</v>
      </c>
      <c r="B33">
        <v>24054.38</v>
      </c>
      <c r="C33">
        <v>25131.49</v>
      </c>
      <c r="D33">
        <v>25222.95</v>
      </c>
      <c r="E33">
        <v>24021.439999999999</v>
      </c>
      <c r="G33" s="54">
        <v>45981</v>
      </c>
      <c r="H33" s="56">
        <f t="shared" si="0"/>
        <v>-1.0455701229040493E-2</v>
      </c>
    </row>
    <row r="34" spans="1:8" x14ac:dyDescent="0.2">
      <c r="A34" s="53">
        <v>45980</v>
      </c>
      <c r="B34">
        <v>24640.52</v>
      </c>
      <c r="C34">
        <v>24517.27</v>
      </c>
      <c r="D34">
        <v>24904.66</v>
      </c>
      <c r="E34">
        <v>24432.19</v>
      </c>
      <c r="G34" s="54">
        <v>45980</v>
      </c>
      <c r="H34" s="56">
        <f t="shared" si="0"/>
        <v>2.4288362663131835E-3</v>
      </c>
    </row>
    <row r="35" spans="1:8" x14ac:dyDescent="0.2">
      <c r="A35" s="53">
        <v>45979</v>
      </c>
      <c r="B35">
        <v>24503.1</v>
      </c>
      <c r="C35">
        <v>24651.78</v>
      </c>
      <c r="D35">
        <v>24735.119999999999</v>
      </c>
      <c r="E35">
        <v>24299.29</v>
      </c>
      <c r="G35" s="54">
        <v>45979</v>
      </c>
      <c r="H35" s="56">
        <f t="shared" si="0"/>
        <v>-5.2292474390256416E-3</v>
      </c>
    </row>
    <row r="36" spans="1:8" x14ac:dyDescent="0.2">
      <c r="A36" s="53">
        <v>45978</v>
      </c>
      <c r="B36">
        <v>24799.919999999998</v>
      </c>
      <c r="C36">
        <v>24890.1</v>
      </c>
      <c r="D36">
        <v>25166.15</v>
      </c>
      <c r="E36">
        <v>24649.360000000001</v>
      </c>
      <c r="G36" s="54">
        <v>45978</v>
      </c>
      <c r="H36" s="56">
        <f t="shared" si="0"/>
        <v>-3.6328486743979482E-3</v>
      </c>
    </row>
    <row r="37" spans="1:8" x14ac:dyDescent="0.2">
      <c r="A37" s="53">
        <v>45975</v>
      </c>
      <c r="B37">
        <v>25008.240000000002</v>
      </c>
      <c r="C37">
        <v>24658.55</v>
      </c>
      <c r="D37">
        <v>25198.93</v>
      </c>
      <c r="E37">
        <v>24534.9</v>
      </c>
      <c r="G37" s="54">
        <v>45975</v>
      </c>
      <c r="H37" s="56">
        <f t="shared" si="0"/>
        <v>2.5674617580850878E-4</v>
      </c>
    </row>
    <row r="38" spans="1:8" x14ac:dyDescent="0.2">
      <c r="A38" s="53">
        <v>45974</v>
      </c>
      <c r="B38">
        <v>24993.46</v>
      </c>
      <c r="C38">
        <v>25386.95</v>
      </c>
      <c r="D38">
        <v>25396.01</v>
      </c>
      <c r="E38">
        <v>24908.6</v>
      </c>
      <c r="G38" s="54">
        <v>45974</v>
      </c>
      <c r="H38" s="56">
        <f t="shared" si="0"/>
        <v>-9.0088477497944908E-3</v>
      </c>
    </row>
    <row r="39" spans="1:8" x14ac:dyDescent="0.2">
      <c r="A39" s="53">
        <v>45973</v>
      </c>
      <c r="B39">
        <v>25517.33</v>
      </c>
      <c r="C39">
        <v>25662.19</v>
      </c>
      <c r="D39">
        <v>25663.17</v>
      </c>
      <c r="E39">
        <v>25389.73</v>
      </c>
      <c r="G39" s="54">
        <v>45973</v>
      </c>
      <c r="H39" s="56">
        <f t="shared" si="0"/>
        <v>-2.7494951352302621E-4</v>
      </c>
    </row>
    <row r="40" spans="1:8" x14ac:dyDescent="0.2">
      <c r="A40" s="53">
        <v>45972</v>
      </c>
      <c r="B40">
        <v>25533.49</v>
      </c>
      <c r="C40">
        <v>25500.93</v>
      </c>
      <c r="D40">
        <v>25588.26</v>
      </c>
      <c r="E40">
        <v>25380.86</v>
      </c>
      <c r="G40" s="54">
        <v>45972</v>
      </c>
      <c r="H40" s="56">
        <f t="shared" si="0"/>
        <v>-1.3289047570941293E-3</v>
      </c>
    </row>
    <row r="41" spans="1:8" x14ac:dyDescent="0.2">
      <c r="A41" s="53">
        <v>45971</v>
      </c>
      <c r="B41">
        <v>25611.74</v>
      </c>
      <c r="C41">
        <v>25418.17</v>
      </c>
      <c r="D41">
        <v>25655.51</v>
      </c>
      <c r="E41">
        <v>25354.44</v>
      </c>
      <c r="G41" s="54">
        <v>45971</v>
      </c>
      <c r="H41" s="56">
        <f t="shared" si="0"/>
        <v>9.4613104828642491E-3</v>
      </c>
    </row>
    <row r="42" spans="1:8" x14ac:dyDescent="0.2">
      <c r="A42" s="53">
        <v>45968</v>
      </c>
      <c r="B42">
        <v>25059.81</v>
      </c>
      <c r="C42">
        <v>24977.73</v>
      </c>
      <c r="D42">
        <v>25065.14</v>
      </c>
      <c r="E42">
        <v>24603.78</v>
      </c>
      <c r="G42" s="54">
        <v>45968</v>
      </c>
      <c r="H42" s="56">
        <f t="shared" si="0"/>
        <v>-1.2154059584075227E-3</v>
      </c>
    </row>
    <row r="43" spans="1:8" x14ac:dyDescent="0.2">
      <c r="A43" s="53">
        <v>45967</v>
      </c>
      <c r="B43">
        <v>25130.04</v>
      </c>
      <c r="C43">
        <v>25568.240000000002</v>
      </c>
      <c r="D43">
        <v>25568.240000000002</v>
      </c>
      <c r="E43">
        <v>25083.24</v>
      </c>
      <c r="G43" s="54">
        <v>45967</v>
      </c>
      <c r="H43" s="56">
        <f t="shared" si="0"/>
        <v>-8.3864540813589628E-3</v>
      </c>
    </row>
    <row r="44" spans="1:8" x14ac:dyDescent="0.2">
      <c r="A44" s="53">
        <v>45966</v>
      </c>
      <c r="B44">
        <v>25620.03</v>
      </c>
      <c r="C44">
        <v>25433.23</v>
      </c>
      <c r="D44">
        <v>25750.89</v>
      </c>
      <c r="E44">
        <v>25364.9</v>
      </c>
      <c r="G44" s="54">
        <v>45966</v>
      </c>
      <c r="H44" s="56">
        <f t="shared" si="0"/>
        <v>3.1359398711190423E-3</v>
      </c>
    </row>
    <row r="45" spans="1:8" x14ac:dyDescent="0.2">
      <c r="A45" s="53">
        <v>45965</v>
      </c>
      <c r="B45">
        <v>25435.7</v>
      </c>
      <c r="C45">
        <v>25580.34</v>
      </c>
      <c r="D45">
        <v>25762.23</v>
      </c>
      <c r="E45">
        <v>25415.62</v>
      </c>
      <c r="G45" s="54">
        <v>45965</v>
      </c>
      <c r="H45" s="56">
        <f t="shared" si="0"/>
        <v>-9.0774181808113141E-3</v>
      </c>
    </row>
    <row r="46" spans="1:8" x14ac:dyDescent="0.2">
      <c r="A46" s="53">
        <v>45964</v>
      </c>
      <c r="B46">
        <v>25972.94</v>
      </c>
      <c r="C46">
        <v>26114.11</v>
      </c>
      <c r="D46">
        <v>26132.87</v>
      </c>
      <c r="E46">
        <v>25887.88</v>
      </c>
      <c r="G46" s="54">
        <v>45964</v>
      </c>
      <c r="H46" s="56">
        <f t="shared" si="0"/>
        <v>1.9239977495022487E-3</v>
      </c>
    </row>
    <row r="47" spans="1:8" x14ac:dyDescent="0.2">
      <c r="A47" s="53">
        <v>45961</v>
      </c>
      <c r="B47">
        <v>25858.13</v>
      </c>
      <c r="C47">
        <v>26055.97</v>
      </c>
      <c r="D47">
        <v>26063.49</v>
      </c>
      <c r="E47">
        <v>25761.279999999999</v>
      </c>
      <c r="G47" s="54">
        <v>45961</v>
      </c>
      <c r="H47" s="56">
        <f t="shared" si="0"/>
        <v>2.076148306517922E-3</v>
      </c>
    </row>
    <row r="48" spans="1:8" x14ac:dyDescent="0.2">
      <c r="A48" s="53">
        <v>45960</v>
      </c>
      <c r="B48">
        <v>25734.81</v>
      </c>
      <c r="C48">
        <v>25953.78</v>
      </c>
      <c r="D48">
        <v>26031.68</v>
      </c>
      <c r="E48">
        <v>25732.39</v>
      </c>
      <c r="G48" s="54">
        <v>45960</v>
      </c>
      <c r="H48" s="56">
        <f t="shared" si="0"/>
        <v>-6.4497123581235272E-3</v>
      </c>
    </row>
    <row r="49" spans="1:8" x14ac:dyDescent="0.2">
      <c r="A49" s="53">
        <v>45959</v>
      </c>
      <c r="B49">
        <v>26119.85</v>
      </c>
      <c r="C49">
        <v>26147.72</v>
      </c>
      <c r="D49">
        <v>26182.1</v>
      </c>
      <c r="E49">
        <v>25907.45</v>
      </c>
      <c r="G49" s="54">
        <v>45959</v>
      </c>
      <c r="H49" s="56">
        <f t="shared" si="0"/>
        <v>1.7942618855713022E-3</v>
      </c>
    </row>
    <row r="50" spans="1:8" x14ac:dyDescent="0.2">
      <c r="A50" s="53">
        <v>45958</v>
      </c>
      <c r="B50">
        <v>26012.16</v>
      </c>
      <c r="C50">
        <v>25932.639999999999</v>
      </c>
      <c r="D50">
        <v>26087.48</v>
      </c>
      <c r="E50">
        <v>25864.49</v>
      </c>
      <c r="G50" s="54">
        <v>45958</v>
      </c>
      <c r="H50" s="56">
        <f t="shared" si="0"/>
        <v>3.1941084032682809E-3</v>
      </c>
    </row>
    <row r="51" spans="1:8" x14ac:dyDescent="0.2">
      <c r="A51" s="53">
        <v>45957</v>
      </c>
      <c r="B51">
        <v>25821.55</v>
      </c>
      <c r="C51">
        <v>25701.95</v>
      </c>
      <c r="D51">
        <v>25839.03</v>
      </c>
      <c r="E51">
        <v>25656.38</v>
      </c>
      <c r="G51" s="54">
        <v>45957</v>
      </c>
      <c r="H51" s="56">
        <f t="shared" si="0"/>
        <v>7.8645705315389947E-3</v>
      </c>
    </row>
    <row r="52" spans="1:8" x14ac:dyDescent="0.2">
      <c r="A52" s="53">
        <v>45954</v>
      </c>
      <c r="B52">
        <v>25358.16</v>
      </c>
      <c r="C52">
        <v>25307.75</v>
      </c>
      <c r="D52">
        <v>25418.639999999999</v>
      </c>
      <c r="E52">
        <v>25288.71</v>
      </c>
      <c r="G52" s="54">
        <v>45954</v>
      </c>
      <c r="H52" s="56">
        <f t="shared" si="0"/>
        <v>4.4886591827539846E-3</v>
      </c>
    </row>
    <row r="53" spans="1:8" x14ac:dyDescent="0.2">
      <c r="A53" s="53">
        <v>45953</v>
      </c>
      <c r="B53">
        <v>25097.42</v>
      </c>
      <c r="C53">
        <v>24869.599999999999</v>
      </c>
      <c r="D53">
        <v>25126.78</v>
      </c>
      <c r="E53">
        <v>24856.34</v>
      </c>
      <c r="G53" s="54">
        <v>45953</v>
      </c>
      <c r="H53" s="56">
        <f t="shared" si="0"/>
        <v>3.7961584565975315E-3</v>
      </c>
    </row>
    <row r="54" spans="1:8" x14ac:dyDescent="0.2">
      <c r="A54" s="53">
        <v>45952</v>
      </c>
      <c r="B54">
        <v>24879</v>
      </c>
      <c r="C54">
        <v>25093.64</v>
      </c>
      <c r="D54">
        <v>25127.06</v>
      </c>
      <c r="E54">
        <v>24652.11</v>
      </c>
      <c r="G54" s="54">
        <v>45952</v>
      </c>
      <c r="H54" s="56">
        <f t="shared" si="0"/>
        <v>-4.3099665668684395E-3</v>
      </c>
    </row>
    <row r="55" spans="1:8" x14ac:dyDescent="0.2">
      <c r="A55" s="53">
        <v>45951</v>
      </c>
      <c r="B55">
        <v>25127.13</v>
      </c>
      <c r="C55">
        <v>25139.8</v>
      </c>
      <c r="D55">
        <v>25178.23</v>
      </c>
      <c r="E55">
        <v>25043.06</v>
      </c>
      <c r="G55" s="54">
        <v>45951</v>
      </c>
      <c r="H55" s="56">
        <f t="shared" si="0"/>
        <v>-2.4000686347847022E-4</v>
      </c>
    </row>
    <row r="56" spans="1:8" x14ac:dyDescent="0.2">
      <c r="A56" s="53">
        <v>45950</v>
      </c>
      <c r="B56">
        <v>25141.02</v>
      </c>
      <c r="C56">
        <v>24991.1</v>
      </c>
      <c r="D56">
        <v>25183.81</v>
      </c>
      <c r="E56">
        <v>24988.67</v>
      </c>
      <c r="G56" s="54">
        <v>45950</v>
      </c>
      <c r="H56" s="56">
        <f t="shared" si="0"/>
        <v>5.6169882655536796E-3</v>
      </c>
    </row>
    <row r="57" spans="1:8" x14ac:dyDescent="0.2">
      <c r="A57" s="53">
        <v>45947</v>
      </c>
      <c r="B57">
        <v>24817.95</v>
      </c>
      <c r="C57">
        <v>24600.55</v>
      </c>
      <c r="D57">
        <v>24881.47</v>
      </c>
      <c r="E57">
        <v>24511.59</v>
      </c>
      <c r="G57" s="54">
        <v>45947</v>
      </c>
      <c r="H57" s="56">
        <f t="shared" si="0"/>
        <v>2.8214428956667703E-3</v>
      </c>
    </row>
    <row r="58" spans="1:8" x14ac:dyDescent="0.2">
      <c r="A58" s="53">
        <v>45946</v>
      </c>
      <c r="B58">
        <v>24657.24</v>
      </c>
      <c r="C58">
        <v>24882.22</v>
      </c>
      <c r="D58">
        <v>24998.3</v>
      </c>
      <c r="E58">
        <v>24481.17</v>
      </c>
      <c r="G58" s="54">
        <v>45946</v>
      </c>
      <c r="H58" s="56">
        <f t="shared" si="0"/>
        <v>-1.5493140171729536E-3</v>
      </c>
    </row>
    <row r="59" spans="1:8" x14ac:dyDescent="0.2">
      <c r="A59" s="53">
        <v>45945</v>
      </c>
      <c r="B59">
        <v>24745.360000000001</v>
      </c>
      <c r="C59">
        <v>24807.34</v>
      </c>
      <c r="D59">
        <v>24933.23</v>
      </c>
      <c r="E59">
        <v>24496.07</v>
      </c>
      <c r="G59" s="54">
        <v>45945</v>
      </c>
      <c r="H59" s="56">
        <f t="shared" si="0"/>
        <v>2.9239126601723342E-3</v>
      </c>
    </row>
    <row r="60" spans="1:8" x14ac:dyDescent="0.2">
      <c r="A60" s="53">
        <v>45944</v>
      </c>
      <c r="B60">
        <v>24579.32</v>
      </c>
      <c r="C60">
        <v>24442.93</v>
      </c>
      <c r="D60">
        <v>24766.37</v>
      </c>
      <c r="E60">
        <v>24256.28</v>
      </c>
      <c r="G60" s="54">
        <v>45944</v>
      </c>
      <c r="H60" s="56">
        <f t="shared" si="0"/>
        <v>-3.0097263322703682E-3</v>
      </c>
    </row>
    <row r="61" spans="1:8" x14ac:dyDescent="0.2">
      <c r="A61" s="53">
        <v>45943</v>
      </c>
      <c r="B61">
        <v>24750.25</v>
      </c>
      <c r="C61">
        <v>24625.74</v>
      </c>
      <c r="D61">
        <v>24779.65</v>
      </c>
      <c r="E61">
        <v>24540.42</v>
      </c>
      <c r="G61" s="54">
        <v>45943</v>
      </c>
      <c r="H61" s="56">
        <f t="shared" si="0"/>
        <v>9.3740727278541769E-3</v>
      </c>
    </row>
    <row r="62" spans="1:8" x14ac:dyDescent="0.2">
      <c r="A62" s="53">
        <v>45940</v>
      </c>
      <c r="B62">
        <v>24221.75</v>
      </c>
      <c r="C62">
        <v>25116.83</v>
      </c>
      <c r="D62">
        <v>25195.279999999999</v>
      </c>
      <c r="E62">
        <v>24207.15</v>
      </c>
      <c r="G62" s="54">
        <v>45940</v>
      </c>
      <c r="H62" s="56">
        <f t="shared" si="0"/>
        <v>-1.5436712331181823E-2</v>
      </c>
    </row>
    <row r="63" spans="1:8" x14ac:dyDescent="0.2">
      <c r="A63" s="53">
        <v>45939</v>
      </c>
      <c r="B63">
        <v>25098.18</v>
      </c>
      <c r="C63">
        <v>25124.79</v>
      </c>
      <c r="D63">
        <v>25139.35</v>
      </c>
      <c r="E63">
        <v>24966.81</v>
      </c>
      <c r="G63" s="54">
        <v>45939</v>
      </c>
      <c r="H63" s="56">
        <f t="shared" si="0"/>
        <v>-6.6465012870597917E-4</v>
      </c>
    </row>
    <row r="64" spans="1:8" x14ac:dyDescent="0.2">
      <c r="A64" s="53">
        <v>45938</v>
      </c>
      <c r="B64">
        <v>25136.62</v>
      </c>
      <c r="C64">
        <v>24887.32</v>
      </c>
      <c r="D64">
        <v>25142.19</v>
      </c>
      <c r="E64">
        <v>24882.35</v>
      </c>
      <c r="G64" s="54">
        <v>45938</v>
      </c>
      <c r="H64" s="56">
        <f t="shared" si="0"/>
        <v>5.1512670612856581E-3</v>
      </c>
    </row>
    <row r="65" spans="1:8" x14ac:dyDescent="0.2">
      <c r="A65" s="53">
        <v>45937</v>
      </c>
      <c r="B65">
        <v>24840.23</v>
      </c>
      <c r="C65">
        <v>25031.78</v>
      </c>
      <c r="D65">
        <v>25062.959999999999</v>
      </c>
      <c r="E65">
        <v>24783.95</v>
      </c>
      <c r="G65" s="54">
        <v>45937</v>
      </c>
      <c r="H65" s="56">
        <f t="shared" si="0"/>
        <v>-2.4117851948934899E-3</v>
      </c>
    </row>
    <row r="66" spans="1:8" x14ac:dyDescent="0.2">
      <c r="A66" s="53">
        <v>45936</v>
      </c>
      <c r="B66">
        <v>24978.560000000001</v>
      </c>
      <c r="C66">
        <v>24986.26</v>
      </c>
      <c r="D66">
        <v>25044.26</v>
      </c>
      <c r="E66">
        <v>24907.599999999999</v>
      </c>
      <c r="G66" s="54">
        <v>45936</v>
      </c>
      <c r="H66" s="56">
        <f t="shared" si="0"/>
        <v>3.3693630947144726E-3</v>
      </c>
    </row>
    <row r="67" spans="1:8" x14ac:dyDescent="0.2">
      <c r="A67" s="53">
        <v>45933</v>
      </c>
      <c r="B67">
        <v>24785.52</v>
      </c>
      <c r="C67">
        <v>24931.42</v>
      </c>
      <c r="D67">
        <v>24958.26</v>
      </c>
      <c r="E67">
        <v>24713.58</v>
      </c>
      <c r="G67" s="54">
        <v>45933</v>
      </c>
      <c r="H67" s="56">
        <f t="shared" si="0"/>
        <v>-1.8750171134414018E-3</v>
      </c>
    </row>
    <row r="68" spans="1:8" x14ac:dyDescent="0.2">
      <c r="A68" s="53">
        <v>45932</v>
      </c>
      <c r="B68">
        <v>24892.76</v>
      </c>
      <c r="C68">
        <v>24933.49</v>
      </c>
      <c r="D68">
        <v>24944.75</v>
      </c>
      <c r="E68">
        <v>24780.11</v>
      </c>
      <c r="G68" s="54">
        <v>45932</v>
      </c>
      <c r="H68" s="56">
        <f t="shared" ref="H68:H131" si="1">LOG($B68)-LOG($B69)</f>
        <v>1.6063111677793174E-3</v>
      </c>
    </row>
    <row r="69" spans="1:8" x14ac:dyDescent="0.2">
      <c r="A69" s="53">
        <v>45931</v>
      </c>
      <c r="B69">
        <v>24800.86</v>
      </c>
      <c r="C69">
        <v>24539.25</v>
      </c>
      <c r="D69">
        <v>24816.67</v>
      </c>
      <c r="E69">
        <v>24517.759999999998</v>
      </c>
      <c r="G69" s="54">
        <v>45931</v>
      </c>
      <c r="H69" s="56">
        <f t="shared" si="1"/>
        <v>2.1217613860127216E-3</v>
      </c>
    </row>
    <row r="70" spans="1:8" x14ac:dyDescent="0.2">
      <c r="A70" s="53">
        <v>45930</v>
      </c>
      <c r="B70">
        <v>24679.99</v>
      </c>
      <c r="C70">
        <v>24597.4</v>
      </c>
      <c r="D70">
        <v>24691.23</v>
      </c>
      <c r="E70">
        <v>24505.14</v>
      </c>
      <c r="G70" s="54">
        <v>45930</v>
      </c>
      <c r="H70" s="56">
        <f t="shared" si="1"/>
        <v>1.2095427921670066E-3</v>
      </c>
    </row>
    <row r="71" spans="1:8" x14ac:dyDescent="0.2">
      <c r="A71" s="53">
        <v>45929</v>
      </c>
      <c r="B71">
        <v>24611.35</v>
      </c>
      <c r="C71">
        <v>24629.02</v>
      </c>
      <c r="D71">
        <v>24741.77</v>
      </c>
      <c r="E71">
        <v>24560.22</v>
      </c>
      <c r="G71" s="54">
        <v>45929</v>
      </c>
      <c r="H71" s="56">
        <f t="shared" si="1"/>
        <v>1.9011113201754526E-3</v>
      </c>
    </row>
    <row r="72" spans="1:8" x14ac:dyDescent="0.2">
      <c r="A72" s="53">
        <v>45926</v>
      </c>
      <c r="B72">
        <v>24503.85</v>
      </c>
      <c r="C72">
        <v>24410.95</v>
      </c>
      <c r="D72">
        <v>24510.37</v>
      </c>
      <c r="E72">
        <v>24297.7</v>
      </c>
      <c r="G72" s="54">
        <v>45926</v>
      </c>
      <c r="H72" s="56">
        <f t="shared" si="1"/>
        <v>1.8923807660558012E-3</v>
      </c>
    </row>
    <row r="73" spans="1:8" x14ac:dyDescent="0.2">
      <c r="A73" s="53">
        <v>45925</v>
      </c>
      <c r="B73">
        <v>24397.31</v>
      </c>
      <c r="C73">
        <v>24321.73</v>
      </c>
      <c r="D73">
        <v>24460.66</v>
      </c>
      <c r="E73">
        <v>24186.37</v>
      </c>
      <c r="G73" s="54">
        <v>45925</v>
      </c>
      <c r="H73" s="56">
        <f t="shared" si="1"/>
        <v>-1.8874181520294186E-3</v>
      </c>
    </row>
    <row r="74" spans="1:8" x14ac:dyDescent="0.2">
      <c r="A74" s="53">
        <v>45924</v>
      </c>
      <c r="B74">
        <v>24503.57</v>
      </c>
      <c r="C74">
        <v>24648.97</v>
      </c>
      <c r="D74">
        <v>24650.42</v>
      </c>
      <c r="E74">
        <v>24388.59</v>
      </c>
      <c r="G74" s="54">
        <v>45924</v>
      </c>
      <c r="H74" s="56">
        <f t="shared" si="1"/>
        <v>-1.3555195394925335E-3</v>
      </c>
    </row>
    <row r="75" spans="1:8" x14ac:dyDescent="0.2">
      <c r="A75" s="53">
        <v>45923</v>
      </c>
      <c r="B75">
        <v>24580.17</v>
      </c>
      <c r="C75">
        <v>24752.74</v>
      </c>
      <c r="D75">
        <v>24764.3</v>
      </c>
      <c r="E75">
        <v>24536.5</v>
      </c>
      <c r="G75" s="54">
        <v>45923</v>
      </c>
      <c r="H75" s="56">
        <f t="shared" si="1"/>
        <v>-3.1845257148823691E-3</v>
      </c>
    </row>
    <row r="76" spans="1:8" x14ac:dyDescent="0.2">
      <c r="A76" s="53">
        <v>45922</v>
      </c>
      <c r="B76">
        <v>24761.07</v>
      </c>
      <c r="C76">
        <v>24588.18</v>
      </c>
      <c r="D76">
        <v>24781.73</v>
      </c>
      <c r="E76">
        <v>24578.09</v>
      </c>
      <c r="G76" s="54">
        <v>45922</v>
      </c>
      <c r="H76" s="56">
        <f t="shared" si="1"/>
        <v>2.3711239036501297E-3</v>
      </c>
    </row>
    <row r="77" spans="1:8" x14ac:dyDescent="0.2">
      <c r="A77" s="53">
        <v>45919</v>
      </c>
      <c r="B77">
        <v>24626.25</v>
      </c>
      <c r="C77">
        <v>24528.44</v>
      </c>
      <c r="D77">
        <v>24641.93</v>
      </c>
      <c r="E77">
        <v>24469.279999999999</v>
      </c>
      <c r="G77" s="54">
        <v>45919</v>
      </c>
      <c r="H77" s="56">
        <f t="shared" si="1"/>
        <v>3.032570344025487E-3</v>
      </c>
    </row>
    <row r="78" spans="1:8" x14ac:dyDescent="0.2">
      <c r="A78" s="53">
        <v>45918</v>
      </c>
      <c r="B78">
        <v>24454.89</v>
      </c>
      <c r="C78">
        <v>24421.21</v>
      </c>
      <c r="D78">
        <v>24554.52</v>
      </c>
      <c r="E78">
        <v>24347.54</v>
      </c>
      <c r="G78" s="54">
        <v>45918</v>
      </c>
      <c r="H78" s="56">
        <f t="shared" si="1"/>
        <v>4.1254136514599082E-3</v>
      </c>
    </row>
    <row r="79" spans="1:8" x14ac:dyDescent="0.2">
      <c r="A79" s="53">
        <v>45917</v>
      </c>
      <c r="B79">
        <v>24223.69</v>
      </c>
      <c r="C79">
        <v>24286.43</v>
      </c>
      <c r="D79">
        <v>24292.06</v>
      </c>
      <c r="E79">
        <v>23999.75</v>
      </c>
      <c r="G79" s="54">
        <v>45917</v>
      </c>
      <c r="H79" s="56">
        <f t="shared" si="1"/>
        <v>-9.0552039777325177E-4</v>
      </c>
    </row>
    <row r="80" spans="1:8" x14ac:dyDescent="0.2">
      <c r="A80" s="53">
        <v>45916</v>
      </c>
      <c r="B80">
        <v>24274.25</v>
      </c>
      <c r="C80">
        <v>24342.75</v>
      </c>
      <c r="D80">
        <v>24343.35</v>
      </c>
      <c r="E80">
        <v>24244.21</v>
      </c>
      <c r="G80" s="54">
        <v>45916</v>
      </c>
      <c r="H80" s="56">
        <f t="shared" si="1"/>
        <v>-3.4927386137439953E-4</v>
      </c>
    </row>
    <row r="81" spans="1:8" x14ac:dyDescent="0.2">
      <c r="A81" s="53">
        <v>45915</v>
      </c>
      <c r="B81">
        <v>24293.78</v>
      </c>
      <c r="C81">
        <v>24178.6</v>
      </c>
      <c r="D81">
        <v>24297.34</v>
      </c>
      <c r="E81">
        <v>24173.14</v>
      </c>
      <c r="G81" s="54">
        <v>45915</v>
      </c>
      <c r="H81" s="56">
        <f t="shared" si="1"/>
        <v>3.6188147585916042E-3</v>
      </c>
    </row>
    <row r="82" spans="1:8" x14ac:dyDescent="0.2">
      <c r="A82" s="53">
        <v>45912</v>
      </c>
      <c r="B82">
        <v>24092.19</v>
      </c>
      <c r="C82">
        <v>24030.77</v>
      </c>
      <c r="D82">
        <v>24137.06</v>
      </c>
      <c r="E82">
        <v>23983.63</v>
      </c>
      <c r="G82" s="54">
        <v>45912</v>
      </c>
      <c r="H82" s="56">
        <f t="shared" si="1"/>
        <v>1.7996899703316416E-3</v>
      </c>
    </row>
    <row r="83" spans="1:8" x14ac:dyDescent="0.2">
      <c r="A83" s="53">
        <v>45911</v>
      </c>
      <c r="B83">
        <v>23992.560000000001</v>
      </c>
      <c r="C83">
        <v>23956.57</v>
      </c>
      <c r="D83">
        <v>24016.53</v>
      </c>
      <c r="E83">
        <v>23883.01</v>
      </c>
      <c r="G83" s="54">
        <v>45911</v>
      </c>
      <c r="H83" s="56">
        <f t="shared" si="1"/>
        <v>2.6014992482918942E-3</v>
      </c>
    </row>
    <row r="84" spans="1:8" x14ac:dyDescent="0.2">
      <c r="A84" s="53">
        <v>45910</v>
      </c>
      <c r="B84">
        <v>23849.27</v>
      </c>
      <c r="C84">
        <v>23931.32</v>
      </c>
      <c r="D84">
        <v>23958.54</v>
      </c>
      <c r="E84">
        <v>23760.09</v>
      </c>
      <c r="G84" s="54">
        <v>45910</v>
      </c>
      <c r="H84" s="56">
        <f t="shared" si="1"/>
        <v>1.724826589271089E-4</v>
      </c>
    </row>
    <row r="85" spans="1:8" x14ac:dyDescent="0.2">
      <c r="A85" s="53">
        <v>45909</v>
      </c>
      <c r="B85">
        <v>23839.8</v>
      </c>
      <c r="C85">
        <v>23824.33</v>
      </c>
      <c r="D85">
        <v>23852.42</v>
      </c>
      <c r="E85">
        <v>23698</v>
      </c>
      <c r="G85" s="54">
        <v>45909</v>
      </c>
      <c r="H85" s="56">
        <f t="shared" si="1"/>
        <v>1.4141330775681027E-3</v>
      </c>
    </row>
    <row r="86" spans="1:8" x14ac:dyDescent="0.2">
      <c r="A86" s="53">
        <v>45908</v>
      </c>
      <c r="B86">
        <v>23762.3</v>
      </c>
      <c r="C86">
        <v>23759.62</v>
      </c>
      <c r="D86">
        <v>23851.81</v>
      </c>
      <c r="E86">
        <v>23725.040000000001</v>
      </c>
      <c r="G86" s="54">
        <v>45908</v>
      </c>
      <c r="H86" s="56">
        <f t="shared" si="1"/>
        <v>2.0125250992393262E-3</v>
      </c>
    </row>
    <row r="87" spans="1:8" x14ac:dyDescent="0.2">
      <c r="A87" s="53">
        <v>45905</v>
      </c>
      <c r="B87">
        <v>23652.44</v>
      </c>
      <c r="C87">
        <v>23841.98</v>
      </c>
      <c r="D87">
        <v>23860.25</v>
      </c>
      <c r="E87">
        <v>23475.33</v>
      </c>
      <c r="G87" s="54">
        <v>45905</v>
      </c>
      <c r="H87" s="56">
        <f t="shared" si="1"/>
        <v>3.5691073081878244E-4</v>
      </c>
    </row>
    <row r="88" spans="1:8" x14ac:dyDescent="0.2">
      <c r="A88" s="53">
        <v>45904</v>
      </c>
      <c r="B88">
        <v>23633.01</v>
      </c>
      <c r="C88">
        <v>23442.19</v>
      </c>
      <c r="D88">
        <v>23639.040000000001</v>
      </c>
      <c r="E88">
        <v>23371.33</v>
      </c>
      <c r="G88" s="54">
        <v>45904</v>
      </c>
      <c r="H88" s="56">
        <f t="shared" si="1"/>
        <v>4.0278442598378206E-3</v>
      </c>
    </row>
    <row r="89" spans="1:8" x14ac:dyDescent="0.2">
      <c r="A89" s="53">
        <v>45903</v>
      </c>
      <c r="B89">
        <v>23414.84</v>
      </c>
      <c r="C89">
        <v>23388.28</v>
      </c>
      <c r="D89">
        <v>23478.01</v>
      </c>
      <c r="E89">
        <v>23279.119999999999</v>
      </c>
      <c r="G89" s="54">
        <v>45903</v>
      </c>
      <c r="H89" s="56">
        <f t="shared" si="1"/>
        <v>3.4212332606706752E-3</v>
      </c>
    </row>
    <row r="90" spans="1:8" x14ac:dyDescent="0.2">
      <c r="A90" s="53">
        <v>45902</v>
      </c>
      <c r="B90">
        <v>23231.11</v>
      </c>
      <c r="C90">
        <v>23020.47</v>
      </c>
      <c r="D90">
        <v>23242.28</v>
      </c>
      <c r="E90">
        <v>22977.89</v>
      </c>
      <c r="G90" s="54">
        <v>45902</v>
      </c>
      <c r="H90" s="56">
        <f t="shared" si="1"/>
        <v>-3.4319908690854106E-3</v>
      </c>
    </row>
    <row r="91" spans="1:8" x14ac:dyDescent="0.2">
      <c r="A91" s="53">
        <v>45898</v>
      </c>
      <c r="B91">
        <v>23415.42</v>
      </c>
      <c r="C91">
        <v>23607.54</v>
      </c>
      <c r="D91">
        <v>23607.54</v>
      </c>
      <c r="E91">
        <v>23353.96</v>
      </c>
      <c r="G91" s="54">
        <v>45898</v>
      </c>
      <c r="H91" s="56">
        <f t="shared" si="1"/>
        <v>-5.3096094081137579E-3</v>
      </c>
    </row>
    <row r="92" spans="1:8" x14ac:dyDescent="0.2">
      <c r="A92" s="53">
        <v>45897</v>
      </c>
      <c r="B92">
        <v>23703.45</v>
      </c>
      <c r="C92">
        <v>23601.35</v>
      </c>
      <c r="D92">
        <v>23741.23</v>
      </c>
      <c r="E92">
        <v>23514.7</v>
      </c>
      <c r="G92" s="54">
        <v>45897</v>
      </c>
      <c r="H92" s="56">
        <f t="shared" si="1"/>
        <v>2.5284524842099643E-3</v>
      </c>
    </row>
    <row r="93" spans="1:8" x14ac:dyDescent="0.2">
      <c r="A93" s="53">
        <v>45896</v>
      </c>
      <c r="B93">
        <v>23565.85</v>
      </c>
      <c r="C93">
        <v>23499.67</v>
      </c>
      <c r="D93">
        <v>23591.05</v>
      </c>
      <c r="E93">
        <v>23434.31</v>
      </c>
      <c r="G93" s="54">
        <v>45896</v>
      </c>
      <c r="H93" s="56">
        <f t="shared" si="1"/>
        <v>7.4812325808615299E-4</v>
      </c>
    </row>
    <row r="94" spans="1:8" x14ac:dyDescent="0.2">
      <c r="A94" s="53">
        <v>45895</v>
      </c>
      <c r="B94">
        <v>23525.29</v>
      </c>
      <c r="C94">
        <v>23420.85</v>
      </c>
      <c r="D94">
        <v>23532.51</v>
      </c>
      <c r="E94">
        <v>23369.040000000001</v>
      </c>
      <c r="G94" s="54">
        <v>45895</v>
      </c>
      <c r="H94" s="56">
        <f t="shared" si="1"/>
        <v>1.8442624607768465E-3</v>
      </c>
    </row>
    <row r="95" spans="1:8" x14ac:dyDescent="0.2">
      <c r="A95" s="53">
        <v>45894</v>
      </c>
      <c r="B95">
        <v>23425.599999999999</v>
      </c>
      <c r="C95">
        <v>23454.28</v>
      </c>
      <c r="D95">
        <v>23546.45</v>
      </c>
      <c r="E95">
        <v>23382.19</v>
      </c>
      <c r="G95" s="54">
        <v>45894</v>
      </c>
      <c r="H95" s="56">
        <f t="shared" si="1"/>
        <v>-1.3423940345429486E-3</v>
      </c>
    </row>
    <row r="96" spans="1:8" x14ac:dyDescent="0.2">
      <c r="A96" s="53">
        <v>45891</v>
      </c>
      <c r="B96">
        <v>23498.12</v>
      </c>
      <c r="C96">
        <v>23184.99</v>
      </c>
      <c r="D96">
        <v>23575.360000000001</v>
      </c>
      <c r="E96">
        <v>23140.04</v>
      </c>
      <c r="G96" s="54">
        <v>45891</v>
      </c>
      <c r="H96" s="56">
        <f t="shared" si="1"/>
        <v>6.6213436365964995E-3</v>
      </c>
    </row>
    <row r="97" spans="1:8" x14ac:dyDescent="0.2">
      <c r="A97" s="53">
        <v>45890</v>
      </c>
      <c r="B97">
        <v>23142.58</v>
      </c>
      <c r="C97">
        <v>23182.76</v>
      </c>
      <c r="D97">
        <v>23264.27</v>
      </c>
      <c r="E97">
        <v>23046.39</v>
      </c>
      <c r="G97" s="54">
        <v>45890</v>
      </c>
      <c r="H97" s="56">
        <f t="shared" si="1"/>
        <v>-2.0031513519267463E-3</v>
      </c>
    </row>
    <row r="98" spans="1:8" x14ac:dyDescent="0.2">
      <c r="A98" s="53">
        <v>45889</v>
      </c>
      <c r="B98">
        <v>23249.57</v>
      </c>
      <c r="C98">
        <v>23343.41</v>
      </c>
      <c r="D98">
        <v>23343.41</v>
      </c>
      <c r="E98">
        <v>22959.7</v>
      </c>
      <c r="G98" s="54">
        <v>45889</v>
      </c>
      <c r="H98" s="56">
        <f t="shared" si="1"/>
        <v>-2.5181777402680794E-3</v>
      </c>
    </row>
    <row r="99" spans="1:8" x14ac:dyDescent="0.2">
      <c r="A99" s="53">
        <v>45888</v>
      </c>
      <c r="B99">
        <v>23384.77</v>
      </c>
      <c r="C99">
        <v>23689.01</v>
      </c>
      <c r="D99">
        <v>23695.65</v>
      </c>
      <c r="E99">
        <v>23346.34</v>
      </c>
      <c r="G99" s="54">
        <v>45888</v>
      </c>
      <c r="H99" s="56">
        <f t="shared" si="1"/>
        <v>-6.0673174070204894E-3</v>
      </c>
    </row>
    <row r="100" spans="1:8" x14ac:dyDescent="0.2">
      <c r="A100" s="53">
        <v>45887</v>
      </c>
      <c r="B100">
        <v>23713.759999999998</v>
      </c>
      <c r="C100">
        <v>23692.13</v>
      </c>
      <c r="D100">
        <v>23733.5</v>
      </c>
      <c r="E100">
        <v>23637.41</v>
      </c>
      <c r="G100" s="54">
        <v>45887</v>
      </c>
      <c r="H100" s="56">
        <f t="shared" si="1"/>
        <v>3.0951811480051106E-5</v>
      </c>
    </row>
    <row r="101" spans="1:8" x14ac:dyDescent="0.2">
      <c r="A101" s="53">
        <v>45884</v>
      </c>
      <c r="B101">
        <v>23712.07</v>
      </c>
      <c r="C101">
        <v>23809</v>
      </c>
      <c r="D101">
        <v>23813.99</v>
      </c>
      <c r="E101">
        <v>23651.21</v>
      </c>
      <c r="G101" s="54">
        <v>45884</v>
      </c>
      <c r="H101" s="56">
        <f t="shared" si="1"/>
        <v>-2.199039951315207E-3</v>
      </c>
    </row>
    <row r="102" spans="1:8" x14ac:dyDescent="0.2">
      <c r="A102" s="53">
        <v>45883</v>
      </c>
      <c r="B102">
        <v>23832.44</v>
      </c>
      <c r="C102">
        <v>23775.01</v>
      </c>
      <c r="D102">
        <v>23908.26</v>
      </c>
      <c r="E102">
        <v>23748.98</v>
      </c>
      <c r="G102" s="54">
        <v>45883</v>
      </c>
      <c r="H102" s="56">
        <f t="shared" si="1"/>
        <v>-3.0239366273221435E-4</v>
      </c>
    </row>
    <row r="103" spans="1:8" x14ac:dyDescent="0.2">
      <c r="A103" s="53">
        <v>45882</v>
      </c>
      <c r="B103">
        <v>23849.040000000001</v>
      </c>
      <c r="C103">
        <v>23935.06</v>
      </c>
      <c r="D103">
        <v>23969.27</v>
      </c>
      <c r="E103">
        <v>23789.119999999999</v>
      </c>
      <c r="G103" s="54">
        <v>45882</v>
      </c>
      <c r="H103" s="56">
        <f t="shared" si="1"/>
        <v>1.7922480521725959E-4</v>
      </c>
    </row>
    <row r="104" spans="1:8" x14ac:dyDescent="0.2">
      <c r="A104" s="53">
        <v>45881</v>
      </c>
      <c r="B104">
        <v>23839.200000000001</v>
      </c>
      <c r="C104">
        <v>23651.61</v>
      </c>
      <c r="D104">
        <v>23849.5</v>
      </c>
      <c r="E104">
        <v>23524.28</v>
      </c>
      <c r="G104" s="54">
        <v>45881</v>
      </c>
      <c r="H104" s="56">
        <f t="shared" si="1"/>
        <v>5.7319547341103672E-3</v>
      </c>
    </row>
    <row r="105" spans="1:8" x14ac:dyDescent="0.2">
      <c r="A105" s="53">
        <v>45880</v>
      </c>
      <c r="B105">
        <v>23526.63</v>
      </c>
      <c r="C105">
        <v>23629.01</v>
      </c>
      <c r="D105">
        <v>23698</v>
      </c>
      <c r="E105">
        <v>23484.25</v>
      </c>
      <c r="G105" s="54">
        <v>45880</v>
      </c>
      <c r="H105" s="56">
        <f t="shared" si="1"/>
        <v>-1.5596250343419271E-3</v>
      </c>
    </row>
    <row r="106" spans="1:8" x14ac:dyDescent="0.2">
      <c r="A106" s="53">
        <v>45877</v>
      </c>
      <c r="B106">
        <v>23611.27</v>
      </c>
      <c r="C106">
        <v>23458.14</v>
      </c>
      <c r="D106">
        <v>23619.24</v>
      </c>
      <c r="E106">
        <v>23437.61</v>
      </c>
      <c r="G106" s="54">
        <v>45877</v>
      </c>
      <c r="H106" s="56">
        <f t="shared" si="1"/>
        <v>4.0978525002941524E-3</v>
      </c>
    </row>
    <row r="107" spans="1:8" x14ac:dyDescent="0.2">
      <c r="A107" s="53">
        <v>45876</v>
      </c>
      <c r="B107">
        <v>23389.53</v>
      </c>
      <c r="C107">
        <v>23483.42</v>
      </c>
      <c r="D107">
        <v>23560.73</v>
      </c>
      <c r="E107">
        <v>23225.72</v>
      </c>
      <c r="G107" s="54">
        <v>45876</v>
      </c>
      <c r="H107" s="56">
        <f t="shared" si="1"/>
        <v>1.3853301031483412E-3</v>
      </c>
    </row>
    <row r="108" spans="1:8" x14ac:dyDescent="0.2">
      <c r="A108" s="53">
        <v>45875</v>
      </c>
      <c r="B108">
        <v>23315.040000000001</v>
      </c>
      <c r="C108">
        <v>23070.95</v>
      </c>
      <c r="D108">
        <v>23330.49</v>
      </c>
      <c r="E108">
        <v>23042.27</v>
      </c>
      <c r="G108" s="54">
        <v>45875</v>
      </c>
      <c r="H108" s="56">
        <f t="shared" si="1"/>
        <v>5.5580134236672407E-3</v>
      </c>
    </row>
    <row r="109" spans="1:8" x14ac:dyDescent="0.2">
      <c r="A109" s="53">
        <v>45874</v>
      </c>
      <c r="B109">
        <v>23018.560000000001</v>
      </c>
      <c r="C109">
        <v>23235.31</v>
      </c>
      <c r="D109">
        <v>23286.05</v>
      </c>
      <c r="E109">
        <v>23008.14</v>
      </c>
      <c r="G109" s="54">
        <v>45874</v>
      </c>
      <c r="H109" s="56">
        <f t="shared" si="1"/>
        <v>-3.1965649511525029E-3</v>
      </c>
    </row>
    <row r="110" spans="1:8" x14ac:dyDescent="0.2">
      <c r="A110" s="53">
        <v>45873</v>
      </c>
      <c r="B110">
        <v>23188.61</v>
      </c>
      <c r="C110">
        <v>22986.77</v>
      </c>
      <c r="D110">
        <v>23191.040000000001</v>
      </c>
      <c r="E110">
        <v>22973.599999999999</v>
      </c>
      <c r="G110" s="54">
        <v>45873</v>
      </c>
      <c r="H110" s="56">
        <f t="shared" si="1"/>
        <v>8.0393035784291911E-3</v>
      </c>
    </row>
    <row r="111" spans="1:8" x14ac:dyDescent="0.2">
      <c r="A111" s="53">
        <v>45870</v>
      </c>
      <c r="B111">
        <v>22763.31</v>
      </c>
      <c r="C111">
        <v>22941.06</v>
      </c>
      <c r="D111">
        <v>22972.47</v>
      </c>
      <c r="E111">
        <v>22673.88</v>
      </c>
      <c r="G111" s="54">
        <v>45870</v>
      </c>
      <c r="H111" s="56">
        <f t="shared" si="1"/>
        <v>-8.5916386336437611E-3</v>
      </c>
    </row>
    <row r="112" spans="1:8" x14ac:dyDescent="0.2">
      <c r="A112" s="53">
        <v>45869</v>
      </c>
      <c r="B112">
        <v>23218.12</v>
      </c>
      <c r="C112">
        <v>23589.37</v>
      </c>
      <c r="D112">
        <v>23589.37</v>
      </c>
      <c r="E112">
        <v>23176.12</v>
      </c>
      <c r="G112" s="54">
        <v>45869</v>
      </c>
      <c r="H112" s="56">
        <f t="shared" si="1"/>
        <v>-2.3744540978087869E-3</v>
      </c>
    </row>
    <row r="113" spans="1:8" x14ac:dyDescent="0.2">
      <c r="A113" s="53">
        <v>45868</v>
      </c>
      <c r="B113">
        <v>23345.41</v>
      </c>
      <c r="C113">
        <v>23337.33</v>
      </c>
      <c r="D113">
        <v>23447.15</v>
      </c>
      <c r="E113">
        <v>23226.92</v>
      </c>
      <c r="G113" s="54">
        <v>45868</v>
      </c>
      <c r="H113" s="56">
        <f t="shared" si="1"/>
        <v>6.909063233138113E-4</v>
      </c>
    </row>
    <row r="114" spans="1:8" x14ac:dyDescent="0.2">
      <c r="A114" s="53">
        <v>45867</v>
      </c>
      <c r="B114">
        <v>23308.3</v>
      </c>
      <c r="C114">
        <v>23477.84</v>
      </c>
      <c r="D114">
        <v>23510.92</v>
      </c>
      <c r="E114">
        <v>23283.4</v>
      </c>
      <c r="G114" s="54">
        <v>45867</v>
      </c>
      <c r="H114" s="56">
        <f t="shared" si="1"/>
        <v>-8.9288784340002536E-4</v>
      </c>
    </row>
    <row r="115" spans="1:8" x14ac:dyDescent="0.2">
      <c r="A115" s="53">
        <v>45866</v>
      </c>
      <c r="B115">
        <v>23356.27</v>
      </c>
      <c r="C115">
        <v>23343.13</v>
      </c>
      <c r="D115">
        <v>23386.76</v>
      </c>
      <c r="E115">
        <v>23299.81</v>
      </c>
      <c r="G115" s="54">
        <v>45866</v>
      </c>
      <c r="H115" s="56">
        <f t="shared" si="1"/>
        <v>1.5651134482279616E-3</v>
      </c>
    </row>
    <row r="116" spans="1:8" x14ac:dyDescent="0.2">
      <c r="A116" s="53">
        <v>45863</v>
      </c>
      <c r="B116">
        <v>23272.25</v>
      </c>
      <c r="C116">
        <v>23204.66</v>
      </c>
      <c r="D116">
        <v>23326.3</v>
      </c>
      <c r="E116">
        <v>23193.99</v>
      </c>
      <c r="G116" s="54">
        <v>45863</v>
      </c>
      <c r="H116" s="56">
        <f t="shared" si="1"/>
        <v>9.7877672307955521E-4</v>
      </c>
    </row>
    <row r="117" spans="1:8" x14ac:dyDescent="0.2">
      <c r="A117" s="53">
        <v>45862</v>
      </c>
      <c r="B117">
        <v>23219.86</v>
      </c>
      <c r="C117">
        <v>23228.79</v>
      </c>
      <c r="D117">
        <v>23268.49</v>
      </c>
      <c r="E117">
        <v>23150.27</v>
      </c>
      <c r="G117" s="54">
        <v>45862</v>
      </c>
      <c r="H117" s="56">
        <f t="shared" si="1"/>
        <v>1.075852076438899E-3</v>
      </c>
    </row>
    <row r="118" spans="1:8" x14ac:dyDescent="0.2">
      <c r="A118" s="53">
        <v>45861</v>
      </c>
      <c r="B118">
        <v>23162.41</v>
      </c>
      <c r="C118">
        <v>23100.25</v>
      </c>
      <c r="D118">
        <v>23168.49</v>
      </c>
      <c r="E118">
        <v>23000.46</v>
      </c>
      <c r="G118" s="54">
        <v>45861</v>
      </c>
      <c r="H118" s="56">
        <f t="shared" si="1"/>
        <v>1.8570241132120913E-3</v>
      </c>
    </row>
    <row r="119" spans="1:8" x14ac:dyDescent="0.2">
      <c r="A119" s="53">
        <v>45860</v>
      </c>
      <c r="B119">
        <v>23063.58</v>
      </c>
      <c r="C119">
        <v>23182.02</v>
      </c>
      <c r="D119">
        <v>23186.36</v>
      </c>
      <c r="E119">
        <v>22953.85</v>
      </c>
      <c r="G119" s="54">
        <v>45860</v>
      </c>
      <c r="H119" s="56">
        <f t="shared" si="1"/>
        <v>-2.1878350508348632E-3</v>
      </c>
    </row>
    <row r="120" spans="1:8" x14ac:dyDescent="0.2">
      <c r="A120" s="53">
        <v>45859</v>
      </c>
      <c r="B120">
        <v>23180.06</v>
      </c>
      <c r="C120">
        <v>23124.97</v>
      </c>
      <c r="D120">
        <v>23264.45</v>
      </c>
      <c r="E120">
        <v>23122.93</v>
      </c>
      <c r="G120" s="54">
        <v>45859</v>
      </c>
      <c r="H120" s="56">
        <f t="shared" si="1"/>
        <v>2.1522472131811909E-3</v>
      </c>
    </row>
    <row r="121" spans="1:8" x14ac:dyDescent="0.2">
      <c r="A121" s="53">
        <v>45856</v>
      </c>
      <c r="B121">
        <v>23065.47</v>
      </c>
      <c r="C121">
        <v>23135.09</v>
      </c>
      <c r="D121">
        <v>23153.21</v>
      </c>
      <c r="E121">
        <v>23018.36</v>
      </c>
      <c r="G121" s="54">
        <v>45856</v>
      </c>
      <c r="H121" s="56">
        <f t="shared" si="1"/>
        <v>-2.932532414208211E-4</v>
      </c>
    </row>
    <row r="122" spans="1:8" x14ac:dyDescent="0.2">
      <c r="A122" s="53">
        <v>45855</v>
      </c>
      <c r="B122">
        <v>23081.05</v>
      </c>
      <c r="C122">
        <v>22931.02</v>
      </c>
      <c r="D122">
        <v>23104.720000000001</v>
      </c>
      <c r="E122">
        <v>22905.51</v>
      </c>
      <c r="G122" s="54">
        <v>45855</v>
      </c>
      <c r="H122" s="56">
        <f t="shared" si="1"/>
        <v>3.2689561039651593E-3</v>
      </c>
    </row>
    <row r="123" spans="1:8" x14ac:dyDescent="0.2">
      <c r="A123" s="53">
        <v>45854</v>
      </c>
      <c r="B123">
        <v>22907.97</v>
      </c>
      <c r="C123">
        <v>22895.3</v>
      </c>
      <c r="D123">
        <v>22928.55</v>
      </c>
      <c r="E123">
        <v>22669.37</v>
      </c>
      <c r="G123" s="54">
        <v>45854</v>
      </c>
      <c r="H123" s="56">
        <f t="shared" si="1"/>
        <v>4.4346967582420405E-4</v>
      </c>
    </row>
    <row r="124" spans="1:8" x14ac:dyDescent="0.2">
      <c r="A124" s="53">
        <v>45853</v>
      </c>
      <c r="B124">
        <v>22884.59</v>
      </c>
      <c r="C124">
        <v>23036.86</v>
      </c>
      <c r="D124">
        <v>23051.87</v>
      </c>
      <c r="E124">
        <v>22876.47</v>
      </c>
      <c r="G124" s="54">
        <v>45853</v>
      </c>
      <c r="H124" s="56">
        <f t="shared" si="1"/>
        <v>5.4993919471790775E-4</v>
      </c>
    </row>
    <row r="125" spans="1:8" x14ac:dyDescent="0.2">
      <c r="A125" s="53">
        <v>45852</v>
      </c>
      <c r="B125">
        <v>22855.63</v>
      </c>
      <c r="C125">
        <v>22780.19</v>
      </c>
      <c r="D125">
        <v>22886.94</v>
      </c>
      <c r="E125">
        <v>22675.279999999999</v>
      </c>
      <c r="G125" s="54">
        <v>45852</v>
      </c>
      <c r="H125" s="56">
        <f t="shared" si="1"/>
        <v>1.4280383956659648E-3</v>
      </c>
    </row>
    <row r="126" spans="1:8" x14ac:dyDescent="0.2">
      <c r="A126" s="53">
        <v>45849</v>
      </c>
      <c r="B126">
        <v>22780.6</v>
      </c>
      <c r="C126">
        <v>22757.99</v>
      </c>
      <c r="D126">
        <v>22837.38</v>
      </c>
      <c r="E126">
        <v>22692.799999999999</v>
      </c>
      <c r="G126" s="54">
        <v>45849</v>
      </c>
      <c r="H126" s="56">
        <f t="shared" si="1"/>
        <v>-9.2667583313499335E-4</v>
      </c>
    </row>
    <row r="127" spans="1:8" x14ac:dyDescent="0.2">
      <c r="A127" s="53">
        <v>45848</v>
      </c>
      <c r="B127">
        <v>22829.26</v>
      </c>
      <c r="C127">
        <v>22890.43</v>
      </c>
      <c r="D127">
        <v>22907.040000000001</v>
      </c>
      <c r="E127">
        <v>22716.41</v>
      </c>
      <c r="G127" s="54">
        <v>45848</v>
      </c>
      <c r="H127" s="56">
        <f t="shared" si="1"/>
        <v>-6.7766200463825754E-4</v>
      </c>
    </row>
    <row r="128" spans="1:8" x14ac:dyDescent="0.2">
      <c r="A128" s="53">
        <v>45847</v>
      </c>
      <c r="B128">
        <v>22864.91</v>
      </c>
      <c r="C128">
        <v>22800.36</v>
      </c>
      <c r="D128">
        <v>22915.33</v>
      </c>
      <c r="E128">
        <v>22733.65</v>
      </c>
      <c r="G128" s="54">
        <v>45847</v>
      </c>
      <c r="H128" s="56">
        <f t="shared" si="1"/>
        <v>3.1005943966695426E-3</v>
      </c>
    </row>
    <row r="129" spans="1:8" x14ac:dyDescent="0.2">
      <c r="A129" s="53">
        <v>45846</v>
      </c>
      <c r="B129">
        <v>22702.25</v>
      </c>
      <c r="C129">
        <v>22735.26</v>
      </c>
      <c r="D129">
        <v>22761.8</v>
      </c>
      <c r="E129">
        <v>22652.44</v>
      </c>
      <c r="G129" s="54">
        <v>45846</v>
      </c>
      <c r="H129" s="56">
        <f t="shared" si="1"/>
        <v>3.1920600215062933E-4</v>
      </c>
    </row>
    <row r="130" spans="1:8" x14ac:dyDescent="0.2">
      <c r="A130" s="53">
        <v>45845</v>
      </c>
      <c r="B130">
        <v>22685.57</v>
      </c>
      <c r="C130">
        <v>22754.38</v>
      </c>
      <c r="D130">
        <v>22776.21</v>
      </c>
      <c r="E130">
        <v>22587.47</v>
      </c>
      <c r="G130" s="54">
        <v>45845</v>
      </c>
      <c r="H130" s="56">
        <f t="shared" si="1"/>
        <v>-3.4589261305120189E-3</v>
      </c>
    </row>
    <row r="131" spans="1:8" x14ac:dyDescent="0.2">
      <c r="A131" s="53">
        <v>45841</v>
      </c>
      <c r="B131">
        <v>22866.97</v>
      </c>
      <c r="C131">
        <v>22751.64</v>
      </c>
      <c r="D131">
        <v>22896.01</v>
      </c>
      <c r="E131">
        <v>22736.080000000002</v>
      </c>
      <c r="G131" s="54">
        <v>45841</v>
      </c>
      <c r="H131" s="56">
        <f t="shared" si="1"/>
        <v>4.2959458462235034E-3</v>
      </c>
    </row>
    <row r="132" spans="1:8" x14ac:dyDescent="0.2">
      <c r="A132" s="53">
        <v>45840</v>
      </c>
      <c r="B132">
        <v>22641.89</v>
      </c>
      <c r="C132">
        <v>22451.81</v>
      </c>
      <c r="D132">
        <v>22644.720000000001</v>
      </c>
      <c r="E132">
        <v>22448.07</v>
      </c>
      <c r="G132" s="54">
        <v>45840</v>
      </c>
      <c r="H132" s="56">
        <f t="shared" ref="H132:H195" si="2">LOG($B132)-LOG($B133)</f>
        <v>3.1523043597054823E-3</v>
      </c>
    </row>
    <row r="133" spans="1:8" x14ac:dyDescent="0.2">
      <c r="A133" s="53">
        <v>45839</v>
      </c>
      <c r="B133">
        <v>22478.14</v>
      </c>
      <c r="C133">
        <v>22594.48</v>
      </c>
      <c r="D133">
        <v>22631.26</v>
      </c>
      <c r="E133">
        <v>22388.09</v>
      </c>
      <c r="G133" s="54">
        <v>45839</v>
      </c>
      <c r="H133" s="56">
        <f t="shared" si="2"/>
        <v>-3.8637207160938658E-3</v>
      </c>
    </row>
    <row r="134" spans="1:8" x14ac:dyDescent="0.2">
      <c r="A134" s="53">
        <v>45838</v>
      </c>
      <c r="B134">
        <v>22679.01</v>
      </c>
      <c r="C134">
        <v>22632.92</v>
      </c>
      <c r="D134">
        <v>22721.5</v>
      </c>
      <c r="E134">
        <v>22565.11</v>
      </c>
      <c r="G134" s="54">
        <v>45838</v>
      </c>
      <c r="H134" s="56">
        <f t="shared" si="2"/>
        <v>2.7819479736157504E-3</v>
      </c>
    </row>
    <row r="135" spans="1:8" x14ac:dyDescent="0.2">
      <c r="A135" s="53">
        <v>45835</v>
      </c>
      <c r="B135">
        <v>22534.2</v>
      </c>
      <c r="C135">
        <v>22484.87</v>
      </c>
      <c r="D135">
        <v>22603.22</v>
      </c>
      <c r="E135">
        <v>22382.79</v>
      </c>
      <c r="G135" s="54">
        <v>45835</v>
      </c>
      <c r="H135" s="56">
        <f t="shared" si="2"/>
        <v>1.6782272170443591E-3</v>
      </c>
    </row>
    <row r="136" spans="1:8" x14ac:dyDescent="0.2">
      <c r="A136" s="53">
        <v>45834</v>
      </c>
      <c r="B136">
        <v>22447.29</v>
      </c>
      <c r="C136">
        <v>22328.240000000002</v>
      </c>
      <c r="D136">
        <v>22466.99</v>
      </c>
      <c r="E136">
        <v>22255.27</v>
      </c>
      <c r="G136" s="54">
        <v>45834</v>
      </c>
      <c r="H136" s="56">
        <f t="shared" si="2"/>
        <v>4.0732690929612403E-3</v>
      </c>
    </row>
    <row r="137" spans="1:8" x14ac:dyDescent="0.2">
      <c r="A137" s="53">
        <v>45833</v>
      </c>
      <c r="B137">
        <v>22237.74</v>
      </c>
      <c r="C137">
        <v>22279.69</v>
      </c>
      <c r="D137">
        <v>22329.23</v>
      </c>
      <c r="E137">
        <v>22175.08</v>
      </c>
      <c r="G137" s="54">
        <v>45833</v>
      </c>
      <c r="H137" s="56">
        <f t="shared" si="2"/>
        <v>9.2316886402254994E-4</v>
      </c>
    </row>
    <row r="138" spans="1:8" x14ac:dyDescent="0.2">
      <c r="A138" s="53">
        <v>45832</v>
      </c>
      <c r="B138">
        <v>22190.52</v>
      </c>
      <c r="C138">
        <v>22053.33</v>
      </c>
      <c r="D138">
        <v>22220.639999999999</v>
      </c>
      <c r="E138">
        <v>22045.63</v>
      </c>
      <c r="G138" s="54">
        <v>45832</v>
      </c>
      <c r="H138" s="56">
        <f t="shared" si="2"/>
        <v>6.5902400707278375E-3</v>
      </c>
    </row>
    <row r="139" spans="1:8" x14ac:dyDescent="0.2">
      <c r="A139" s="53">
        <v>45831</v>
      </c>
      <c r="B139">
        <v>21856.33</v>
      </c>
      <c r="C139">
        <v>21632.78</v>
      </c>
      <c r="D139">
        <v>21871.87</v>
      </c>
      <c r="E139">
        <v>21532.32</v>
      </c>
      <c r="G139" s="54">
        <v>45831</v>
      </c>
      <c r="H139" s="56">
        <f t="shared" si="2"/>
        <v>4.593208705462537E-3</v>
      </c>
    </row>
    <row r="140" spans="1:8" x14ac:dyDescent="0.2">
      <c r="A140" s="53">
        <v>45828</v>
      </c>
      <c r="B140">
        <v>21626.39</v>
      </c>
      <c r="C140">
        <v>21834.49</v>
      </c>
      <c r="D140">
        <v>21902.99</v>
      </c>
      <c r="E140">
        <v>21552.799999999999</v>
      </c>
      <c r="G140" s="54">
        <v>45828</v>
      </c>
      <c r="H140" s="56">
        <f t="shared" si="2"/>
        <v>-1.8695917941293771E-3</v>
      </c>
    </row>
    <row r="141" spans="1:8" x14ac:dyDescent="0.2">
      <c r="A141" s="53">
        <v>45826</v>
      </c>
      <c r="B141">
        <v>21719.69</v>
      </c>
      <c r="C141">
        <v>21745.5</v>
      </c>
      <c r="D141">
        <v>21863</v>
      </c>
      <c r="E141">
        <v>21660.52</v>
      </c>
      <c r="G141" s="54">
        <v>45826</v>
      </c>
      <c r="H141" s="56">
        <f t="shared" si="2"/>
        <v>1.219738192315134E-5</v>
      </c>
    </row>
    <row r="142" spans="1:8" x14ac:dyDescent="0.2">
      <c r="A142" s="53">
        <v>45825</v>
      </c>
      <c r="B142">
        <v>21719.08</v>
      </c>
      <c r="C142">
        <v>21858.89</v>
      </c>
      <c r="D142">
        <v>21896.42</v>
      </c>
      <c r="E142">
        <v>21680.17</v>
      </c>
      <c r="G142" s="54">
        <v>45825</v>
      </c>
      <c r="H142" s="56">
        <f t="shared" si="2"/>
        <v>-4.3470945939851902E-3</v>
      </c>
    </row>
    <row r="143" spans="1:8" x14ac:dyDescent="0.2">
      <c r="A143" s="53">
        <v>45824</v>
      </c>
      <c r="B143">
        <v>21937.57</v>
      </c>
      <c r="C143">
        <v>21783.08</v>
      </c>
      <c r="D143">
        <v>21979.77</v>
      </c>
      <c r="E143">
        <v>21783.08</v>
      </c>
      <c r="G143" s="54">
        <v>45824</v>
      </c>
      <c r="H143" s="56">
        <f t="shared" si="2"/>
        <v>6.1111191805389709E-3</v>
      </c>
    </row>
    <row r="144" spans="1:8" x14ac:dyDescent="0.2">
      <c r="A144" s="53">
        <v>45821</v>
      </c>
      <c r="B144">
        <v>21631.040000000001</v>
      </c>
      <c r="C144">
        <v>21675.94</v>
      </c>
      <c r="D144">
        <v>21838.47</v>
      </c>
      <c r="E144">
        <v>21591.11</v>
      </c>
      <c r="G144" s="54">
        <v>45821</v>
      </c>
      <c r="H144" s="56">
        <f t="shared" si="2"/>
        <v>-5.6307803659905176E-3</v>
      </c>
    </row>
    <row r="145" spans="1:8" x14ac:dyDescent="0.2">
      <c r="A145" s="53">
        <v>45820</v>
      </c>
      <c r="B145">
        <v>21913.32</v>
      </c>
      <c r="C145">
        <v>21826.79</v>
      </c>
      <c r="D145">
        <v>21952</v>
      </c>
      <c r="E145">
        <v>21807</v>
      </c>
      <c r="G145" s="54">
        <v>45820</v>
      </c>
      <c r="H145" s="56">
        <f t="shared" si="2"/>
        <v>1.0421297850982114E-3</v>
      </c>
    </row>
    <row r="146" spans="1:8" x14ac:dyDescent="0.2">
      <c r="A146" s="53">
        <v>45819</v>
      </c>
      <c r="B146">
        <v>21860.799999999999</v>
      </c>
      <c r="C146">
        <v>21994.16</v>
      </c>
      <c r="D146">
        <v>22041.83</v>
      </c>
      <c r="E146">
        <v>21775.27</v>
      </c>
      <c r="G146" s="54">
        <v>45819</v>
      </c>
      <c r="H146" s="56">
        <f t="shared" si="2"/>
        <v>-1.6085763006463694E-3</v>
      </c>
    </row>
    <row r="147" spans="1:8" x14ac:dyDescent="0.2">
      <c r="A147" s="53">
        <v>45818</v>
      </c>
      <c r="B147">
        <v>21941.919999999998</v>
      </c>
      <c r="C147">
        <v>21819.78</v>
      </c>
      <c r="D147">
        <v>21961.42</v>
      </c>
      <c r="E147">
        <v>21727.34</v>
      </c>
      <c r="G147" s="54">
        <v>45818</v>
      </c>
      <c r="H147" s="56">
        <f t="shared" si="2"/>
        <v>2.8605691201155636E-3</v>
      </c>
    </row>
    <row r="148" spans="1:8" x14ac:dyDescent="0.2">
      <c r="A148" s="53">
        <v>45817</v>
      </c>
      <c r="B148">
        <v>21797.87</v>
      </c>
      <c r="C148">
        <v>21779.18</v>
      </c>
      <c r="D148">
        <v>21855.15</v>
      </c>
      <c r="E148">
        <v>21729.3</v>
      </c>
      <c r="G148" s="54">
        <v>45817</v>
      </c>
      <c r="H148" s="56">
        <f t="shared" si="2"/>
        <v>7.1944310357086039E-4</v>
      </c>
    </row>
    <row r="149" spans="1:8" x14ac:dyDescent="0.2">
      <c r="A149" s="53">
        <v>45814</v>
      </c>
      <c r="B149">
        <v>21761.79</v>
      </c>
      <c r="C149">
        <v>21777.5</v>
      </c>
      <c r="D149">
        <v>21836.57</v>
      </c>
      <c r="E149">
        <v>21696.69</v>
      </c>
      <c r="G149" s="54">
        <v>45814</v>
      </c>
      <c r="H149" s="56">
        <f t="shared" si="2"/>
        <v>4.2991365516149571E-3</v>
      </c>
    </row>
    <row r="150" spans="1:8" x14ac:dyDescent="0.2">
      <c r="A150" s="53">
        <v>45813</v>
      </c>
      <c r="B150">
        <v>21547.43</v>
      </c>
      <c r="C150">
        <v>21782.34</v>
      </c>
      <c r="D150">
        <v>21891.89</v>
      </c>
      <c r="E150">
        <v>21472.76</v>
      </c>
      <c r="G150" s="54">
        <v>45813</v>
      </c>
      <c r="H150" s="56">
        <f t="shared" si="2"/>
        <v>-3.5027313761686329E-3</v>
      </c>
    </row>
    <row r="151" spans="1:8" x14ac:dyDescent="0.2">
      <c r="A151" s="53">
        <v>45812</v>
      </c>
      <c r="B151">
        <v>21721.919999999998</v>
      </c>
      <c r="C151">
        <v>21689.02</v>
      </c>
      <c r="D151">
        <v>21761.37</v>
      </c>
      <c r="E151">
        <v>21607.33</v>
      </c>
      <c r="G151" s="54">
        <v>45812</v>
      </c>
      <c r="H151" s="56">
        <f t="shared" si="2"/>
        <v>1.1880303162152828E-3</v>
      </c>
    </row>
    <row r="152" spans="1:8" x14ac:dyDescent="0.2">
      <c r="A152" s="53">
        <v>45811</v>
      </c>
      <c r="B152">
        <v>21662.58</v>
      </c>
      <c r="C152">
        <v>21529.98</v>
      </c>
      <c r="D152">
        <v>21715.96</v>
      </c>
      <c r="E152">
        <v>21474.51</v>
      </c>
      <c r="G152" s="54">
        <v>45811</v>
      </c>
      <c r="H152" s="56">
        <f t="shared" si="2"/>
        <v>3.4383995246090038E-3</v>
      </c>
    </row>
    <row r="153" spans="1:8" x14ac:dyDescent="0.2">
      <c r="A153" s="53">
        <v>45810</v>
      </c>
      <c r="B153">
        <v>21491.75</v>
      </c>
      <c r="C153">
        <v>21270.57</v>
      </c>
      <c r="D153">
        <v>21500.36</v>
      </c>
      <c r="E153">
        <v>21199.37</v>
      </c>
      <c r="G153" s="54">
        <v>45810</v>
      </c>
      <c r="H153" s="56">
        <f t="shared" si="2"/>
        <v>3.0572177484202712E-3</v>
      </c>
    </row>
    <row r="154" spans="1:8" x14ac:dyDescent="0.2">
      <c r="A154" s="53">
        <v>45807</v>
      </c>
      <c r="B154">
        <v>21340.99</v>
      </c>
      <c r="C154">
        <v>21330.85</v>
      </c>
      <c r="D154">
        <v>21386.29</v>
      </c>
      <c r="E154">
        <v>21032.560000000001</v>
      </c>
      <c r="G154" s="54">
        <v>45807</v>
      </c>
      <c r="H154" s="56">
        <f t="shared" si="2"/>
        <v>-4.6699057604460137E-4</v>
      </c>
    </row>
    <row r="155" spans="1:8" x14ac:dyDescent="0.2">
      <c r="A155" s="53">
        <v>45806</v>
      </c>
      <c r="B155">
        <v>21363.95</v>
      </c>
      <c r="C155">
        <v>21611.54</v>
      </c>
      <c r="D155">
        <v>21611.54</v>
      </c>
      <c r="E155">
        <v>21260.720000000001</v>
      </c>
      <c r="G155" s="54">
        <v>45806</v>
      </c>
      <c r="H155" s="56">
        <f t="shared" si="2"/>
        <v>9.3163174677446392E-4</v>
      </c>
    </row>
    <row r="156" spans="1:8" x14ac:dyDescent="0.2">
      <c r="A156" s="53">
        <v>45805</v>
      </c>
      <c r="B156">
        <v>21318.17</v>
      </c>
      <c r="C156">
        <v>21451.69</v>
      </c>
      <c r="D156">
        <v>21508.080000000002</v>
      </c>
      <c r="E156">
        <v>21296.51</v>
      </c>
      <c r="G156" s="54">
        <v>45805</v>
      </c>
      <c r="H156" s="56">
        <f t="shared" si="2"/>
        <v>-1.9679548008006975E-3</v>
      </c>
    </row>
    <row r="157" spans="1:8" x14ac:dyDescent="0.2">
      <c r="A157" s="53">
        <v>45804</v>
      </c>
      <c r="B157">
        <v>21414.99</v>
      </c>
      <c r="C157">
        <v>21201.45</v>
      </c>
      <c r="D157">
        <v>21429.32</v>
      </c>
      <c r="E157">
        <v>21145.13</v>
      </c>
      <c r="G157" s="54">
        <v>45804</v>
      </c>
      <c r="H157" s="56">
        <f t="shared" si="2"/>
        <v>1.02465101471374E-2</v>
      </c>
    </row>
    <row r="158" spans="1:8" x14ac:dyDescent="0.2">
      <c r="A158" s="53">
        <v>45800</v>
      </c>
      <c r="B158">
        <v>20915.650000000001</v>
      </c>
      <c r="C158">
        <v>20806.37</v>
      </c>
      <c r="D158">
        <v>21025.58</v>
      </c>
      <c r="E158">
        <v>20777.97</v>
      </c>
      <c r="G158" s="54">
        <v>45800</v>
      </c>
      <c r="H158" s="56">
        <f t="shared" si="2"/>
        <v>-4.0676796777034951E-3</v>
      </c>
    </row>
    <row r="159" spans="1:8" x14ac:dyDescent="0.2">
      <c r="A159" s="53">
        <v>45799</v>
      </c>
      <c r="B159">
        <v>21112.47</v>
      </c>
      <c r="C159">
        <v>21097.46</v>
      </c>
      <c r="D159">
        <v>21263.18</v>
      </c>
      <c r="E159">
        <v>21046.22</v>
      </c>
      <c r="G159" s="54">
        <v>45799</v>
      </c>
      <c r="H159" s="56">
        <f t="shared" si="2"/>
        <v>6.6102219292218933E-4</v>
      </c>
    </row>
    <row r="160" spans="1:8" x14ac:dyDescent="0.2">
      <c r="A160" s="53">
        <v>45798</v>
      </c>
      <c r="B160">
        <v>21080.36</v>
      </c>
      <c r="C160">
        <v>21217.31</v>
      </c>
      <c r="D160">
        <v>21482.98</v>
      </c>
      <c r="E160">
        <v>21002.09</v>
      </c>
      <c r="G160" s="54">
        <v>45798</v>
      </c>
      <c r="H160" s="56">
        <f t="shared" si="2"/>
        <v>-5.8730471018817454E-3</v>
      </c>
    </row>
    <row r="161" spans="1:8" x14ac:dyDescent="0.2">
      <c r="A161" s="53">
        <v>45797</v>
      </c>
      <c r="B161">
        <v>21367.37</v>
      </c>
      <c r="C161">
        <v>21347.63</v>
      </c>
      <c r="D161">
        <v>21399.99</v>
      </c>
      <c r="E161">
        <v>21226.66</v>
      </c>
      <c r="G161" s="54">
        <v>45797</v>
      </c>
      <c r="H161" s="56">
        <f t="shared" si="2"/>
        <v>-1.616493894787574E-3</v>
      </c>
    </row>
    <row r="162" spans="1:8" x14ac:dyDescent="0.2">
      <c r="A162" s="53">
        <v>45796</v>
      </c>
      <c r="B162">
        <v>21447.05</v>
      </c>
      <c r="C162">
        <v>21138.13</v>
      </c>
      <c r="D162">
        <v>21464.560000000001</v>
      </c>
      <c r="E162">
        <v>21138.13</v>
      </c>
      <c r="G162" s="54">
        <v>45796</v>
      </c>
      <c r="H162" s="56">
        <f t="shared" si="2"/>
        <v>3.8714262551486911E-4</v>
      </c>
    </row>
    <row r="163" spans="1:8" x14ac:dyDescent="0.2">
      <c r="A163" s="53">
        <v>45793</v>
      </c>
      <c r="B163">
        <v>21427.94</v>
      </c>
      <c r="C163">
        <v>21375.62</v>
      </c>
      <c r="D163">
        <v>21428.79</v>
      </c>
      <c r="E163">
        <v>21246.42</v>
      </c>
      <c r="G163" s="54">
        <v>45793</v>
      </c>
      <c r="H163" s="56">
        <f t="shared" si="2"/>
        <v>1.87108287748039E-3</v>
      </c>
    </row>
    <row r="164" spans="1:8" x14ac:dyDescent="0.2">
      <c r="A164" s="53">
        <v>45792</v>
      </c>
      <c r="B164">
        <v>21335.82</v>
      </c>
      <c r="C164">
        <v>21206.73</v>
      </c>
      <c r="D164">
        <v>21443.88</v>
      </c>
      <c r="E164">
        <v>21168.17</v>
      </c>
      <c r="G164" s="54">
        <v>45792</v>
      </c>
      <c r="H164" s="56">
        <f t="shared" si="2"/>
        <v>3.3823123364484786E-4</v>
      </c>
    </row>
    <row r="165" spans="1:8" x14ac:dyDescent="0.2">
      <c r="A165" s="53">
        <v>45791</v>
      </c>
      <c r="B165">
        <v>21319.21</v>
      </c>
      <c r="C165">
        <v>21254.47</v>
      </c>
      <c r="D165">
        <v>21336.48</v>
      </c>
      <c r="E165">
        <v>21199.85</v>
      </c>
      <c r="G165" s="54">
        <v>45791</v>
      </c>
      <c r="H165" s="56">
        <f t="shared" si="2"/>
        <v>2.4823660124857483E-3</v>
      </c>
    </row>
    <row r="166" spans="1:8" x14ac:dyDescent="0.2">
      <c r="A166" s="53">
        <v>45790</v>
      </c>
      <c r="B166">
        <v>21197.7</v>
      </c>
      <c r="C166">
        <v>20906.919999999998</v>
      </c>
      <c r="D166">
        <v>21259.39</v>
      </c>
      <c r="E166">
        <v>20891.18</v>
      </c>
      <c r="G166" s="54">
        <v>45790</v>
      </c>
      <c r="H166" s="56">
        <f t="shared" si="2"/>
        <v>6.8047917536953051E-3</v>
      </c>
    </row>
    <row r="167" spans="1:8" x14ac:dyDescent="0.2">
      <c r="A167" s="53">
        <v>45789</v>
      </c>
      <c r="B167">
        <v>20868.150000000001</v>
      </c>
      <c r="C167">
        <v>20818.78</v>
      </c>
      <c r="D167">
        <v>20870.12</v>
      </c>
      <c r="E167">
        <v>20613.27</v>
      </c>
      <c r="G167" s="54">
        <v>45789</v>
      </c>
      <c r="H167" s="56">
        <f t="shared" si="2"/>
        <v>1.7121630041526892E-2</v>
      </c>
    </row>
    <row r="168" spans="1:8" x14ac:dyDescent="0.2">
      <c r="A168" s="53">
        <v>45786</v>
      </c>
      <c r="B168">
        <v>20061.45</v>
      </c>
      <c r="C168">
        <v>20170.37</v>
      </c>
      <c r="D168">
        <v>20203.580000000002</v>
      </c>
      <c r="E168">
        <v>19984.53</v>
      </c>
      <c r="G168" s="54">
        <v>45786</v>
      </c>
      <c r="H168" s="56">
        <f t="shared" si="2"/>
        <v>-4.5891780365181489E-5</v>
      </c>
    </row>
    <row r="169" spans="1:8" x14ac:dyDescent="0.2">
      <c r="A169" s="53">
        <v>45785</v>
      </c>
      <c r="B169">
        <v>20063.57</v>
      </c>
      <c r="C169">
        <v>20067.43</v>
      </c>
      <c r="D169">
        <v>20249.759999999998</v>
      </c>
      <c r="E169">
        <v>19907.669999999998</v>
      </c>
      <c r="G169" s="54">
        <v>45785</v>
      </c>
      <c r="H169" s="56">
        <f t="shared" si="2"/>
        <v>4.2547159507870802E-3</v>
      </c>
    </row>
    <row r="170" spans="1:8" x14ac:dyDescent="0.2">
      <c r="A170" s="53">
        <v>45784</v>
      </c>
      <c r="B170">
        <v>19867.97</v>
      </c>
      <c r="C170">
        <v>19804.5</v>
      </c>
      <c r="D170">
        <v>19960.86</v>
      </c>
      <c r="E170">
        <v>19605.07</v>
      </c>
      <c r="G170" s="54">
        <v>45784</v>
      </c>
      <c r="H170" s="56">
        <f t="shared" si="2"/>
        <v>1.6782958434946593E-3</v>
      </c>
    </row>
    <row r="171" spans="1:8" x14ac:dyDescent="0.2">
      <c r="A171" s="53">
        <v>45783</v>
      </c>
      <c r="B171">
        <v>19791.34</v>
      </c>
      <c r="C171">
        <v>19709.64</v>
      </c>
      <c r="D171">
        <v>19927.23</v>
      </c>
      <c r="E171">
        <v>19659.32</v>
      </c>
      <c r="G171" s="54">
        <v>45783</v>
      </c>
      <c r="H171" s="56">
        <f t="shared" si="2"/>
        <v>-3.8580633195772762E-3</v>
      </c>
    </row>
    <row r="172" spans="1:8" x14ac:dyDescent="0.2">
      <c r="A172" s="53">
        <v>45782</v>
      </c>
      <c r="B172">
        <v>19967.939999999999</v>
      </c>
      <c r="C172">
        <v>19928.82</v>
      </c>
      <c r="D172">
        <v>20100.61</v>
      </c>
      <c r="E172">
        <v>19899.28</v>
      </c>
      <c r="G172" s="54">
        <v>45782</v>
      </c>
      <c r="H172" s="56">
        <f t="shared" si="2"/>
        <v>-2.9191841930451545E-3</v>
      </c>
    </row>
    <row r="173" spans="1:8" x14ac:dyDescent="0.2">
      <c r="A173" s="53">
        <v>45779</v>
      </c>
      <c r="B173">
        <v>20102.61</v>
      </c>
      <c r="C173">
        <v>19986.61</v>
      </c>
      <c r="D173">
        <v>20176.599999999999</v>
      </c>
      <c r="E173">
        <v>19936.669999999998</v>
      </c>
      <c r="G173" s="54">
        <v>45779</v>
      </c>
      <c r="H173" s="56">
        <f t="shared" si="2"/>
        <v>6.8788585551260439E-3</v>
      </c>
    </row>
    <row r="174" spans="1:8" x14ac:dyDescent="0.2">
      <c r="A174" s="53">
        <v>45778</v>
      </c>
      <c r="B174">
        <v>19786.71</v>
      </c>
      <c r="C174">
        <v>19866.830000000002</v>
      </c>
      <c r="D174">
        <v>20024.48</v>
      </c>
      <c r="E174">
        <v>19763.14</v>
      </c>
      <c r="G174" s="54">
        <v>45778</v>
      </c>
      <c r="H174" s="56">
        <f t="shared" si="2"/>
        <v>4.7601279129372287E-3</v>
      </c>
    </row>
    <row r="175" spans="1:8" x14ac:dyDescent="0.2">
      <c r="A175" s="53">
        <v>45777</v>
      </c>
      <c r="B175">
        <v>19571.02</v>
      </c>
      <c r="C175">
        <v>19168.09</v>
      </c>
      <c r="D175">
        <v>19612.759999999998</v>
      </c>
      <c r="E175">
        <v>19011.98</v>
      </c>
      <c r="G175" s="54">
        <v>45777</v>
      </c>
      <c r="H175" s="56">
        <f t="shared" si="2"/>
        <v>5.7889699882807122E-4</v>
      </c>
    </row>
    <row r="176" spans="1:8" x14ac:dyDescent="0.2">
      <c r="A176" s="53">
        <v>45776</v>
      </c>
      <c r="B176">
        <v>19544.95</v>
      </c>
      <c r="C176">
        <v>19315.95</v>
      </c>
      <c r="D176">
        <v>19582.77</v>
      </c>
      <c r="E176">
        <v>19304.830000000002</v>
      </c>
      <c r="G176" s="54">
        <v>45776</v>
      </c>
      <c r="H176" s="56">
        <f t="shared" si="2"/>
        <v>2.6223406195882148E-3</v>
      </c>
    </row>
    <row r="177" spans="1:8" x14ac:dyDescent="0.2">
      <c r="A177" s="53">
        <v>45775</v>
      </c>
      <c r="B177">
        <v>19427.29</v>
      </c>
      <c r="C177">
        <v>19432.72</v>
      </c>
      <c r="D177">
        <v>19519.330000000002</v>
      </c>
      <c r="E177">
        <v>19162.46</v>
      </c>
      <c r="G177" s="54">
        <v>45775</v>
      </c>
      <c r="H177" s="56">
        <f t="shared" si="2"/>
        <v>-1.1779417232204992E-4</v>
      </c>
    </row>
    <row r="178" spans="1:8" x14ac:dyDescent="0.2">
      <c r="A178" s="53">
        <v>45772</v>
      </c>
      <c r="B178">
        <v>19432.560000000001</v>
      </c>
      <c r="C178">
        <v>19209.72</v>
      </c>
      <c r="D178">
        <v>19447.560000000001</v>
      </c>
      <c r="E178">
        <v>19133.23</v>
      </c>
      <c r="G178" s="54">
        <v>45772</v>
      </c>
      <c r="H178" s="56">
        <f t="shared" si="2"/>
        <v>4.9031898271643115E-3</v>
      </c>
    </row>
    <row r="179" spans="1:8" x14ac:dyDescent="0.2">
      <c r="A179" s="53">
        <v>45771</v>
      </c>
      <c r="B179">
        <v>19214.400000000001</v>
      </c>
      <c r="C179">
        <v>18756.53</v>
      </c>
      <c r="D179">
        <v>19224.8</v>
      </c>
      <c r="E179">
        <v>18744.47</v>
      </c>
      <c r="G179" s="54">
        <v>45771</v>
      </c>
      <c r="H179" s="56">
        <f t="shared" si="2"/>
        <v>1.1941780968098392E-2</v>
      </c>
    </row>
    <row r="180" spans="1:8" x14ac:dyDescent="0.2">
      <c r="A180" s="53">
        <v>45770</v>
      </c>
      <c r="B180">
        <v>18693.259999999998</v>
      </c>
      <c r="C180">
        <v>18870.62</v>
      </c>
      <c r="D180">
        <v>19043.009999999998</v>
      </c>
      <c r="E180">
        <v>18618.89</v>
      </c>
      <c r="G180" s="54">
        <v>45770</v>
      </c>
      <c r="H180" s="56">
        <f t="shared" si="2"/>
        <v>9.7941543657222851E-3</v>
      </c>
    </row>
    <row r="181" spans="1:8" x14ac:dyDescent="0.2">
      <c r="A181" s="53">
        <v>45769</v>
      </c>
      <c r="B181">
        <v>18276.41</v>
      </c>
      <c r="C181">
        <v>18033.900000000001</v>
      </c>
      <c r="D181">
        <v>18396.39</v>
      </c>
      <c r="E181">
        <v>17993.240000000002</v>
      </c>
      <c r="G181" s="54">
        <v>45769</v>
      </c>
      <c r="H181" s="56">
        <f t="shared" si="2"/>
        <v>1.1268428936161534E-2</v>
      </c>
    </row>
    <row r="182" spans="1:8" x14ac:dyDescent="0.2">
      <c r="A182" s="53">
        <v>45768</v>
      </c>
      <c r="B182">
        <v>17808.3</v>
      </c>
      <c r="C182">
        <v>18023.009999999998</v>
      </c>
      <c r="D182">
        <v>18043.080000000002</v>
      </c>
      <c r="E182">
        <v>17592.919999999998</v>
      </c>
      <c r="G182" s="54">
        <v>45768</v>
      </c>
      <c r="H182" s="56">
        <f t="shared" si="2"/>
        <v>-1.0832880313608406E-2</v>
      </c>
    </row>
    <row r="183" spans="1:8" x14ac:dyDescent="0.2">
      <c r="A183" s="53">
        <v>45764</v>
      </c>
      <c r="B183">
        <v>18258.09</v>
      </c>
      <c r="C183">
        <v>18369.900000000001</v>
      </c>
      <c r="D183">
        <v>18401.05</v>
      </c>
      <c r="E183">
        <v>18144.46</v>
      </c>
      <c r="G183" s="54">
        <v>45764</v>
      </c>
      <c r="H183" s="56">
        <f t="shared" si="2"/>
        <v>1.0704018069240817E-5</v>
      </c>
    </row>
    <row r="184" spans="1:8" x14ac:dyDescent="0.2">
      <c r="A184" s="53">
        <v>45763</v>
      </c>
      <c r="B184">
        <v>18257.64</v>
      </c>
      <c r="C184">
        <v>18475.759999999998</v>
      </c>
      <c r="D184">
        <v>18597.32</v>
      </c>
      <c r="E184">
        <v>17995.96</v>
      </c>
      <c r="G184" s="54">
        <v>45763</v>
      </c>
      <c r="H184" s="56">
        <f t="shared" si="2"/>
        <v>-1.341098519022399E-2</v>
      </c>
    </row>
    <row r="185" spans="1:8" x14ac:dyDescent="0.2">
      <c r="A185" s="53">
        <v>45762</v>
      </c>
      <c r="B185">
        <v>18830.23</v>
      </c>
      <c r="C185">
        <v>18831.98</v>
      </c>
      <c r="D185">
        <v>19004.169999999998</v>
      </c>
      <c r="E185">
        <v>18754.87</v>
      </c>
      <c r="G185" s="54">
        <v>45762</v>
      </c>
      <c r="H185" s="56">
        <f t="shared" si="2"/>
        <v>7.8972623207729242E-4</v>
      </c>
    </row>
    <row r="186" spans="1:8" x14ac:dyDescent="0.2">
      <c r="A186" s="53">
        <v>45761</v>
      </c>
      <c r="B186">
        <v>18796.02</v>
      </c>
      <c r="C186">
        <v>19095.490000000002</v>
      </c>
      <c r="D186">
        <v>19115.150000000001</v>
      </c>
      <c r="E186">
        <v>18614.75</v>
      </c>
      <c r="G186" s="54">
        <v>45761</v>
      </c>
      <c r="H186" s="56">
        <f t="shared" si="2"/>
        <v>2.4554352506234167E-3</v>
      </c>
    </row>
    <row r="187" spans="1:8" x14ac:dyDescent="0.2">
      <c r="A187" s="53">
        <v>45758</v>
      </c>
      <c r="B187">
        <v>18690.05</v>
      </c>
      <c r="C187">
        <v>18309.29</v>
      </c>
      <c r="D187">
        <v>18728.95</v>
      </c>
      <c r="E187">
        <v>18153.32</v>
      </c>
      <c r="G187" s="54">
        <v>45758</v>
      </c>
      <c r="H187" s="56">
        <f t="shared" si="2"/>
        <v>8.1266018678176621E-3</v>
      </c>
    </row>
    <row r="188" spans="1:8" x14ac:dyDescent="0.2">
      <c r="A188" s="53">
        <v>45757</v>
      </c>
      <c r="B188">
        <v>18343.57</v>
      </c>
      <c r="C188">
        <v>18626.11</v>
      </c>
      <c r="D188">
        <v>18710.580000000002</v>
      </c>
      <c r="E188">
        <v>17794.5</v>
      </c>
      <c r="G188" s="54">
        <v>45757</v>
      </c>
      <c r="H188" s="56">
        <f t="shared" si="2"/>
        <v>-1.8572870404770292E-2</v>
      </c>
    </row>
    <row r="189" spans="1:8" x14ac:dyDescent="0.2">
      <c r="A189" s="53">
        <v>45756</v>
      </c>
      <c r="B189">
        <v>19145.060000000001</v>
      </c>
      <c r="C189">
        <v>17116.53</v>
      </c>
      <c r="D189">
        <v>19234.02</v>
      </c>
      <c r="E189">
        <v>17082.349999999999</v>
      </c>
      <c r="G189" s="54">
        <v>45756</v>
      </c>
      <c r="H189" s="56">
        <f t="shared" si="2"/>
        <v>4.9304504269320759E-2</v>
      </c>
    </row>
    <row r="190" spans="1:8" x14ac:dyDescent="0.2">
      <c r="A190" s="53">
        <v>45755</v>
      </c>
      <c r="B190">
        <v>17090.400000000001</v>
      </c>
      <c r="C190">
        <v>18034.46</v>
      </c>
      <c r="D190">
        <v>18207.009999999998</v>
      </c>
      <c r="E190">
        <v>16850.18</v>
      </c>
      <c r="G190" s="54">
        <v>45755</v>
      </c>
      <c r="H190" s="56">
        <f t="shared" si="2"/>
        <v>-8.5621025136797257E-3</v>
      </c>
    </row>
    <row r="191" spans="1:8" x14ac:dyDescent="0.2">
      <c r="A191" s="53">
        <v>45754</v>
      </c>
      <c r="B191">
        <v>17430.68</v>
      </c>
      <c r="C191">
        <v>16771.77</v>
      </c>
      <c r="D191">
        <v>18191.5</v>
      </c>
      <c r="E191">
        <v>16542.2</v>
      </c>
      <c r="G191" s="54">
        <v>45754</v>
      </c>
      <c r="H191" s="56">
        <f t="shared" si="2"/>
        <v>8.2274187640241081E-4</v>
      </c>
    </row>
    <row r="192" spans="1:8" x14ac:dyDescent="0.2">
      <c r="A192" s="53">
        <v>45751</v>
      </c>
      <c r="B192">
        <v>17397.689999999999</v>
      </c>
      <c r="C192">
        <v>18022.16</v>
      </c>
      <c r="D192">
        <v>18089.25</v>
      </c>
      <c r="E192">
        <v>17387.830000000002</v>
      </c>
      <c r="G192" s="54">
        <v>45751</v>
      </c>
      <c r="H192" s="56">
        <f t="shared" si="2"/>
        <v>-2.7184098879075691E-2</v>
      </c>
    </row>
    <row r="193" spans="1:8" x14ac:dyDescent="0.2">
      <c r="A193" s="53">
        <v>45750</v>
      </c>
      <c r="B193">
        <v>18521.48</v>
      </c>
      <c r="C193">
        <v>18774.150000000001</v>
      </c>
      <c r="D193">
        <v>18902.07</v>
      </c>
      <c r="E193">
        <v>18502.97</v>
      </c>
      <c r="G193" s="54">
        <v>45750</v>
      </c>
      <c r="H193" s="56">
        <f t="shared" si="2"/>
        <v>-2.4176479991401045E-2</v>
      </c>
    </row>
    <row r="194" spans="1:8" x14ac:dyDescent="0.2">
      <c r="A194" s="53">
        <v>45749</v>
      </c>
      <c r="B194">
        <v>19581.78</v>
      </c>
      <c r="C194">
        <v>19182.39</v>
      </c>
      <c r="D194">
        <v>19707.34</v>
      </c>
      <c r="E194">
        <v>19157.2</v>
      </c>
      <c r="G194" s="54">
        <v>45749</v>
      </c>
      <c r="H194" s="56">
        <f t="shared" si="2"/>
        <v>3.2358918630794875E-3</v>
      </c>
    </row>
    <row r="195" spans="1:8" x14ac:dyDescent="0.2">
      <c r="A195" s="53">
        <v>45748</v>
      </c>
      <c r="B195">
        <v>19436.419999999998</v>
      </c>
      <c r="C195">
        <v>19192.77</v>
      </c>
      <c r="D195">
        <v>19468.62</v>
      </c>
      <c r="E195">
        <v>19095.169999999998</v>
      </c>
      <c r="G195" s="54">
        <v>45748</v>
      </c>
      <c r="H195" s="56">
        <f t="shared" si="2"/>
        <v>3.5441617162872419E-3</v>
      </c>
    </row>
    <row r="196" spans="1:8" x14ac:dyDescent="0.2">
      <c r="A196" s="53">
        <v>45747</v>
      </c>
      <c r="B196">
        <v>19278.45</v>
      </c>
      <c r="C196">
        <v>18998.54</v>
      </c>
      <c r="D196">
        <v>19316.07</v>
      </c>
      <c r="E196">
        <v>18799.2</v>
      </c>
      <c r="G196" s="54">
        <v>45747</v>
      </c>
      <c r="H196" s="56">
        <f t="shared" ref="H196:H253" si="3">LOG($B196)-LOG($B197)</f>
        <v>-6.6450918462024333E-5</v>
      </c>
    </row>
    <row r="197" spans="1:8" x14ac:dyDescent="0.2">
      <c r="A197" s="53">
        <v>45744</v>
      </c>
      <c r="B197">
        <v>19281.400000000001</v>
      </c>
      <c r="C197">
        <v>19718.46</v>
      </c>
      <c r="D197">
        <v>19752.45</v>
      </c>
      <c r="E197">
        <v>19241.54</v>
      </c>
      <c r="G197" s="54">
        <v>45744</v>
      </c>
      <c r="H197" s="56">
        <f t="shared" si="3"/>
        <v>-1.1496355869053509E-2</v>
      </c>
    </row>
    <row r="198" spans="1:8" x14ac:dyDescent="0.2">
      <c r="A198" s="53">
        <v>45743</v>
      </c>
      <c r="B198">
        <v>19798.62</v>
      </c>
      <c r="C198">
        <v>19814.61</v>
      </c>
      <c r="D198">
        <v>20003.36</v>
      </c>
      <c r="E198">
        <v>19740.22</v>
      </c>
      <c r="G198" s="54">
        <v>45743</v>
      </c>
      <c r="H198" s="56">
        <f t="shared" si="3"/>
        <v>-2.5887851170631748E-3</v>
      </c>
    </row>
    <row r="199" spans="1:8" x14ac:dyDescent="0.2">
      <c r="A199" s="53">
        <v>45742</v>
      </c>
      <c r="B199">
        <v>19916.990000000002</v>
      </c>
      <c r="C199">
        <v>20239.05</v>
      </c>
      <c r="D199">
        <v>20270.189999999999</v>
      </c>
      <c r="E199">
        <v>19848.490000000002</v>
      </c>
      <c r="G199" s="54">
        <v>45742</v>
      </c>
      <c r="H199" s="56">
        <f t="shared" si="3"/>
        <v>-8.0118917719653737E-3</v>
      </c>
    </row>
    <row r="200" spans="1:8" x14ac:dyDescent="0.2">
      <c r="A200" s="53">
        <v>45741</v>
      </c>
      <c r="B200">
        <v>20287.830000000002</v>
      </c>
      <c r="C200">
        <v>20196.5</v>
      </c>
      <c r="D200">
        <v>20292.189999999999</v>
      </c>
      <c r="E200">
        <v>20164.07</v>
      </c>
      <c r="G200" s="54">
        <v>45741</v>
      </c>
      <c r="H200" s="56">
        <f t="shared" si="3"/>
        <v>2.3049660333720468E-3</v>
      </c>
    </row>
    <row r="201" spans="1:8" x14ac:dyDescent="0.2">
      <c r="A201" s="53">
        <v>45740</v>
      </c>
      <c r="B201">
        <v>20180.439999999999</v>
      </c>
      <c r="C201">
        <v>20041.21</v>
      </c>
      <c r="D201">
        <v>20208.84</v>
      </c>
      <c r="E201">
        <v>20024.97</v>
      </c>
      <c r="G201" s="54">
        <v>45740</v>
      </c>
      <c r="H201" s="56">
        <f t="shared" si="3"/>
        <v>9.2762411751188267E-3</v>
      </c>
    </row>
    <row r="202" spans="1:8" x14ac:dyDescent="0.2">
      <c r="A202" s="53">
        <v>45737</v>
      </c>
      <c r="B202">
        <v>19753.97</v>
      </c>
      <c r="C202">
        <v>19466.439999999999</v>
      </c>
      <c r="D202">
        <v>19767.98</v>
      </c>
      <c r="E202">
        <v>19409.18</v>
      </c>
      <c r="G202" s="54">
        <v>45737</v>
      </c>
      <c r="H202" s="56">
        <f t="shared" si="3"/>
        <v>1.6820410489666315E-3</v>
      </c>
    </row>
    <row r="203" spans="1:8" x14ac:dyDescent="0.2">
      <c r="A203" s="53">
        <v>45736</v>
      </c>
      <c r="B203">
        <v>19677.61</v>
      </c>
      <c r="C203">
        <v>19558.28</v>
      </c>
      <c r="D203">
        <v>19888.849999999999</v>
      </c>
      <c r="E203">
        <v>19549.310000000001</v>
      </c>
      <c r="G203" s="54">
        <v>45736</v>
      </c>
      <c r="H203" s="56">
        <f t="shared" si="3"/>
        <v>-1.3013108371051629E-3</v>
      </c>
    </row>
    <row r="204" spans="1:8" x14ac:dyDescent="0.2">
      <c r="A204" s="53">
        <v>45735</v>
      </c>
      <c r="B204">
        <v>19736.66</v>
      </c>
      <c r="C204">
        <v>19576.32</v>
      </c>
      <c r="D204">
        <v>19921.62</v>
      </c>
      <c r="E204">
        <v>19497.79</v>
      </c>
      <c r="G204" s="54">
        <v>45735</v>
      </c>
      <c r="H204" s="56">
        <f t="shared" si="3"/>
        <v>5.6098044731633934E-3</v>
      </c>
    </row>
    <row r="205" spans="1:8" x14ac:dyDescent="0.2">
      <c r="A205" s="53">
        <v>45734</v>
      </c>
      <c r="B205">
        <v>19483.36</v>
      </c>
      <c r="C205">
        <v>19657.099999999999</v>
      </c>
      <c r="D205">
        <v>19676.05</v>
      </c>
      <c r="E205">
        <v>19397.07</v>
      </c>
      <c r="G205" s="54">
        <v>45734</v>
      </c>
      <c r="H205" s="56">
        <f t="shared" si="3"/>
        <v>-7.2697250727937757E-3</v>
      </c>
    </row>
    <row r="206" spans="1:8" x14ac:dyDescent="0.2">
      <c r="A206" s="53">
        <v>45733</v>
      </c>
      <c r="B206">
        <v>19812.240000000002</v>
      </c>
      <c r="C206">
        <v>19670.689999999999</v>
      </c>
      <c r="D206">
        <v>19943.810000000001</v>
      </c>
      <c r="E206">
        <v>19622.47</v>
      </c>
      <c r="G206" s="54">
        <v>45733</v>
      </c>
      <c r="H206" s="56">
        <f t="shared" si="3"/>
        <v>2.3650754685435871E-3</v>
      </c>
    </row>
    <row r="207" spans="1:8" x14ac:dyDescent="0.2">
      <c r="A207" s="53">
        <v>45730</v>
      </c>
      <c r="B207">
        <v>19704.64</v>
      </c>
      <c r="C207">
        <v>19458.89</v>
      </c>
      <c r="D207">
        <v>19729.21</v>
      </c>
      <c r="E207">
        <v>19436.04</v>
      </c>
      <c r="G207" s="54">
        <v>45730</v>
      </c>
      <c r="H207" s="56">
        <f t="shared" si="3"/>
        <v>1.0691313215723142E-2</v>
      </c>
    </row>
    <row r="208" spans="1:8" x14ac:dyDescent="0.2">
      <c r="A208" s="53">
        <v>45729</v>
      </c>
      <c r="B208">
        <v>19225.48</v>
      </c>
      <c r="C208">
        <v>19534.37</v>
      </c>
      <c r="D208">
        <v>19558.560000000001</v>
      </c>
      <c r="E208">
        <v>19152.57</v>
      </c>
      <c r="G208" s="54">
        <v>45729</v>
      </c>
      <c r="H208" s="56">
        <f t="shared" si="3"/>
        <v>-8.2906824508128807E-3</v>
      </c>
    </row>
    <row r="209" spans="1:8" x14ac:dyDescent="0.2">
      <c r="A209" s="53">
        <v>45728</v>
      </c>
      <c r="B209">
        <v>19596.02</v>
      </c>
      <c r="C209">
        <v>19663.39</v>
      </c>
      <c r="D209">
        <v>19756.09</v>
      </c>
      <c r="E209">
        <v>19375.25</v>
      </c>
      <c r="G209" s="54">
        <v>45728</v>
      </c>
      <c r="H209" s="56">
        <f t="shared" si="3"/>
        <v>4.8822312856930949E-3</v>
      </c>
    </row>
    <row r="210" spans="1:8" x14ac:dyDescent="0.2">
      <c r="A210" s="53">
        <v>45727</v>
      </c>
      <c r="B210">
        <v>19376.96</v>
      </c>
      <c r="C210">
        <v>19405.52</v>
      </c>
      <c r="D210">
        <v>19659.43</v>
      </c>
      <c r="E210">
        <v>19180.560000000001</v>
      </c>
      <c r="G210" s="54">
        <v>45727</v>
      </c>
      <c r="H210" s="56">
        <f t="shared" si="3"/>
        <v>-1.2083914957194963E-3</v>
      </c>
    </row>
    <row r="211" spans="1:8" x14ac:dyDescent="0.2">
      <c r="A211" s="53">
        <v>45726</v>
      </c>
      <c r="B211">
        <v>19430.95</v>
      </c>
      <c r="C211">
        <v>19826.96</v>
      </c>
      <c r="D211">
        <v>19867.080000000002</v>
      </c>
      <c r="E211">
        <v>19243.310000000001</v>
      </c>
      <c r="G211" s="54">
        <v>45726</v>
      </c>
      <c r="H211" s="56">
        <f t="shared" si="3"/>
        <v>-1.6886788831402377E-2</v>
      </c>
    </row>
    <row r="212" spans="1:8" x14ac:dyDescent="0.2">
      <c r="A212" s="53">
        <v>45723</v>
      </c>
      <c r="B212">
        <v>20201.37</v>
      </c>
      <c r="C212">
        <v>20015.62</v>
      </c>
      <c r="D212">
        <v>20253.22</v>
      </c>
      <c r="E212">
        <v>19736.810000000001</v>
      </c>
      <c r="G212" s="54">
        <v>45723</v>
      </c>
      <c r="H212" s="56">
        <f t="shared" si="3"/>
        <v>3.2094825472164246E-3</v>
      </c>
    </row>
    <row r="213" spans="1:8" x14ac:dyDescent="0.2">
      <c r="A213" s="53">
        <v>45722</v>
      </c>
      <c r="B213">
        <v>20052.63</v>
      </c>
      <c r="C213">
        <v>20231.740000000002</v>
      </c>
      <c r="D213">
        <v>20473.400000000001</v>
      </c>
      <c r="E213">
        <v>19968.560000000001</v>
      </c>
      <c r="G213" s="54">
        <v>45722</v>
      </c>
      <c r="H213" s="56">
        <f t="shared" si="3"/>
        <v>-1.2295466774633113E-2</v>
      </c>
    </row>
    <row r="214" spans="1:8" x14ac:dyDescent="0.2">
      <c r="A214" s="53">
        <v>45721</v>
      </c>
      <c r="B214">
        <v>20628.46</v>
      </c>
      <c r="C214">
        <v>20363.22</v>
      </c>
      <c r="D214">
        <v>20688.72</v>
      </c>
      <c r="E214">
        <v>20182.57</v>
      </c>
      <c r="G214" s="54">
        <v>45721</v>
      </c>
      <c r="H214" s="56">
        <f t="shared" si="3"/>
        <v>5.8484037278132561E-3</v>
      </c>
    </row>
    <row r="215" spans="1:8" x14ac:dyDescent="0.2">
      <c r="A215" s="53">
        <v>45720</v>
      </c>
      <c r="B215">
        <v>20352.53</v>
      </c>
      <c r="C215">
        <v>20281.89</v>
      </c>
      <c r="D215">
        <v>20688.46</v>
      </c>
      <c r="E215">
        <v>20034.68</v>
      </c>
      <c r="G215" s="54">
        <v>45720</v>
      </c>
      <c r="H215" s="56">
        <f t="shared" si="3"/>
        <v>-1.5559939310474391E-3</v>
      </c>
    </row>
    <row r="216" spans="1:8" x14ac:dyDescent="0.2">
      <c r="A216" s="53">
        <v>45719</v>
      </c>
      <c r="B216">
        <v>20425.580000000002</v>
      </c>
      <c r="C216">
        <v>20989.58</v>
      </c>
      <c r="D216">
        <v>21073.8</v>
      </c>
      <c r="E216">
        <v>20279.5</v>
      </c>
      <c r="G216" s="54">
        <v>45719</v>
      </c>
      <c r="H216" s="56">
        <f t="shared" si="3"/>
        <v>-9.6478131304795767E-3</v>
      </c>
    </row>
    <row r="217" spans="1:8" x14ac:dyDescent="0.2">
      <c r="A217" s="53">
        <v>45716</v>
      </c>
      <c r="B217">
        <v>20884.41</v>
      </c>
      <c r="C217">
        <v>20518.650000000001</v>
      </c>
      <c r="D217">
        <v>20900.77</v>
      </c>
      <c r="E217">
        <v>20407.45</v>
      </c>
      <c r="G217" s="54">
        <v>45716</v>
      </c>
      <c r="H217" s="56">
        <f t="shared" si="3"/>
        <v>6.9903080128224104E-3</v>
      </c>
    </row>
    <row r="218" spans="1:8" x14ac:dyDescent="0.2">
      <c r="A218" s="53">
        <v>45715</v>
      </c>
      <c r="B218">
        <v>20550.95</v>
      </c>
      <c r="C218">
        <v>21281.360000000001</v>
      </c>
      <c r="D218">
        <v>21323.91</v>
      </c>
      <c r="E218">
        <v>20540.68</v>
      </c>
      <c r="G218" s="54">
        <v>45715</v>
      </c>
      <c r="H218" s="56">
        <f t="shared" si="3"/>
        <v>-1.2127606369447541E-2</v>
      </c>
    </row>
    <row r="219" spans="1:8" x14ac:dyDescent="0.2">
      <c r="A219" s="53">
        <v>45714</v>
      </c>
      <c r="B219">
        <v>21132.92</v>
      </c>
      <c r="C219">
        <v>21170.51</v>
      </c>
      <c r="D219">
        <v>21350.52</v>
      </c>
      <c r="E219">
        <v>21012.62</v>
      </c>
      <c r="G219" s="54">
        <v>45714</v>
      </c>
      <c r="H219" s="56">
        <f t="shared" si="3"/>
        <v>9.3956214408930094E-4</v>
      </c>
    </row>
    <row r="220" spans="1:8" x14ac:dyDescent="0.2">
      <c r="A220" s="53">
        <v>45713</v>
      </c>
      <c r="B220">
        <v>21087.25</v>
      </c>
      <c r="C220">
        <v>21318.77</v>
      </c>
      <c r="D220">
        <v>21326.81</v>
      </c>
      <c r="E220">
        <v>20930.580000000002</v>
      </c>
      <c r="G220" s="54">
        <v>45713</v>
      </c>
      <c r="H220" s="56">
        <f t="shared" si="3"/>
        <v>-5.420241109671764E-3</v>
      </c>
    </row>
    <row r="221" spans="1:8" x14ac:dyDescent="0.2">
      <c r="A221" s="53">
        <v>45712</v>
      </c>
      <c r="B221">
        <v>21352.080000000002</v>
      </c>
      <c r="C221">
        <v>21669.360000000001</v>
      </c>
      <c r="D221">
        <v>21727.58</v>
      </c>
      <c r="E221">
        <v>21341.96</v>
      </c>
      <c r="G221" s="54">
        <v>45712</v>
      </c>
      <c r="H221" s="56">
        <f t="shared" si="3"/>
        <v>-5.2965666281430401E-3</v>
      </c>
    </row>
    <row r="222" spans="1:8" x14ac:dyDescent="0.2">
      <c r="A222" s="53">
        <v>45709</v>
      </c>
      <c r="B222">
        <v>21614.080000000002</v>
      </c>
      <c r="C222">
        <v>22110.54</v>
      </c>
      <c r="D222">
        <v>22115.21</v>
      </c>
      <c r="E222">
        <v>21597.16</v>
      </c>
      <c r="G222" s="54">
        <v>45709</v>
      </c>
      <c r="H222" s="56">
        <f t="shared" si="3"/>
        <v>-9.0274014888089837E-3</v>
      </c>
    </row>
    <row r="223" spans="1:8" x14ac:dyDescent="0.2">
      <c r="A223" s="53">
        <v>45708</v>
      </c>
      <c r="B223">
        <v>22068.06</v>
      </c>
      <c r="C223">
        <v>22132.71</v>
      </c>
      <c r="D223">
        <v>22148.44</v>
      </c>
      <c r="E223">
        <v>21878.75</v>
      </c>
      <c r="G223" s="54">
        <v>45708</v>
      </c>
      <c r="H223" s="56">
        <f t="shared" si="3"/>
        <v>-2.111223192632572E-3</v>
      </c>
    </row>
    <row r="224" spans="1:8" x14ac:dyDescent="0.2">
      <c r="A224" s="53">
        <v>45707</v>
      </c>
      <c r="B224">
        <v>22175.599999999999</v>
      </c>
      <c r="C224">
        <v>22121.73</v>
      </c>
      <c r="D224">
        <v>22222.61</v>
      </c>
      <c r="E224">
        <v>22045.75</v>
      </c>
      <c r="G224" s="54">
        <v>45707</v>
      </c>
      <c r="H224" s="56">
        <f t="shared" si="3"/>
        <v>2.1528524352287803E-4</v>
      </c>
    </row>
    <row r="225" spans="1:8" x14ac:dyDescent="0.2">
      <c r="A225" s="53">
        <v>45706</v>
      </c>
      <c r="B225">
        <v>22164.61</v>
      </c>
      <c r="C225">
        <v>22176.01</v>
      </c>
      <c r="D225">
        <v>22191.37</v>
      </c>
      <c r="E225">
        <v>22029.58</v>
      </c>
      <c r="G225" s="54">
        <v>45706</v>
      </c>
      <c r="H225" s="56">
        <f t="shared" si="3"/>
        <v>9.7923814160338907E-4</v>
      </c>
    </row>
    <row r="226" spans="1:8" x14ac:dyDescent="0.2">
      <c r="A226" s="53">
        <v>45702</v>
      </c>
      <c r="B226">
        <v>22114.69</v>
      </c>
      <c r="C226">
        <v>22038.61</v>
      </c>
      <c r="D226">
        <v>22139.43</v>
      </c>
      <c r="E226">
        <v>22010.35</v>
      </c>
      <c r="G226" s="54">
        <v>45702</v>
      </c>
      <c r="H226" s="56">
        <f t="shared" si="3"/>
        <v>1.65236217531195E-3</v>
      </c>
    </row>
    <row r="227" spans="1:8" x14ac:dyDescent="0.2">
      <c r="A227" s="53">
        <v>45701</v>
      </c>
      <c r="B227">
        <v>22030.71</v>
      </c>
      <c r="C227">
        <v>21786.16</v>
      </c>
      <c r="D227">
        <v>22038.15</v>
      </c>
      <c r="E227">
        <v>21758.04</v>
      </c>
      <c r="G227" s="54">
        <v>45701</v>
      </c>
      <c r="H227" s="56">
        <f t="shared" si="3"/>
        <v>6.1834694463271944E-3</v>
      </c>
    </row>
    <row r="228" spans="1:8" x14ac:dyDescent="0.2">
      <c r="A228" s="53">
        <v>45700</v>
      </c>
      <c r="B228">
        <v>21719.26</v>
      </c>
      <c r="C228">
        <v>21475.41</v>
      </c>
      <c r="D228">
        <v>21745.66</v>
      </c>
      <c r="E228">
        <v>21454.19</v>
      </c>
      <c r="G228" s="54">
        <v>45700</v>
      </c>
      <c r="H228" s="56">
        <f t="shared" si="3"/>
        <v>5.1499771607055322E-4</v>
      </c>
    </row>
    <row r="229" spans="1:8" x14ac:dyDescent="0.2">
      <c r="A229" s="53">
        <v>45699</v>
      </c>
      <c r="B229">
        <v>21693.52</v>
      </c>
      <c r="C229">
        <v>21629.11</v>
      </c>
      <c r="D229">
        <v>21776.25</v>
      </c>
      <c r="E229">
        <v>21625.51</v>
      </c>
      <c r="G229" s="54">
        <v>45699</v>
      </c>
      <c r="H229" s="56">
        <f t="shared" si="3"/>
        <v>-1.2635956555806516E-3</v>
      </c>
    </row>
    <row r="230" spans="1:8" x14ac:dyDescent="0.2">
      <c r="A230" s="53">
        <v>45698</v>
      </c>
      <c r="B230">
        <v>21756.73</v>
      </c>
      <c r="C230">
        <v>21670.06</v>
      </c>
      <c r="D230">
        <v>21793.13</v>
      </c>
      <c r="E230">
        <v>21645.17</v>
      </c>
      <c r="G230" s="54">
        <v>45698</v>
      </c>
      <c r="H230" s="56">
        <f t="shared" si="3"/>
        <v>5.3307335374297438E-3</v>
      </c>
    </row>
    <row r="231" spans="1:8" x14ac:dyDescent="0.2">
      <c r="A231" s="53">
        <v>45695</v>
      </c>
      <c r="B231">
        <v>21491.31</v>
      </c>
      <c r="C231">
        <v>21776.28</v>
      </c>
      <c r="D231">
        <v>21869.32</v>
      </c>
      <c r="E231">
        <v>21465.46</v>
      </c>
      <c r="G231" s="54">
        <v>45695</v>
      </c>
      <c r="H231" s="56">
        <f t="shared" si="3"/>
        <v>-5.6767261088737087E-3</v>
      </c>
    </row>
    <row r="232" spans="1:8" x14ac:dyDescent="0.2">
      <c r="A232" s="53">
        <v>45694</v>
      </c>
      <c r="B232">
        <v>21774.07</v>
      </c>
      <c r="C232">
        <v>21674.17</v>
      </c>
      <c r="D232">
        <v>21776.080000000002</v>
      </c>
      <c r="E232">
        <v>21618.25</v>
      </c>
      <c r="G232" s="54">
        <v>45694</v>
      </c>
      <c r="H232" s="56">
        <f t="shared" si="3"/>
        <v>2.3180570238814369E-3</v>
      </c>
    </row>
    <row r="233" spans="1:8" x14ac:dyDescent="0.2">
      <c r="A233" s="53">
        <v>45693</v>
      </c>
      <c r="B233">
        <v>21658.16</v>
      </c>
      <c r="C233">
        <v>21453.87</v>
      </c>
      <c r="D233">
        <v>21662.98</v>
      </c>
      <c r="E233">
        <v>21408.639999999999</v>
      </c>
      <c r="G233" s="54">
        <v>45693</v>
      </c>
      <c r="H233" s="56">
        <f t="shared" si="3"/>
        <v>1.833430377878642E-3</v>
      </c>
    </row>
    <row r="234" spans="1:8" x14ac:dyDescent="0.2">
      <c r="A234" s="53">
        <v>45692</v>
      </c>
      <c r="B234">
        <v>21566.92</v>
      </c>
      <c r="C234">
        <v>21319.58</v>
      </c>
      <c r="D234">
        <v>21582.400000000001</v>
      </c>
      <c r="E234">
        <v>21308.240000000002</v>
      </c>
      <c r="G234" s="54">
        <v>45692</v>
      </c>
      <c r="H234" s="56">
        <f t="shared" si="3"/>
        <v>5.457869111189062E-3</v>
      </c>
    </row>
    <row r="235" spans="1:8" x14ac:dyDescent="0.2">
      <c r="A235" s="53">
        <v>45691</v>
      </c>
      <c r="B235">
        <v>21297.58</v>
      </c>
      <c r="C235">
        <v>21084.639999999999</v>
      </c>
      <c r="D235">
        <v>21406.58</v>
      </c>
      <c r="E235">
        <v>21004.35</v>
      </c>
      <c r="G235" s="54">
        <v>45691</v>
      </c>
      <c r="H235" s="56">
        <f t="shared" si="3"/>
        <v>-3.6645908050294551E-3</v>
      </c>
    </row>
    <row r="236" spans="1:8" x14ac:dyDescent="0.2">
      <c r="A236" s="53">
        <v>45688</v>
      </c>
      <c r="B236">
        <v>21478.05</v>
      </c>
      <c r="C236">
        <v>21661.56</v>
      </c>
      <c r="D236">
        <v>21846.01</v>
      </c>
      <c r="E236">
        <v>21425.79</v>
      </c>
      <c r="G236" s="54">
        <v>45688</v>
      </c>
      <c r="H236" s="56">
        <f t="shared" si="3"/>
        <v>-6.0760180313579326E-4</v>
      </c>
    </row>
    <row r="237" spans="1:8" x14ac:dyDescent="0.2">
      <c r="A237" s="53">
        <v>45687</v>
      </c>
      <c r="B237">
        <v>21508.12</v>
      </c>
      <c r="C237">
        <v>21519.81</v>
      </c>
      <c r="D237">
        <v>21623.45</v>
      </c>
      <c r="E237">
        <v>21308.69</v>
      </c>
      <c r="G237" s="54">
        <v>45687</v>
      </c>
      <c r="H237" s="56">
        <f t="shared" si="3"/>
        <v>1.9561689836606888E-3</v>
      </c>
    </row>
    <row r="238" spans="1:8" x14ac:dyDescent="0.2">
      <c r="A238" s="53">
        <v>45686</v>
      </c>
      <c r="B238">
        <v>21411.46</v>
      </c>
      <c r="C238">
        <v>21473.01</v>
      </c>
      <c r="D238">
        <v>21477.88</v>
      </c>
      <c r="E238">
        <v>21251.8</v>
      </c>
      <c r="G238" s="54">
        <v>45686</v>
      </c>
      <c r="H238" s="56">
        <f t="shared" si="3"/>
        <v>-1.0449530692451248E-3</v>
      </c>
    </row>
    <row r="239" spans="1:8" x14ac:dyDescent="0.2">
      <c r="A239" s="53">
        <v>45685</v>
      </c>
      <c r="B239">
        <v>21463.040000000001</v>
      </c>
      <c r="C239">
        <v>21186.080000000002</v>
      </c>
      <c r="D239">
        <v>21500.73</v>
      </c>
      <c r="E239">
        <v>21043.13</v>
      </c>
      <c r="G239" s="54">
        <v>45685</v>
      </c>
      <c r="H239" s="56">
        <f t="shared" si="3"/>
        <v>6.8476468924973943E-3</v>
      </c>
    </row>
    <row r="240" spans="1:8" x14ac:dyDescent="0.2">
      <c r="A240" s="53">
        <v>45684</v>
      </c>
      <c r="B240">
        <v>21127.279999999999</v>
      </c>
      <c r="C240">
        <v>21000.17</v>
      </c>
      <c r="D240">
        <v>21292.54</v>
      </c>
      <c r="E240">
        <v>20974.9</v>
      </c>
      <c r="G240" s="54">
        <v>45684</v>
      </c>
      <c r="H240" s="56">
        <f t="shared" si="3"/>
        <v>-1.3094829980685674E-2</v>
      </c>
    </row>
    <row r="241" spans="1:8" x14ac:dyDescent="0.2">
      <c r="A241" s="53">
        <v>45681</v>
      </c>
      <c r="B241">
        <v>21774.01</v>
      </c>
      <c r="C241">
        <v>21915.48</v>
      </c>
      <c r="D241">
        <v>21945.48</v>
      </c>
      <c r="E241">
        <v>21709.06</v>
      </c>
      <c r="G241" s="54">
        <v>45681</v>
      </c>
      <c r="H241" s="56">
        <f t="shared" si="3"/>
        <v>-2.524139051232055E-3</v>
      </c>
    </row>
    <row r="242" spans="1:8" x14ac:dyDescent="0.2">
      <c r="A242" s="53">
        <v>45680</v>
      </c>
      <c r="B242">
        <v>21900.93</v>
      </c>
      <c r="C242">
        <v>21737.24</v>
      </c>
      <c r="D242">
        <v>21900.93</v>
      </c>
      <c r="E242">
        <v>21722.04</v>
      </c>
      <c r="G242" s="54">
        <v>45680</v>
      </c>
      <c r="H242" s="56">
        <f t="shared" si="3"/>
        <v>9.5149134461358642E-4</v>
      </c>
    </row>
    <row r="243" spans="1:8" x14ac:dyDescent="0.2">
      <c r="A243" s="53">
        <v>45679</v>
      </c>
      <c r="B243">
        <v>21853</v>
      </c>
      <c r="C243">
        <v>21756.23</v>
      </c>
      <c r="D243">
        <v>21943.040000000001</v>
      </c>
      <c r="E243">
        <v>21756.23</v>
      </c>
      <c r="G243" s="54">
        <v>45679</v>
      </c>
      <c r="H243" s="56">
        <f t="shared" si="3"/>
        <v>5.731194652724092E-3</v>
      </c>
    </row>
    <row r="244" spans="1:8" x14ac:dyDescent="0.2">
      <c r="A244" s="53">
        <v>45678</v>
      </c>
      <c r="B244">
        <v>21566.51</v>
      </c>
      <c r="C244">
        <v>21557.82</v>
      </c>
      <c r="D244">
        <v>21620.23</v>
      </c>
      <c r="E244">
        <v>21379.06</v>
      </c>
      <c r="G244" s="54">
        <v>45678</v>
      </c>
      <c r="H244" s="56">
        <f t="shared" si="3"/>
        <v>2.5317959842219295E-3</v>
      </c>
    </row>
    <row r="245" spans="1:8" x14ac:dyDescent="0.2">
      <c r="A245" s="53">
        <v>45674</v>
      </c>
      <c r="B245">
        <v>21441.15</v>
      </c>
      <c r="C245">
        <v>21461.9</v>
      </c>
      <c r="D245">
        <v>21515.759999999998</v>
      </c>
      <c r="E245">
        <v>21334.63</v>
      </c>
      <c r="G245" s="54">
        <v>45674</v>
      </c>
      <c r="H245" s="56">
        <f t="shared" si="3"/>
        <v>7.1457555872687095E-3</v>
      </c>
    </row>
    <row r="246" spans="1:8" x14ac:dyDescent="0.2">
      <c r="A246" s="53">
        <v>45673</v>
      </c>
      <c r="B246">
        <v>21091.25</v>
      </c>
      <c r="C246">
        <v>21324.97</v>
      </c>
      <c r="D246">
        <v>21330.59</v>
      </c>
      <c r="E246">
        <v>21087.85</v>
      </c>
      <c r="G246" s="54">
        <v>45673</v>
      </c>
      <c r="H246" s="56">
        <f t="shared" si="3"/>
        <v>-3.0082295917903679E-3</v>
      </c>
    </row>
    <row r="247" spans="1:8" x14ac:dyDescent="0.2">
      <c r="A247" s="53">
        <v>45672</v>
      </c>
      <c r="B247">
        <v>21237.85</v>
      </c>
      <c r="C247">
        <v>21067.81</v>
      </c>
      <c r="D247">
        <v>21286.01</v>
      </c>
      <c r="E247">
        <v>21024.27</v>
      </c>
      <c r="G247" s="54">
        <v>45672</v>
      </c>
      <c r="H247" s="56">
        <f t="shared" si="3"/>
        <v>9.9373855289819346E-3</v>
      </c>
    </row>
    <row r="248" spans="1:8" x14ac:dyDescent="0.2">
      <c r="A248" s="53">
        <v>45671</v>
      </c>
      <c r="B248">
        <v>20757.41</v>
      </c>
      <c r="C248">
        <v>20896.36</v>
      </c>
      <c r="D248">
        <v>20969.52</v>
      </c>
      <c r="E248">
        <v>20622.72</v>
      </c>
      <c r="G248" s="54">
        <v>45671</v>
      </c>
      <c r="H248" s="56">
        <f t="shared" si="3"/>
        <v>-5.7101472694931488E-4</v>
      </c>
    </row>
    <row r="249" spans="1:8" x14ac:dyDescent="0.2">
      <c r="A249" s="53">
        <v>45670</v>
      </c>
      <c r="B249">
        <v>20784.72</v>
      </c>
      <c r="C249">
        <v>20593.650000000001</v>
      </c>
      <c r="D249">
        <v>20797.099999999999</v>
      </c>
      <c r="E249">
        <v>20538.330000000002</v>
      </c>
      <c r="G249" s="54">
        <v>45670</v>
      </c>
      <c r="H249" s="56">
        <f t="shared" si="3"/>
        <v>-1.3114707512213997E-3</v>
      </c>
    </row>
    <row r="250" spans="1:8" x14ac:dyDescent="0.2">
      <c r="A250" s="53">
        <v>45667</v>
      </c>
      <c r="B250">
        <v>20847.580000000002</v>
      </c>
      <c r="C250">
        <v>21012.29</v>
      </c>
      <c r="D250">
        <v>21015.51</v>
      </c>
      <c r="E250">
        <v>20718.78</v>
      </c>
      <c r="G250" s="54">
        <v>45667</v>
      </c>
      <c r="H250" s="56">
        <f t="shared" si="3"/>
        <v>-6.8899909980180141E-3</v>
      </c>
    </row>
    <row r="251" spans="1:8" x14ac:dyDescent="0.2">
      <c r="A251" s="53">
        <v>45665</v>
      </c>
      <c r="B251">
        <v>21180.959999999999</v>
      </c>
      <c r="C251">
        <v>21156.76</v>
      </c>
      <c r="D251">
        <v>21242.61</v>
      </c>
      <c r="E251">
        <v>20992.080000000002</v>
      </c>
      <c r="G251" s="54">
        <v>45665</v>
      </c>
      <c r="H251" s="56">
        <f t="shared" si="3"/>
        <v>1.6242207757333205E-4</v>
      </c>
    </row>
    <row r="252" spans="1:8" x14ac:dyDescent="0.2">
      <c r="A252" s="53">
        <v>45664</v>
      </c>
      <c r="B252">
        <v>21173.040000000001</v>
      </c>
      <c r="C252">
        <v>21619.89</v>
      </c>
      <c r="D252">
        <v>21621.25</v>
      </c>
      <c r="E252">
        <v>21101.09</v>
      </c>
      <c r="G252" s="54">
        <v>45664</v>
      </c>
      <c r="H252" s="56">
        <f t="shared" si="3"/>
        <v>-7.8554666499721648E-3</v>
      </c>
    </row>
    <row r="253" spans="1:8" x14ac:dyDescent="0.2">
      <c r="A253" s="53">
        <v>45663</v>
      </c>
      <c r="B253">
        <v>21559.5</v>
      </c>
      <c r="C253">
        <v>21551.18</v>
      </c>
      <c r="D253">
        <v>21703.49</v>
      </c>
      <c r="E253">
        <v>21462.52</v>
      </c>
      <c r="G253" s="55">
        <v>45663</v>
      </c>
      <c r="H253" s="57" t="e">
        <f t="shared" si="3"/>
        <v>#NUM!</v>
      </c>
    </row>
  </sheetData>
  <mergeCells count="6">
    <mergeCell ref="A1:K1"/>
    <mergeCell ref="A2:E2"/>
    <mergeCell ref="G2:K2"/>
    <mergeCell ref="J17:K17"/>
    <mergeCell ref="J16:K16"/>
    <mergeCell ref="J11:K11"/>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624276-57E8-DE42-B647-E55397A74D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M.C.3.1</vt:lpstr>
      <vt:lpstr>M.C.3.2</vt:lpstr>
      <vt:lpstr>M.C.3.3</vt:lpstr>
      <vt:lpstr>M.C.3.4</vt:lpstr>
      <vt:lpstr>M.C.3.5</vt:lpstr>
      <vt:lpstr>M.C.3.6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Burdukov, Oleh</cp:lastModifiedBy>
  <dcterms:created xsi:type="dcterms:W3CDTF">2026-01-05T07:10:13Z</dcterms:created>
  <dcterms:modified xsi:type="dcterms:W3CDTF">2026-07-04T16:05:27Z</dcterms:modified>
</cp:coreProperties>
</file>