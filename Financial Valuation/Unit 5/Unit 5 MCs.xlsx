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burdukov/Documents/Österreich/WU/WU Hauptstudium/SBWL/SBWL Finance/Course II Financial management and valuation/Interactive part/Unit 5/"/>
    </mc:Choice>
  </mc:AlternateContent>
  <xr:revisionPtr revIDLastSave="0" documentId="13_ncr:1_{1F974FFA-CBEB-F945-AB02-F7B1D3B4B019}" xr6:coauthVersionLast="47" xr6:coauthVersionMax="47" xr10:uidLastSave="{00000000-0000-0000-0000-000000000000}"/>
  <bookViews>
    <workbookView xWindow="0" yWindow="720" windowWidth="14580" windowHeight="18400" activeTab="5" xr2:uid="{1EDBC93B-9F9F-4649-B6CC-A3203B811553}"/>
  </bookViews>
  <sheets>
    <sheet name="M.C.5.1" sheetId="1" r:id="rId1"/>
    <sheet name="M.C.5.2" sheetId="2" r:id="rId2"/>
    <sheet name="M.C.5.3" sheetId="3" r:id="rId3"/>
    <sheet name="M.C.5.4" sheetId="4" r:id="rId4"/>
    <sheet name="M.C.5.5" sheetId="5" r:id="rId5"/>
    <sheet name="M.C. 5.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6" i="1"/>
  <c r="E3" i="1"/>
  <c r="C30" i="5"/>
  <c r="C33" i="5" s="1"/>
  <c r="C26" i="5"/>
  <c r="F14" i="6"/>
  <c r="B41" i="6"/>
  <c r="E31" i="6" a="1"/>
  <c r="E31" i="6" s="1"/>
  <c r="E21" i="6" a="1"/>
  <c r="E21" i="6" s="1"/>
  <c r="D23" i="6"/>
  <c r="C22" i="6"/>
  <c r="D22" i="6"/>
  <c r="B22" i="6"/>
  <c r="D36" i="6"/>
  <c r="B33" i="6"/>
  <c r="B35" i="6"/>
  <c r="C35" i="6" s="1"/>
  <c r="B36" i="6"/>
  <c r="C36" i="6" s="1"/>
  <c r="B37" i="6"/>
  <c r="B32" i="6"/>
  <c r="E8" i="2" a="1"/>
  <c r="E8" i="2" s="1"/>
  <c r="C37" i="6"/>
  <c r="C33" i="6"/>
  <c r="D34" i="6"/>
  <c r="D35" i="6"/>
  <c r="D37" i="6"/>
  <c r="D24" i="6"/>
  <c r="D25" i="6"/>
  <c r="D26" i="6"/>
  <c r="D27" i="6"/>
  <c r="D33" i="6"/>
  <c r="C32" i="6"/>
  <c r="C21" i="6"/>
  <c r="B34" i="6"/>
  <c r="C34" i="6" s="1"/>
  <c r="F3" i="6"/>
  <c r="B13" i="6"/>
  <c r="B14" i="6" s="1"/>
  <c r="B15" i="6" s="1"/>
  <c r="B16" i="6" s="1"/>
  <c r="B17" i="6" s="1"/>
  <c r="B27" i="5"/>
  <c r="C27" i="5" s="1"/>
  <c r="B28" i="5"/>
  <c r="C28" i="5" s="1"/>
  <c r="B29" i="5"/>
  <c r="C29" i="5" s="1"/>
  <c r="B26" i="5"/>
  <c r="D20" i="5"/>
  <c r="D21" i="5"/>
  <c r="D22" i="5"/>
  <c r="D19" i="5"/>
  <c r="E4" i="4"/>
  <c r="B7" i="4"/>
  <c r="E3" i="4"/>
  <c r="E17" i="3" a="1"/>
  <c r="E17" i="3" s="1"/>
  <c r="B18" i="3" a="1"/>
  <c r="B18" i="3" s="1"/>
  <c r="B17" i="3" a="1"/>
  <c r="B17" i="3" s="1"/>
  <c r="B16" i="3" a="1"/>
  <c r="B16" i="3" s="1"/>
  <c r="C12" i="3"/>
  <c r="B8" i="2"/>
  <c r="B6" i="2"/>
  <c r="B7" i="2" s="1"/>
  <c r="E7" i="1"/>
  <c r="B7" i="1"/>
  <c r="B8" i="1"/>
  <c r="B24" i="6" l="1"/>
  <c r="B23" i="6"/>
  <c r="B27" i="6"/>
  <c r="C27" i="6" s="1"/>
  <c r="B26" i="6"/>
  <c r="C26" i="6" s="1"/>
  <c r="B25" i="6"/>
  <c r="C25" i="6" s="1"/>
  <c r="C24" i="6"/>
  <c r="C23" i="6"/>
  <c r="B40" i="6" l="1"/>
  <c r="B4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<sst xmlns="http://schemas.openxmlformats.org/spreadsheetml/2006/main" count="140" uniqueCount="99">
  <si>
    <t>Mini-case 5.1</t>
  </si>
  <si>
    <t>Assumptions</t>
  </si>
  <si>
    <t>Assumptions (MWB)</t>
  </si>
  <si>
    <t>Current share price (€)</t>
  </si>
  <si>
    <t>Growth rate (g)</t>
  </si>
  <si>
    <t>Share price at T = 1 (€)</t>
  </si>
  <si>
    <t>β</t>
  </si>
  <si>
    <t>Historical β of MWB</t>
  </si>
  <si>
    <t>CAPM holds</t>
  </si>
  <si>
    <t>TASK A</t>
  </si>
  <si>
    <t xml:space="preserve">β after acquisition </t>
  </si>
  <si>
    <t>Dividends at T = 1 (€)</t>
  </si>
  <si>
    <t>Dividends after acquisition</t>
  </si>
  <si>
    <t>TASK B</t>
  </si>
  <si>
    <r>
      <t>S</t>
    </r>
    <r>
      <rPr>
        <sz val="8"/>
        <color theme="1"/>
        <rFont val="Aptos Narrow (Body)"/>
      </rPr>
      <t>0</t>
    </r>
    <r>
      <rPr>
        <sz val="12"/>
        <color theme="1"/>
        <rFont val="Aptos Narrow"/>
        <family val="2"/>
        <scheme val="minor"/>
      </rPr>
      <t xml:space="preserve"> by Gordon model</t>
    </r>
  </si>
  <si>
    <r>
      <t>~R</t>
    </r>
    <r>
      <rPr>
        <sz val="8"/>
        <color theme="1"/>
        <rFont val="Aptos Narrow (Body)"/>
      </rPr>
      <t>m</t>
    </r>
  </si>
  <si>
    <t>Mini-case 5.2</t>
  </si>
  <si>
    <t>CFs data</t>
  </si>
  <si>
    <t>Additional assumptions</t>
  </si>
  <si>
    <t>CFs' growth rate (g)</t>
  </si>
  <si>
    <t>Period</t>
  </si>
  <si>
    <t>CF (€)</t>
  </si>
  <si>
    <t>β of the investment</t>
  </si>
  <si>
    <t>?</t>
  </si>
  <si>
    <t>PV</t>
  </si>
  <si>
    <t>The risk-adjusted discount rate</t>
  </si>
  <si>
    <t>T</t>
  </si>
  <si>
    <t>Mini-case 5.3</t>
  </si>
  <si>
    <t>Factor exposure</t>
  </si>
  <si>
    <t>Market risk</t>
  </si>
  <si>
    <t>Size</t>
  </si>
  <si>
    <t>Value</t>
  </si>
  <si>
    <t>Momentum</t>
  </si>
  <si>
    <t>CF</t>
  </si>
  <si>
    <t>What is the present value of the investment ?</t>
  </si>
  <si>
    <t>Risk-adjusted discount rate</t>
  </si>
  <si>
    <t>PV of the investment</t>
  </si>
  <si>
    <r>
      <t>~R</t>
    </r>
    <r>
      <rPr>
        <sz val="8"/>
        <color theme="1"/>
        <rFont val="Aptos Narrow (Body)"/>
      </rPr>
      <t>β</t>
    </r>
    <r>
      <rPr>
        <sz val="12"/>
        <color theme="1"/>
        <rFont val="Aptos Narrow"/>
        <family val="2"/>
        <scheme val="minor"/>
      </rPr>
      <t xml:space="preserve"> Year 1</t>
    </r>
  </si>
  <si>
    <r>
      <t>~R</t>
    </r>
    <r>
      <rPr>
        <sz val="8"/>
        <color theme="1"/>
        <rFont val="Aptos Narrow (Body)"/>
      </rPr>
      <t>β</t>
    </r>
    <r>
      <rPr>
        <sz val="12"/>
        <color theme="1"/>
        <rFont val="Aptos Narrow"/>
        <family val="2"/>
        <scheme val="minor"/>
      </rPr>
      <t xml:space="preserve"> Year 2</t>
    </r>
  </si>
  <si>
    <r>
      <t>~R</t>
    </r>
    <r>
      <rPr>
        <sz val="8"/>
        <color theme="1"/>
        <rFont val="Aptos Narrow (Body)"/>
      </rPr>
      <t>β</t>
    </r>
    <r>
      <rPr>
        <sz val="12"/>
        <color theme="1"/>
        <rFont val="Aptos Narrow"/>
        <family val="2"/>
        <scheme val="minor"/>
      </rPr>
      <t xml:space="preserve"> Year 3</t>
    </r>
  </si>
  <si>
    <t>Mini-case 5.4</t>
  </si>
  <si>
    <t>Shares outstanding</t>
  </si>
  <si>
    <t>β of the bank</t>
  </si>
  <si>
    <t>Bank's growth rate</t>
  </si>
  <si>
    <t>Expences due to expansion (€)</t>
  </si>
  <si>
    <t>Mini-case 5.5</t>
  </si>
  <si>
    <t>E(CF)</t>
  </si>
  <si>
    <t>Fraction of expected earnings from energy drink</t>
  </si>
  <si>
    <t>Fraction of expected earnings from beer</t>
  </si>
  <si>
    <t>Fraction of expected earnings from bottled watter</t>
  </si>
  <si>
    <t>Fraction of expected earnings from tea</t>
  </si>
  <si>
    <t>Company</t>
  </si>
  <si>
    <t>Jonster Energy</t>
  </si>
  <si>
    <t>Jottakringer</t>
  </si>
  <si>
    <t>Jöslauer</t>
  </si>
  <si>
    <t>Jack Jabel</t>
  </si>
  <si>
    <t>Industry</t>
  </si>
  <si>
    <t>Energy drink</t>
  </si>
  <si>
    <t>Beer</t>
  </si>
  <si>
    <t>Bottled water</t>
  </si>
  <si>
    <t>Tea</t>
  </si>
  <si>
    <t>Share price (€)</t>
  </si>
  <si>
    <t>P/E ratio</t>
  </si>
  <si>
    <t>EPS</t>
  </si>
  <si>
    <t>EPS after expansion</t>
  </si>
  <si>
    <t>Earnings to expect</t>
  </si>
  <si>
    <t>TASK C</t>
  </si>
  <si>
    <t>∆</t>
  </si>
  <si>
    <r>
      <t>E(CF)*w</t>
    </r>
    <r>
      <rPr>
        <sz val="8"/>
        <color theme="1"/>
        <rFont val="Aptos Narrow (Body)"/>
      </rPr>
      <t>k</t>
    </r>
    <r>
      <rPr>
        <sz val="12"/>
        <color theme="1"/>
        <rFont val="Aptos Narrow"/>
        <family val="2"/>
        <scheme val="minor"/>
      </rPr>
      <t>*P</t>
    </r>
    <r>
      <rPr>
        <sz val="8"/>
        <color theme="1"/>
        <rFont val="Aptos Narrow (Body)"/>
      </rPr>
      <t>k</t>
    </r>
    <r>
      <rPr>
        <sz val="12"/>
        <color theme="1"/>
        <rFont val="Aptos Narrow"/>
        <family val="2"/>
        <scheme val="minor"/>
      </rPr>
      <t>/E</t>
    </r>
    <r>
      <rPr>
        <sz val="8"/>
        <color theme="1"/>
        <rFont val="Aptos Narrow (Body)"/>
      </rPr>
      <t>k</t>
    </r>
  </si>
  <si>
    <t>Company's P/E (∑)</t>
  </si>
  <si>
    <r>
      <rPr>
        <sz val="16"/>
        <color theme="1"/>
        <rFont val="Aptos Narrow (Body)"/>
      </rPr>
      <t>r</t>
    </r>
    <r>
      <rPr>
        <sz val="8"/>
        <color theme="1"/>
        <rFont val="Aptos Narrow (Body)"/>
      </rPr>
      <t>f</t>
    </r>
    <r>
      <rPr>
        <sz val="12"/>
        <color theme="1"/>
        <rFont val="Aptos Narrow"/>
        <family val="2"/>
        <scheme val="minor"/>
      </rPr>
      <t xml:space="preserve"> (p.a.)</t>
    </r>
  </si>
  <si>
    <r>
      <rPr>
        <sz val="16"/>
        <color theme="1"/>
        <rFont val="Aptos Narrow (Body)"/>
      </rPr>
      <t>r</t>
    </r>
    <r>
      <rPr>
        <sz val="8"/>
        <color theme="1"/>
        <rFont val="Aptos Narrow (Body)"/>
      </rPr>
      <t>f</t>
    </r>
  </si>
  <si>
    <r>
      <t>~R</t>
    </r>
    <r>
      <rPr>
        <sz val="8"/>
        <color theme="1"/>
        <rFont val="Aptos Narrow (Body)"/>
      </rPr>
      <t>bank</t>
    </r>
    <r>
      <rPr>
        <sz val="12"/>
        <color theme="1"/>
        <rFont val="Aptos Narrow"/>
        <family val="2"/>
        <scheme val="minor"/>
      </rPr>
      <t xml:space="preserve"> (return on equity: ~</t>
    </r>
    <r>
      <rPr>
        <sz val="16"/>
        <color theme="1"/>
        <rFont val="Aptos Narrow (Body)"/>
      </rPr>
      <t>r</t>
    </r>
    <r>
      <rPr>
        <sz val="8"/>
        <color theme="1"/>
        <rFont val="Aptos Narrow (Body)"/>
      </rPr>
      <t>E</t>
    </r>
    <r>
      <rPr>
        <sz val="12"/>
        <color theme="1"/>
        <rFont val="Aptos Narrow"/>
        <family val="2"/>
        <scheme val="minor"/>
      </rPr>
      <t>)</t>
    </r>
  </si>
  <si>
    <r>
      <t>Expected return of the project (~R</t>
    </r>
    <r>
      <rPr>
        <sz val="8"/>
        <color theme="1"/>
        <rFont val="Aptos Narrow (Body)"/>
      </rPr>
      <t>p</t>
    </r>
    <r>
      <rPr>
        <sz val="12"/>
        <color theme="1"/>
        <rFont val="Aptos Narrow"/>
        <family val="2"/>
        <scheme val="minor"/>
      </rPr>
      <t>)</t>
    </r>
  </si>
  <si>
    <t>Mini-case 5.6</t>
  </si>
  <si>
    <t>Scenario 1</t>
  </si>
  <si>
    <t>Scenario 2</t>
  </si>
  <si>
    <t>Construction costs</t>
  </si>
  <si>
    <t>ESG spendings</t>
  </si>
  <si>
    <t>Annual extraction (in tons)</t>
  </si>
  <si>
    <t>Amount of gold extracted per ton (in grams)</t>
  </si>
  <si>
    <t>β of the project</t>
  </si>
  <si>
    <t>Gold price (per ton)</t>
  </si>
  <si>
    <t>Scenario 2 (Construction start in 2027)</t>
  </si>
  <si>
    <t>Scenario 1 (Construction start in 2026)</t>
  </si>
  <si>
    <t>Emission reduction investment</t>
  </si>
  <si>
    <t>TASK A: The NPV of the project in the 1st scenario</t>
  </si>
  <si>
    <t>Annual gold extraction (tons)</t>
  </si>
  <si>
    <t>The risk-adjusted rate of return</t>
  </si>
  <si>
    <t>NPV 2026</t>
  </si>
  <si>
    <t>NPV 2027</t>
  </si>
  <si>
    <t>Option to choose</t>
  </si>
  <si>
    <t>The company should start the project immediately</t>
  </si>
  <si>
    <t>TASK B: What option to choose?</t>
  </si>
  <si>
    <t>Value of the option to delay</t>
  </si>
  <si>
    <r>
      <rPr>
        <sz val="16"/>
        <color theme="1"/>
        <rFont val="Aptos Narrow (Body)"/>
      </rPr>
      <t>r</t>
    </r>
    <r>
      <rPr>
        <sz val="8"/>
        <color theme="1"/>
        <rFont val="Aptos Narrow (Body)"/>
      </rPr>
      <t>E</t>
    </r>
  </si>
  <si>
    <r>
      <t>Current share price (S</t>
    </r>
    <r>
      <rPr>
        <sz val="8"/>
        <color theme="1"/>
        <rFont val="Aptos Narrow (Body)"/>
      </rPr>
      <t>0</t>
    </r>
    <r>
      <rPr>
        <sz val="12"/>
        <color theme="1"/>
        <rFont val="Aptos Narrow"/>
        <family val="2"/>
        <scheme val="minor"/>
      </rPr>
      <t>)</t>
    </r>
  </si>
  <si>
    <t>EPS at T = 0</t>
  </si>
  <si>
    <t>Target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</si>
</sst>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0.0000"/>
    <numFmt numFmtId="165" formatCode="&quot;€&quot;\ #,##0.00"/>
    <numFmt numFmtId="166" formatCode="0.0"/>
    <numFmt numFmtId="167" formatCode="_-[$$-409]* #,##0.00_ ;_-[$$-409]* \-#,##0.00\ ;_-[$$-409]* &quot;-&quot;??_ ;_-@_ "/>
    <numFmt numFmtId="168" formatCode="_-[$$-C09]* #,##0.00_-;\-[$$-C09]* #,##0.00_-;_-[$$-C09]* &quot;-&quot;??_-;_-@_-"/>
    <numFmt numFmtId="169" formatCode="_-[$$-1009]* #,##0.00_-;\-[$$-1009]* #,##0.00_-;_-[$$-1009]* &quot;-&quot;??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Helvetica"/>
      <family val="2"/>
    </font>
    <font>
      <sz val="8"/>
      <color theme="1"/>
      <name val="Aptos Narrow (Body)"/>
    </font>
    <font>
      <sz val="8"/>
      <name val="Aptos Narrow"/>
      <family val="2"/>
      <scheme val="minor"/>
    </font>
    <font>
      <sz val="12"/>
      <color theme="1"/>
      <name val="Aptos Narrow (Body)"/>
    </font>
    <font>
      <sz val="16"/>
      <color theme="1"/>
      <name val="Aptos Narrow (Body)"/>
    </font>
  </fonts>
  <fills count="9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8" fontId="0" fillId="7" borderId="1" xfId="0" applyNumberFormat="1" applyFill="1" applyBorder="1" applyAlignment="1">
      <alignment horizontal="center" vertical="center"/>
    </xf>
    <xf numFmtId="8" fontId="0" fillId="8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68" fontId="0" fillId="0" borderId="1" xfId="1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8" fontId="0" fillId="6" borderId="1" xfId="0" applyNumberFormat="1" applyFill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8" fontId="0" fillId="7" borderId="1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200A4"/>
      <color rgb="FF9157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9BC5-D358-4A48-91F7-2B579E98AED3}">
  <sheetPr>
    <tabColor theme="4"/>
  </sheetPr>
  <dimension ref="A1:H12"/>
  <sheetViews>
    <sheetView zoomScale="150" zoomScaleNormal="150" workbookViewId="0">
      <pane ySplit="1" topLeftCell="A2" activePane="bottomLeft" state="frozen"/>
      <selection pane="bottomLeft" activeCell="E13" sqref="E13"/>
    </sheetView>
  </sheetViews>
  <sheetFormatPr baseColWidth="10" defaultRowHeight="16" x14ac:dyDescent="0.2"/>
  <cols>
    <col min="1" max="1" width="30.33203125" bestFit="1" customWidth="1"/>
    <col min="3" max="3" width="3.33203125" customWidth="1"/>
    <col min="4" max="4" width="17" bestFit="1" customWidth="1"/>
  </cols>
  <sheetData>
    <row r="1" spans="1:8" x14ac:dyDescent="0.2">
      <c r="A1" s="34" t="s">
        <v>0</v>
      </c>
      <c r="B1" s="34"/>
      <c r="C1" s="34"/>
      <c r="D1" s="34"/>
      <c r="E1" s="34"/>
    </row>
    <row r="2" spans="1:8" x14ac:dyDescent="0.2">
      <c r="A2" s="32" t="s">
        <v>2</v>
      </c>
      <c r="B2" s="32"/>
      <c r="C2" s="2"/>
      <c r="D2" s="35" t="s">
        <v>9</v>
      </c>
      <c r="E2" s="35"/>
    </row>
    <row r="3" spans="1:8" x14ac:dyDescent="0.2">
      <c r="A3" s="6" t="s">
        <v>3</v>
      </c>
      <c r="B3" s="4">
        <v>90</v>
      </c>
      <c r="C3" s="2"/>
      <c r="D3" s="6" t="s">
        <v>15</v>
      </c>
      <c r="E3" s="11">
        <f>B11+(B8-B11)/B9</f>
        <v>9.350948509485095E-2</v>
      </c>
      <c r="F3" s="1"/>
      <c r="H3" s="3"/>
    </row>
    <row r="4" spans="1:8" x14ac:dyDescent="0.2">
      <c r="A4" s="6" t="s">
        <v>5</v>
      </c>
      <c r="B4" s="4">
        <v>96</v>
      </c>
      <c r="C4" s="2"/>
      <c r="D4" s="2"/>
      <c r="E4" s="2"/>
      <c r="H4" s="3"/>
    </row>
    <row r="5" spans="1:8" x14ac:dyDescent="0.2">
      <c r="A5" s="6" t="s">
        <v>11</v>
      </c>
      <c r="B5" s="4">
        <v>10.6</v>
      </c>
      <c r="C5" s="2"/>
      <c r="D5" s="35" t="s">
        <v>13</v>
      </c>
      <c r="E5" s="35"/>
    </row>
    <row r="6" spans="1:8" ht="16" customHeight="1" x14ac:dyDescent="0.2">
      <c r="A6" s="6" t="s">
        <v>12</v>
      </c>
      <c r="B6" s="4">
        <v>15</v>
      </c>
      <c r="C6" s="2"/>
      <c r="D6" s="16" t="s">
        <v>95</v>
      </c>
      <c r="E6" s="8">
        <f>B7+B5/B4</f>
        <v>0.17708333333333331</v>
      </c>
    </row>
    <row r="7" spans="1:8" x14ac:dyDescent="0.2">
      <c r="A7" s="6" t="s">
        <v>4</v>
      </c>
      <c r="B7" s="10">
        <f>B4/B3-1</f>
        <v>6.6666666666666652E-2</v>
      </c>
      <c r="C7" s="2"/>
      <c r="D7" s="6" t="s">
        <v>14</v>
      </c>
      <c r="E7" s="11">
        <f>B6/(E6-B7)</f>
        <v>135.84905660377359</v>
      </c>
    </row>
    <row r="8" spans="1:8" x14ac:dyDescent="0.2">
      <c r="A8" s="6" t="s">
        <v>73</v>
      </c>
      <c r="B8" s="10">
        <f>B5/B4</f>
        <v>0.11041666666666666</v>
      </c>
      <c r="C8" s="2"/>
      <c r="D8" s="2"/>
      <c r="E8" s="2"/>
    </row>
    <row r="9" spans="1:8" x14ac:dyDescent="0.2">
      <c r="A9" s="7" t="s">
        <v>7</v>
      </c>
      <c r="B9" s="4">
        <v>1.23</v>
      </c>
      <c r="C9" s="2"/>
      <c r="D9" s="2"/>
      <c r="E9" s="2"/>
    </row>
    <row r="10" spans="1:8" x14ac:dyDescent="0.2">
      <c r="A10" s="6" t="s">
        <v>10</v>
      </c>
      <c r="B10" s="4">
        <v>1.6</v>
      </c>
      <c r="C10" s="2"/>
      <c r="D10" s="2"/>
      <c r="E10" s="2"/>
    </row>
    <row r="11" spans="1:8" ht="16" customHeight="1" x14ac:dyDescent="0.2">
      <c r="A11" s="6" t="s">
        <v>70</v>
      </c>
      <c r="B11" s="4">
        <v>0.02</v>
      </c>
      <c r="C11" s="2"/>
      <c r="D11" s="2"/>
      <c r="E11" s="2"/>
    </row>
    <row r="12" spans="1:8" x14ac:dyDescent="0.2">
      <c r="A12" s="33" t="s">
        <v>8</v>
      </c>
      <c r="B12" s="33"/>
      <c r="C12" s="2"/>
      <c r="D12" s="2"/>
      <c r="E12" s="2"/>
    </row>
  </sheetData>
  <mergeCells count="5">
    <mergeCell ref="A2:B2"/>
    <mergeCell ref="A12:B12"/>
    <mergeCell ref="A1:E1"/>
    <mergeCell ref="D5:E5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A98E-F651-B54D-9C20-280A81471F0C}">
  <sheetPr>
    <tabColor theme="9" tint="-0.249977111117893"/>
  </sheetPr>
  <dimension ref="A1:E8"/>
  <sheetViews>
    <sheetView zoomScale="160" zoomScaleNormal="160" workbookViewId="0">
      <pane ySplit="1" topLeftCell="A2" activePane="bottomLeft" state="frozen"/>
      <selection pane="bottomLeft" activeCell="E8" sqref="E8"/>
    </sheetView>
  </sheetViews>
  <sheetFormatPr baseColWidth="10" defaultRowHeight="16" x14ac:dyDescent="0.2"/>
  <cols>
    <col min="3" max="3" width="3.1640625" customWidth="1"/>
    <col min="4" max="4" width="26.1640625" bestFit="1" customWidth="1"/>
    <col min="5" max="5" width="11.1640625" bestFit="1" customWidth="1"/>
  </cols>
  <sheetData>
    <row r="1" spans="1:5" x14ac:dyDescent="0.2">
      <c r="A1" s="36" t="s">
        <v>16</v>
      </c>
      <c r="B1" s="36"/>
      <c r="C1" s="36"/>
      <c r="D1" s="36"/>
      <c r="E1" s="36"/>
    </row>
    <row r="2" spans="1:5" x14ac:dyDescent="0.2">
      <c r="A2" s="37" t="s">
        <v>17</v>
      </c>
      <c r="B2" s="37"/>
      <c r="D2" s="37" t="s">
        <v>18</v>
      </c>
      <c r="E2" s="37"/>
    </row>
    <row r="3" spans="1:5" x14ac:dyDescent="0.2">
      <c r="A3" s="6" t="s">
        <v>26</v>
      </c>
      <c r="B3" s="6" t="s">
        <v>21</v>
      </c>
      <c r="C3" s="2"/>
      <c r="D3" s="6" t="s">
        <v>19</v>
      </c>
      <c r="E3" s="4">
        <v>0.06</v>
      </c>
    </row>
    <row r="4" spans="1:5" x14ac:dyDescent="0.2">
      <c r="A4" s="4">
        <v>0</v>
      </c>
      <c r="B4" s="4" t="s">
        <v>23</v>
      </c>
      <c r="C4" s="2"/>
      <c r="D4" s="6" t="s">
        <v>15</v>
      </c>
      <c r="E4" s="4">
        <v>0.1</v>
      </c>
    </row>
    <row r="5" spans="1:5" ht="16" customHeight="1" x14ac:dyDescent="0.2">
      <c r="A5" s="4">
        <v>1</v>
      </c>
      <c r="B5" s="4">
        <v>50000</v>
      </c>
      <c r="C5" s="2"/>
      <c r="D5" s="6" t="s">
        <v>70</v>
      </c>
      <c r="E5" s="4">
        <v>0.03</v>
      </c>
    </row>
    <row r="6" spans="1:5" x14ac:dyDescent="0.2">
      <c r="A6" s="4">
        <v>2</v>
      </c>
      <c r="B6" s="4">
        <f>B5*(1+E3)</f>
        <v>53000</v>
      </c>
      <c r="C6" s="2"/>
      <c r="D6" s="6" t="s">
        <v>22</v>
      </c>
      <c r="E6" s="4">
        <v>0.9</v>
      </c>
    </row>
    <row r="7" spans="1:5" x14ac:dyDescent="0.2">
      <c r="A7" s="4">
        <v>3</v>
      </c>
      <c r="B7" s="4">
        <f>B6*(1+E3)</f>
        <v>56180</v>
      </c>
      <c r="C7" s="2"/>
      <c r="D7" s="6" t="s">
        <v>25</v>
      </c>
      <c r="E7" s="29">
        <f>E5+E6*(E4-E5)</f>
        <v>9.3000000000000013E-2</v>
      </c>
    </row>
    <row r="8" spans="1:5" x14ac:dyDescent="0.2">
      <c r="A8" s="4">
        <v>4</v>
      </c>
      <c r="B8" s="4">
        <f>-30000</f>
        <v>-30000</v>
      </c>
      <c r="C8" s="2"/>
      <c r="D8" s="6" t="s">
        <v>24</v>
      </c>
      <c r="E8" s="12" cm="1">
        <f t="array" ref="E8">SUM(B5:B8*(1+$E$7)^(-A5:A8))</f>
        <v>112114.80403024946</v>
      </c>
    </row>
  </sheetData>
  <mergeCells count="3">
    <mergeCell ref="A1:E1"/>
    <mergeCell ref="D2:E2"/>
    <mergeCell ref="A2:B2"/>
  </mergeCells>
  <phoneticPr fontId="5" type="noConversion"/>
  <pageMargins left="0.7" right="0.7" top="0.75" bottom="0.75" header="0.3" footer="0.3"/>
  <ignoredErrors>
    <ignoredError sqref="E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0508-7452-F148-8BEC-626CAA552E9B}">
  <sheetPr>
    <tabColor rgb="FFF200A4"/>
  </sheetPr>
  <dimension ref="A1:E18"/>
  <sheetViews>
    <sheetView zoomScale="140" zoomScaleNormal="140" workbookViewId="0">
      <pane ySplit="1" topLeftCell="A2" activePane="bottomLeft" state="frozen"/>
      <selection pane="bottomLeft" activeCell="E17" sqref="E17"/>
    </sheetView>
  </sheetViews>
  <sheetFormatPr baseColWidth="10" defaultRowHeight="16" x14ac:dyDescent="0.2"/>
  <cols>
    <col min="1" max="1" width="14.1640625" bestFit="1" customWidth="1"/>
    <col min="2" max="2" width="23.5" bestFit="1" customWidth="1"/>
    <col min="3" max="3" width="16.33203125" customWidth="1"/>
    <col min="4" max="4" width="10.83203125" customWidth="1"/>
    <col min="5" max="5" width="17.5" bestFit="1" customWidth="1"/>
  </cols>
  <sheetData>
    <row r="1" spans="1:5" x14ac:dyDescent="0.2">
      <c r="A1" s="38" t="s">
        <v>27</v>
      </c>
      <c r="B1" s="38"/>
      <c r="C1" s="38"/>
      <c r="D1" s="38"/>
      <c r="E1" s="38"/>
    </row>
    <row r="2" spans="1:5" x14ac:dyDescent="0.2">
      <c r="A2" s="32" t="s">
        <v>1</v>
      </c>
      <c r="B2" s="32"/>
      <c r="C2" s="32"/>
      <c r="D2" s="32"/>
      <c r="E2" s="32"/>
    </row>
    <row r="3" spans="1:5" x14ac:dyDescent="0.2">
      <c r="A3" s="6" t="s">
        <v>28</v>
      </c>
      <c r="B3" s="6" t="s">
        <v>6</v>
      </c>
      <c r="C3" s="6" t="s">
        <v>37</v>
      </c>
      <c r="D3" s="6" t="s">
        <v>38</v>
      </c>
      <c r="E3" s="6" t="s">
        <v>39</v>
      </c>
    </row>
    <row r="4" spans="1:5" x14ac:dyDescent="0.2">
      <c r="A4" s="6" t="s">
        <v>29</v>
      </c>
      <c r="B4" s="4">
        <v>0.85</v>
      </c>
      <c r="C4" s="14">
        <v>5.1999999999999998E-2</v>
      </c>
      <c r="D4" s="4">
        <v>6.0999999999999999E-2</v>
      </c>
      <c r="E4" s="4">
        <v>4.8000000000000001E-2</v>
      </c>
    </row>
    <row r="5" spans="1:5" x14ac:dyDescent="0.2">
      <c r="A5" s="6" t="s">
        <v>30</v>
      </c>
      <c r="B5" s="4">
        <v>-0.12</v>
      </c>
      <c r="C5" s="4">
        <v>1.2999999999999999E-2</v>
      </c>
      <c r="D5" s="4">
        <v>8.9999999999999993E-3</v>
      </c>
      <c r="E5" s="4">
        <v>4.0000000000000001E-3</v>
      </c>
    </row>
    <row r="6" spans="1:5" x14ac:dyDescent="0.2">
      <c r="A6" s="6" t="s">
        <v>31</v>
      </c>
      <c r="B6" s="4">
        <v>0.34</v>
      </c>
      <c r="C6" s="4">
        <v>2.4E-2</v>
      </c>
      <c r="D6" s="4">
        <v>2.9000000000000001E-2</v>
      </c>
      <c r="E6" s="4">
        <v>3.1E-2</v>
      </c>
    </row>
    <row r="7" spans="1:5" x14ac:dyDescent="0.2">
      <c r="A7" s="6" t="s">
        <v>32</v>
      </c>
      <c r="B7" s="4">
        <v>0.27</v>
      </c>
      <c r="C7" s="4">
        <v>3.5999999999999997E-2</v>
      </c>
      <c r="D7" s="4">
        <v>4.1000000000000002E-2</v>
      </c>
      <c r="E7" s="4">
        <v>3.6999999999999998E-2</v>
      </c>
    </row>
    <row r="8" spans="1:5" x14ac:dyDescent="0.2">
      <c r="A8" s="2"/>
      <c r="B8" s="2"/>
      <c r="C8" s="2"/>
      <c r="D8" s="2"/>
      <c r="E8" s="2"/>
    </row>
    <row r="9" spans="1:5" ht="16" customHeight="1" x14ac:dyDescent="0.2">
      <c r="A9" s="6" t="s">
        <v>26</v>
      </c>
      <c r="B9" s="16" t="s">
        <v>71</v>
      </c>
      <c r="C9" s="6" t="s">
        <v>33</v>
      </c>
      <c r="D9" s="2"/>
      <c r="E9" s="2"/>
    </row>
    <row r="10" spans="1:5" x14ac:dyDescent="0.2">
      <c r="A10" s="4">
        <v>1</v>
      </c>
      <c r="B10" s="4">
        <v>0.02</v>
      </c>
      <c r="C10" s="15">
        <v>20000000</v>
      </c>
      <c r="D10" s="2"/>
      <c r="E10" s="2"/>
    </row>
    <row r="11" spans="1:5" x14ac:dyDescent="0.2">
      <c r="A11" s="4">
        <v>2</v>
      </c>
      <c r="B11" s="4">
        <v>0.04</v>
      </c>
      <c r="C11" s="15">
        <v>30000000</v>
      </c>
      <c r="D11" s="2"/>
      <c r="E11" s="2"/>
    </row>
    <row r="12" spans="1:5" x14ac:dyDescent="0.2">
      <c r="A12" s="4">
        <v>3</v>
      </c>
      <c r="B12" s="4">
        <v>0.03</v>
      </c>
      <c r="C12" s="15">
        <f>50000000*0.45+20000000*0.55</f>
        <v>33500000</v>
      </c>
      <c r="D12" s="2"/>
      <c r="E12" s="2"/>
    </row>
    <row r="13" spans="1:5" x14ac:dyDescent="0.2">
      <c r="A13" s="2"/>
      <c r="B13" s="2"/>
      <c r="C13" s="13"/>
      <c r="D13" s="2"/>
      <c r="E13" s="2"/>
    </row>
    <row r="14" spans="1:5" x14ac:dyDescent="0.2">
      <c r="A14" s="39" t="s">
        <v>34</v>
      </c>
      <c r="B14" s="40"/>
      <c r="C14" s="40"/>
      <c r="D14" s="40"/>
      <c r="E14" s="41"/>
    </row>
    <row r="15" spans="1:5" x14ac:dyDescent="0.2">
      <c r="A15" s="6" t="s">
        <v>26</v>
      </c>
      <c r="B15" s="6" t="s">
        <v>35</v>
      </c>
      <c r="C15" s="2"/>
      <c r="D15" s="2"/>
      <c r="E15" s="2"/>
    </row>
    <row r="16" spans="1:5" x14ac:dyDescent="0.2">
      <c r="A16" s="4">
        <v>1</v>
      </c>
      <c r="B16" s="4" cm="1">
        <f t="array" ref="B16">1+B10+SUM(C4:C7*B4:B7)</f>
        <v>1.0805199999999999</v>
      </c>
      <c r="C16" s="2"/>
      <c r="D16" s="2"/>
      <c r="E16" s="6" t="s">
        <v>36</v>
      </c>
    </row>
    <row r="17" spans="1:5" x14ac:dyDescent="0.2">
      <c r="A17" s="4">
        <v>2</v>
      </c>
      <c r="B17" s="4" cm="1">
        <f t="array" ref="B17">1+B11+SUM(D4:D7*B4:B7)</f>
        <v>1.1117000000000001</v>
      </c>
      <c r="C17" s="2"/>
      <c r="D17" s="2"/>
      <c r="E17" s="17" cm="1">
        <f t="array" ref="E17">SUM(C10:C12*B16:B18^(-A16:A18))</f>
        <v>68591592.56943813</v>
      </c>
    </row>
    <row r="18" spans="1:5" x14ac:dyDescent="0.2">
      <c r="A18" s="4">
        <v>3</v>
      </c>
      <c r="B18" s="4" cm="1">
        <f t="array" ref="B18">1+B12+SUM(E4:E7*B4:B7)</f>
        <v>1.0908500000000001</v>
      </c>
      <c r="C18" s="2"/>
      <c r="D18" s="2"/>
      <c r="E18" s="2"/>
    </row>
  </sheetData>
  <mergeCells count="3">
    <mergeCell ref="A1:E1"/>
    <mergeCell ref="A2:E2"/>
    <mergeCell ref="A14:E14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3E92-7F61-9E44-B8B5-92C133146454}">
  <sheetPr>
    <tabColor theme="5" tint="-0.249977111117893"/>
  </sheetPr>
  <dimension ref="A1:E11"/>
  <sheetViews>
    <sheetView zoomScale="130" zoomScaleNormal="130" workbookViewId="0">
      <pane ySplit="1" topLeftCell="A2" activePane="bottomLeft" state="frozen"/>
      <selection pane="bottomLeft" activeCell="D11" sqref="D11"/>
    </sheetView>
  </sheetViews>
  <sheetFormatPr baseColWidth="10" defaultRowHeight="16" x14ac:dyDescent="0.2"/>
  <cols>
    <col min="1" max="1" width="25.6640625" bestFit="1" customWidth="1"/>
    <col min="2" max="2" width="14.83203125" bestFit="1" customWidth="1"/>
    <col min="3" max="3" width="5" customWidth="1"/>
    <col min="4" max="4" width="24.1640625" bestFit="1" customWidth="1"/>
    <col min="5" max="5" width="18" bestFit="1" customWidth="1"/>
  </cols>
  <sheetData>
    <row r="1" spans="1:5" x14ac:dyDescent="0.2">
      <c r="A1" s="36" t="s">
        <v>40</v>
      </c>
      <c r="B1" s="36"/>
      <c r="C1" s="36"/>
      <c r="D1" s="36"/>
      <c r="E1" s="36"/>
    </row>
    <row r="2" spans="1:5" x14ac:dyDescent="0.2">
      <c r="A2" s="37" t="s">
        <v>1</v>
      </c>
      <c r="B2" s="37"/>
      <c r="D2" s="35" t="s">
        <v>43</v>
      </c>
      <c r="E2" s="35"/>
    </row>
    <row r="3" spans="1:5" ht="16" customHeight="1" x14ac:dyDescent="0.2">
      <c r="A3" s="6" t="s">
        <v>96</v>
      </c>
      <c r="B3" s="28">
        <v>90</v>
      </c>
      <c r="D3" s="20" t="s">
        <v>72</v>
      </c>
      <c r="E3" s="4">
        <f>B9+B8*(B10-B9)</f>
        <v>4.6700000000000005E-2</v>
      </c>
    </row>
    <row r="4" spans="1:5" x14ac:dyDescent="0.2">
      <c r="A4" s="6" t="s">
        <v>97</v>
      </c>
      <c r="B4" s="28">
        <v>7.4</v>
      </c>
      <c r="D4" s="6" t="s">
        <v>43</v>
      </c>
      <c r="E4" s="12">
        <f>E3-B7/B3</f>
        <v>-5.5197426457371898E-2</v>
      </c>
    </row>
    <row r="5" spans="1:5" x14ac:dyDescent="0.2">
      <c r="A5" s="6" t="s">
        <v>41</v>
      </c>
      <c r="B5" s="18">
        <v>410514384</v>
      </c>
    </row>
    <row r="6" spans="1:5" x14ac:dyDescent="0.2">
      <c r="A6" s="6" t="s">
        <v>44</v>
      </c>
      <c r="B6" s="19">
        <v>-12000000</v>
      </c>
    </row>
    <row r="7" spans="1:5" x14ac:dyDescent="0.2">
      <c r="A7" s="6" t="s">
        <v>64</v>
      </c>
      <c r="B7" s="30">
        <f>9.2+B6/B5</f>
        <v>9.1707683811634713</v>
      </c>
    </row>
    <row r="8" spans="1:5" x14ac:dyDescent="0.2">
      <c r="A8" s="6" t="s">
        <v>42</v>
      </c>
      <c r="B8" s="4">
        <v>0.89</v>
      </c>
    </row>
    <row r="9" spans="1:5" ht="16" customHeight="1" x14ac:dyDescent="0.2">
      <c r="A9" s="16" t="s">
        <v>71</v>
      </c>
      <c r="B9" s="4">
        <v>0.02</v>
      </c>
    </row>
    <row r="10" spans="1:5" x14ac:dyDescent="0.2">
      <c r="A10" s="6" t="s">
        <v>15</v>
      </c>
      <c r="B10" s="4">
        <v>0.05</v>
      </c>
    </row>
    <row r="11" spans="1:5" x14ac:dyDescent="0.2">
      <c r="A11" s="33" t="s">
        <v>8</v>
      </c>
      <c r="B11" s="33"/>
    </row>
  </sheetData>
  <mergeCells count="4">
    <mergeCell ref="A11:B11"/>
    <mergeCell ref="D2:E2"/>
    <mergeCell ref="A2:B2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07FF-728E-BE46-9ECC-610622E7EE41}">
  <sheetPr>
    <tabColor rgb="FF7030A0"/>
  </sheetPr>
  <dimension ref="A1:D33"/>
  <sheetViews>
    <sheetView zoomScale="129" zoomScaleNormal="129" workbookViewId="0">
      <pane ySplit="1" topLeftCell="A4" activePane="bottomLeft" state="frozen"/>
      <selection pane="bottomLeft" activeCell="F27" sqref="F27"/>
    </sheetView>
  </sheetViews>
  <sheetFormatPr baseColWidth="10" defaultRowHeight="16" x14ac:dyDescent="0.2"/>
  <cols>
    <col min="1" max="1" width="15.6640625" bestFit="1" customWidth="1"/>
    <col min="2" max="2" width="15.83203125" bestFit="1" customWidth="1"/>
    <col min="3" max="3" width="15.1640625" bestFit="1" customWidth="1"/>
    <col min="5" max="5" width="15.83203125" bestFit="1" customWidth="1"/>
  </cols>
  <sheetData>
    <row r="1" spans="1:4" x14ac:dyDescent="0.2">
      <c r="A1" s="38" t="s">
        <v>45</v>
      </c>
      <c r="B1" s="38"/>
      <c r="C1" s="38"/>
      <c r="D1" s="38"/>
    </row>
    <row r="2" spans="1:4" x14ac:dyDescent="0.2">
      <c r="A2" s="32" t="s">
        <v>1</v>
      </c>
      <c r="B2" s="32"/>
      <c r="C2" s="32"/>
      <c r="D2" s="32"/>
    </row>
    <row r="3" spans="1:4" x14ac:dyDescent="0.2">
      <c r="A3" s="42" t="s">
        <v>46</v>
      </c>
      <c r="B3" s="42"/>
      <c r="C3" s="42"/>
      <c r="D3" s="19">
        <v>800000</v>
      </c>
    </row>
    <row r="4" spans="1:4" x14ac:dyDescent="0.2">
      <c r="A4" s="42" t="s">
        <v>47</v>
      </c>
      <c r="B4" s="42"/>
      <c r="C4" s="42"/>
      <c r="D4" s="4">
        <v>0.4</v>
      </c>
    </row>
    <row r="5" spans="1:4" x14ac:dyDescent="0.2">
      <c r="A5" s="42" t="s">
        <v>48</v>
      </c>
      <c r="B5" s="42"/>
      <c r="C5" s="42"/>
      <c r="D5" s="4">
        <v>0.25</v>
      </c>
    </row>
    <row r="6" spans="1:4" x14ac:dyDescent="0.2">
      <c r="A6" s="42" t="s">
        <v>49</v>
      </c>
      <c r="B6" s="42"/>
      <c r="C6" s="42"/>
      <c r="D6" s="4">
        <v>0.15</v>
      </c>
    </row>
    <row r="7" spans="1:4" x14ac:dyDescent="0.2">
      <c r="A7" s="42" t="s">
        <v>50</v>
      </c>
      <c r="B7" s="42"/>
      <c r="C7" s="42"/>
      <c r="D7" s="4">
        <v>0.2</v>
      </c>
    </row>
    <row r="8" spans="1:4" x14ac:dyDescent="0.2">
      <c r="A8" s="2"/>
      <c r="B8" s="2"/>
      <c r="C8" s="2"/>
      <c r="D8" s="2"/>
    </row>
    <row r="9" spans="1:4" x14ac:dyDescent="0.2">
      <c r="A9" s="6" t="s">
        <v>51</v>
      </c>
      <c r="B9" s="6" t="s">
        <v>56</v>
      </c>
      <c r="C9" s="6" t="s">
        <v>61</v>
      </c>
      <c r="D9" s="6" t="s">
        <v>63</v>
      </c>
    </row>
    <row r="10" spans="1:4" x14ac:dyDescent="0.2">
      <c r="A10" s="6" t="s">
        <v>52</v>
      </c>
      <c r="B10" s="4" t="s">
        <v>57</v>
      </c>
      <c r="C10" s="4">
        <v>60</v>
      </c>
      <c r="D10" s="4">
        <v>1.1000000000000001</v>
      </c>
    </row>
    <row r="11" spans="1:4" x14ac:dyDescent="0.2">
      <c r="A11" s="6" t="s">
        <v>53</v>
      </c>
      <c r="B11" s="4" t="s">
        <v>58</v>
      </c>
      <c r="C11" s="4">
        <v>57</v>
      </c>
      <c r="D11" s="4">
        <v>1.3</v>
      </c>
    </row>
    <row r="12" spans="1:4" x14ac:dyDescent="0.2">
      <c r="A12" s="6" t="s">
        <v>54</v>
      </c>
      <c r="B12" s="4" t="s">
        <v>59</v>
      </c>
      <c r="C12" s="4">
        <v>41</v>
      </c>
      <c r="D12" s="4">
        <v>1.2</v>
      </c>
    </row>
    <row r="13" spans="1:4" x14ac:dyDescent="0.2">
      <c r="A13" s="6" t="s">
        <v>55</v>
      </c>
      <c r="B13" s="4" t="s">
        <v>60</v>
      </c>
      <c r="C13" s="4">
        <v>30</v>
      </c>
      <c r="D13" s="4">
        <v>0.6</v>
      </c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35" t="s">
        <v>9</v>
      </c>
      <c r="B17" s="35"/>
      <c r="C17" s="35"/>
      <c r="D17" s="35"/>
    </row>
    <row r="18" spans="1:4" x14ac:dyDescent="0.2">
      <c r="A18" s="42" t="s">
        <v>51</v>
      </c>
      <c r="B18" s="42"/>
      <c r="C18" s="42"/>
      <c r="D18" s="6" t="s">
        <v>62</v>
      </c>
    </row>
    <row r="19" spans="1:4" x14ac:dyDescent="0.2">
      <c r="A19" s="33" t="s">
        <v>52</v>
      </c>
      <c r="B19" s="33"/>
      <c r="C19" s="33"/>
      <c r="D19" s="4">
        <f>$C10/$D10</f>
        <v>54.54545454545454</v>
      </c>
    </row>
    <row r="20" spans="1:4" x14ac:dyDescent="0.2">
      <c r="A20" s="33" t="s">
        <v>53</v>
      </c>
      <c r="B20" s="33"/>
      <c r="C20" s="33"/>
      <c r="D20" s="4">
        <f>$C11/$D11</f>
        <v>43.846153846153847</v>
      </c>
    </row>
    <row r="21" spans="1:4" x14ac:dyDescent="0.2">
      <c r="A21" s="33" t="s">
        <v>54</v>
      </c>
      <c r="B21" s="33"/>
      <c r="C21" s="33"/>
      <c r="D21" s="4">
        <f>$C12/$D12</f>
        <v>34.166666666666671</v>
      </c>
    </row>
    <row r="22" spans="1:4" x14ac:dyDescent="0.2">
      <c r="A22" s="33" t="s">
        <v>55</v>
      </c>
      <c r="B22" s="33"/>
      <c r="C22" s="33"/>
      <c r="D22" s="4">
        <f>$C13/$D13</f>
        <v>50</v>
      </c>
    </row>
    <row r="23" spans="1:4" x14ac:dyDescent="0.2">
      <c r="A23" s="2"/>
      <c r="B23" s="2"/>
      <c r="C23" s="2"/>
      <c r="D23" s="2"/>
    </row>
    <row r="24" spans="1:4" x14ac:dyDescent="0.2">
      <c r="A24" s="35" t="s">
        <v>13</v>
      </c>
      <c r="B24" s="35"/>
      <c r="C24" s="5" t="s">
        <v>66</v>
      </c>
      <c r="D24" s="2"/>
    </row>
    <row r="25" spans="1:4" x14ac:dyDescent="0.2">
      <c r="A25" s="6" t="s">
        <v>56</v>
      </c>
      <c r="B25" s="6" t="s">
        <v>65</v>
      </c>
      <c r="C25" s="6" t="s">
        <v>68</v>
      </c>
      <c r="D25" s="2"/>
    </row>
    <row r="26" spans="1:4" x14ac:dyDescent="0.2">
      <c r="A26" s="6" t="s">
        <v>57</v>
      </c>
      <c r="B26" s="4">
        <f>$D$3*D4</f>
        <v>320000</v>
      </c>
      <c r="C26" s="4">
        <f>B26*D19</f>
        <v>17454545.454545453</v>
      </c>
      <c r="D26" s="2"/>
    </row>
    <row r="27" spans="1:4" x14ac:dyDescent="0.2">
      <c r="A27" s="6" t="s">
        <v>58</v>
      </c>
      <c r="B27" s="4">
        <f>$D$3*D5</f>
        <v>200000</v>
      </c>
      <c r="C27" s="4">
        <f t="shared" ref="C27:C29" si="0">B27*D20</f>
        <v>8769230.7692307699</v>
      </c>
      <c r="D27" s="2"/>
    </row>
    <row r="28" spans="1:4" x14ac:dyDescent="0.2">
      <c r="A28" s="6" t="s">
        <v>59</v>
      </c>
      <c r="B28" s="4">
        <f>$D$3*D6</f>
        <v>120000</v>
      </c>
      <c r="C28" s="4">
        <f t="shared" si="0"/>
        <v>4100000.0000000005</v>
      </c>
      <c r="D28" s="2"/>
    </row>
    <row r="29" spans="1:4" x14ac:dyDescent="0.2">
      <c r="A29" s="6" t="s">
        <v>60</v>
      </c>
      <c r="B29" s="4">
        <f>$D$3*D7</f>
        <v>160000</v>
      </c>
      <c r="C29" s="4">
        <f t="shared" si="0"/>
        <v>8000000</v>
      </c>
      <c r="D29" s="2"/>
    </row>
    <row r="30" spans="1:4" x14ac:dyDescent="0.2">
      <c r="A30" s="6" t="s">
        <v>69</v>
      </c>
      <c r="B30" s="2"/>
      <c r="C30" s="21">
        <f>SUM(C26:C29)</f>
        <v>38323776.223776221</v>
      </c>
      <c r="D30" s="2"/>
    </row>
    <row r="31" spans="1:4" x14ac:dyDescent="0.2">
      <c r="A31" s="2"/>
      <c r="B31" s="2"/>
      <c r="C31" s="31"/>
      <c r="D31" s="2"/>
    </row>
    <row r="32" spans="1:4" x14ac:dyDescent="0.2">
      <c r="A32" s="6" t="s">
        <v>98</v>
      </c>
      <c r="B32" s="2"/>
      <c r="C32" s="21">
        <v>50000000</v>
      </c>
      <c r="D32" s="2"/>
    </row>
    <row r="33" spans="1:4" x14ac:dyDescent="0.2">
      <c r="A33" s="6" t="s">
        <v>67</v>
      </c>
      <c r="B33" s="2"/>
      <c r="C33" s="22">
        <f>C30-C32</f>
        <v>-11676223.776223779</v>
      </c>
      <c r="D33" s="2"/>
    </row>
  </sheetData>
  <mergeCells count="14">
    <mergeCell ref="A21:C21"/>
    <mergeCell ref="A22:C22"/>
    <mergeCell ref="A1:D1"/>
    <mergeCell ref="A17:D17"/>
    <mergeCell ref="A24:B24"/>
    <mergeCell ref="A2:D2"/>
    <mergeCell ref="A3:C3"/>
    <mergeCell ref="A4:C4"/>
    <mergeCell ref="A5:C5"/>
    <mergeCell ref="A6:C6"/>
    <mergeCell ref="A7:C7"/>
    <mergeCell ref="A18:C18"/>
    <mergeCell ref="A19:C19"/>
    <mergeCell ref="A20:C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FC3D-056E-704E-87D3-6CB94F36D069}">
  <sheetPr>
    <tabColor theme="1"/>
  </sheetPr>
  <dimension ref="A1:G42"/>
  <sheetViews>
    <sheetView tabSelected="1" zoomScale="80" zoomScaleNormal="80" workbookViewId="0">
      <pane ySplit="1" topLeftCell="A2" activePane="bottomLeft" state="frozen"/>
      <selection pane="bottomLeft" activeCell="G28" sqref="G28"/>
    </sheetView>
  </sheetViews>
  <sheetFormatPr baseColWidth="10" defaultRowHeight="16" x14ac:dyDescent="0.2"/>
  <cols>
    <col min="1" max="1" width="21.83203125" customWidth="1"/>
    <col min="2" max="2" width="17.6640625" customWidth="1"/>
    <col min="3" max="3" width="18" customWidth="1"/>
    <col min="4" max="4" width="25.83203125" customWidth="1"/>
    <col min="5" max="5" width="21.83203125" customWidth="1"/>
    <col min="6" max="6" width="17" customWidth="1"/>
    <col min="7" max="7" width="16" bestFit="1" customWidth="1"/>
  </cols>
  <sheetData>
    <row r="1" spans="1:7" x14ac:dyDescent="0.2">
      <c r="A1" s="38" t="s">
        <v>74</v>
      </c>
      <c r="B1" s="38"/>
      <c r="C1" s="38"/>
      <c r="D1" s="38"/>
      <c r="E1" s="38"/>
      <c r="F1" s="38"/>
      <c r="G1" s="38"/>
    </row>
    <row r="2" spans="1:7" ht="16" customHeight="1" x14ac:dyDescent="0.2">
      <c r="A2" s="45" t="s">
        <v>84</v>
      </c>
      <c r="B2" s="45"/>
      <c r="C2" s="45"/>
      <c r="D2" s="2"/>
      <c r="E2" s="45" t="s">
        <v>83</v>
      </c>
      <c r="F2" s="45"/>
      <c r="G2" s="45"/>
    </row>
    <row r="3" spans="1:7" x14ac:dyDescent="0.2">
      <c r="A3" s="6" t="s">
        <v>77</v>
      </c>
      <c r="B3" s="23">
        <v>100000000</v>
      </c>
      <c r="C3" s="2"/>
      <c r="D3" s="2"/>
      <c r="E3" s="6" t="s">
        <v>77</v>
      </c>
      <c r="F3" s="23">
        <f>B3</f>
        <v>100000000</v>
      </c>
      <c r="G3" s="2"/>
    </row>
    <row r="4" spans="1:7" x14ac:dyDescent="0.2">
      <c r="A4" s="6" t="s">
        <v>78</v>
      </c>
      <c r="B4" s="23">
        <v>30000000</v>
      </c>
      <c r="C4" s="2"/>
      <c r="D4" s="2"/>
      <c r="E4" s="6" t="s">
        <v>78</v>
      </c>
      <c r="F4" s="27">
        <v>10000000</v>
      </c>
      <c r="G4" s="2"/>
    </row>
    <row r="5" spans="1:7" ht="32" customHeight="1" x14ac:dyDescent="0.2">
      <c r="A5" s="24" t="s">
        <v>85</v>
      </c>
      <c r="B5" s="23">
        <v>50000000</v>
      </c>
      <c r="C5" s="2"/>
      <c r="D5" s="2"/>
      <c r="E5" s="24" t="s">
        <v>85</v>
      </c>
      <c r="F5" s="27">
        <v>15000000</v>
      </c>
      <c r="G5" s="2"/>
    </row>
    <row r="6" spans="1:7" ht="32" customHeight="1" x14ac:dyDescent="0.2">
      <c r="A6" s="24" t="s">
        <v>80</v>
      </c>
      <c r="B6" s="4">
        <v>1.5</v>
      </c>
      <c r="C6" s="2"/>
      <c r="D6" s="2"/>
      <c r="E6" s="24" t="s">
        <v>80</v>
      </c>
      <c r="F6" s="4">
        <v>1.5</v>
      </c>
      <c r="G6" s="2"/>
    </row>
    <row r="7" spans="1:7" x14ac:dyDescent="0.2">
      <c r="A7" s="6" t="s">
        <v>81</v>
      </c>
      <c r="B7" s="4">
        <v>2.9</v>
      </c>
      <c r="C7" s="2"/>
      <c r="D7" s="2"/>
      <c r="E7" s="6" t="s">
        <v>81</v>
      </c>
      <c r="F7" s="4">
        <v>2.9</v>
      </c>
      <c r="G7" s="2"/>
    </row>
    <row r="8" spans="1:7" ht="16" customHeight="1" x14ac:dyDescent="0.2">
      <c r="A8" s="6" t="s">
        <v>70</v>
      </c>
      <c r="B8" s="9">
        <v>0.04</v>
      </c>
      <c r="C8" s="2"/>
      <c r="D8" s="2"/>
      <c r="E8" s="6" t="s">
        <v>70</v>
      </c>
      <c r="F8" s="9">
        <v>0.04</v>
      </c>
      <c r="G8" s="2"/>
    </row>
    <row r="9" spans="1:7" x14ac:dyDescent="0.2">
      <c r="A9" s="6" t="s">
        <v>82</v>
      </c>
      <c r="B9" s="25">
        <v>130000000</v>
      </c>
      <c r="C9" s="2"/>
      <c r="D9" s="2"/>
      <c r="E9" s="6" t="s">
        <v>82</v>
      </c>
      <c r="F9" s="25">
        <v>130000000</v>
      </c>
      <c r="G9" s="2"/>
    </row>
    <row r="10" spans="1:7" x14ac:dyDescent="0.2">
      <c r="A10" s="2"/>
      <c r="B10" s="2"/>
      <c r="C10" s="2"/>
      <c r="D10" s="2"/>
      <c r="E10" s="2"/>
      <c r="F10" s="2"/>
      <c r="G10" s="2"/>
    </row>
    <row r="11" spans="1:7" ht="32" customHeight="1" x14ac:dyDescent="0.2">
      <c r="A11" s="6" t="s">
        <v>20</v>
      </c>
      <c r="B11" s="24" t="s">
        <v>79</v>
      </c>
      <c r="C11" s="6" t="s">
        <v>15</v>
      </c>
      <c r="D11" s="2"/>
      <c r="E11" s="6" t="s">
        <v>20</v>
      </c>
      <c r="F11" s="24" t="s">
        <v>79</v>
      </c>
      <c r="G11" s="6" t="s">
        <v>15</v>
      </c>
    </row>
    <row r="12" spans="1:7" x14ac:dyDescent="0.2">
      <c r="A12" s="4">
        <v>1</v>
      </c>
      <c r="B12" s="4">
        <v>500000</v>
      </c>
      <c r="C12" s="4">
        <v>0.08</v>
      </c>
      <c r="D12" s="2"/>
      <c r="E12" s="4">
        <v>1</v>
      </c>
      <c r="F12" s="4">
        <v>0</v>
      </c>
      <c r="G12" s="4">
        <v>0.08</v>
      </c>
    </row>
    <row r="13" spans="1:7" x14ac:dyDescent="0.2">
      <c r="A13" s="4">
        <v>2</v>
      </c>
      <c r="B13" s="4">
        <f>B12/0.8</f>
        <v>625000</v>
      </c>
      <c r="C13" s="4">
        <v>7.0000000000000007E-2</v>
      </c>
      <c r="D13" s="2"/>
      <c r="E13" s="4">
        <v>2</v>
      </c>
      <c r="F13" s="4">
        <v>500000</v>
      </c>
      <c r="G13" s="4">
        <v>7.0000000000000007E-2</v>
      </c>
    </row>
    <row r="14" spans="1:7" x14ac:dyDescent="0.2">
      <c r="A14" s="4">
        <v>3</v>
      </c>
      <c r="B14" s="4">
        <f>B13</f>
        <v>625000</v>
      </c>
      <c r="C14" s="4">
        <v>7.0000000000000007E-2</v>
      </c>
      <c r="D14" s="2"/>
      <c r="E14" s="4">
        <v>3</v>
      </c>
      <c r="F14" s="4">
        <f>F13/0.8</f>
        <v>625000</v>
      </c>
      <c r="G14" s="4">
        <v>7.0000000000000007E-2</v>
      </c>
    </row>
    <row r="15" spans="1:7" x14ac:dyDescent="0.2">
      <c r="A15" s="4">
        <v>4</v>
      </c>
      <c r="B15" s="4">
        <f t="shared" ref="B15:B17" si="0">B14</f>
        <v>625000</v>
      </c>
      <c r="C15" s="4">
        <v>7.0000000000000007E-2</v>
      </c>
      <c r="D15" s="2"/>
      <c r="E15" s="4">
        <v>4</v>
      </c>
      <c r="F15" s="4">
        <v>625000</v>
      </c>
      <c r="G15" s="4">
        <v>7.0000000000000007E-2</v>
      </c>
    </row>
    <row r="16" spans="1:7" x14ac:dyDescent="0.2">
      <c r="A16" s="4">
        <v>5</v>
      </c>
      <c r="B16" s="4">
        <f t="shared" si="0"/>
        <v>625000</v>
      </c>
      <c r="C16" s="4">
        <v>7.0000000000000007E-2</v>
      </c>
      <c r="D16" s="2"/>
      <c r="E16" s="4">
        <v>5</v>
      </c>
      <c r="F16" s="4">
        <v>625000</v>
      </c>
      <c r="G16" s="4">
        <v>7.0000000000000007E-2</v>
      </c>
    </row>
    <row r="17" spans="1:7" x14ac:dyDescent="0.2">
      <c r="A17" s="4">
        <v>6</v>
      </c>
      <c r="B17" s="4">
        <f t="shared" si="0"/>
        <v>625000</v>
      </c>
      <c r="C17" s="4">
        <v>7.0000000000000007E-2</v>
      </c>
      <c r="D17" s="2"/>
      <c r="E17" s="4">
        <v>6</v>
      </c>
      <c r="F17" s="4">
        <v>625000</v>
      </c>
      <c r="G17" s="4">
        <v>7.0000000000000007E-2</v>
      </c>
    </row>
    <row r="18" spans="1:7" x14ac:dyDescent="0.2">
      <c r="A18" s="2"/>
      <c r="B18" s="2"/>
      <c r="C18" s="2"/>
      <c r="D18" s="2"/>
      <c r="E18" s="2"/>
      <c r="F18" s="2"/>
      <c r="G18" s="2"/>
    </row>
    <row r="19" spans="1:7" x14ac:dyDescent="0.2">
      <c r="A19" s="35" t="s">
        <v>86</v>
      </c>
      <c r="B19" s="35"/>
      <c r="C19" s="35"/>
      <c r="D19" s="35"/>
      <c r="E19" s="35"/>
      <c r="F19" s="2"/>
      <c r="G19" s="2"/>
    </row>
    <row r="20" spans="1:7" ht="32" customHeight="1" x14ac:dyDescent="0.2">
      <c r="A20" s="6" t="s">
        <v>20</v>
      </c>
      <c r="B20" s="24" t="s">
        <v>87</v>
      </c>
      <c r="C20" s="6" t="s">
        <v>33</v>
      </c>
      <c r="D20" s="6" t="s">
        <v>88</v>
      </c>
      <c r="E20" s="6" t="s">
        <v>89</v>
      </c>
      <c r="F20" s="2"/>
      <c r="G20" s="2"/>
    </row>
    <row r="21" spans="1:7" x14ac:dyDescent="0.2">
      <c r="A21" s="4">
        <v>0</v>
      </c>
      <c r="B21" s="4">
        <v>0</v>
      </c>
      <c r="C21" s="23">
        <f>-SUM(B3:B5)</f>
        <v>-180000000</v>
      </c>
      <c r="D21" s="4"/>
      <c r="E21" s="46" cm="1">
        <f t="array" ref="E21">C21+SUM(C22:C27*(((1+D22:D27)^(-A22:A27+1))*((1+D22)^(-1))))</f>
        <v>277888410.77040595</v>
      </c>
      <c r="F21" s="2"/>
      <c r="G21" s="2"/>
    </row>
    <row r="22" spans="1:7" x14ac:dyDescent="0.2">
      <c r="A22" s="4">
        <v>1</v>
      </c>
      <c r="B22" s="4">
        <f>$B12*$B$6/1000000</f>
        <v>0.75</v>
      </c>
      <c r="C22" s="26">
        <f>$B22*$B$9</f>
        <v>97500000</v>
      </c>
      <c r="D22" s="4">
        <f>$B$8+$B$7*($C12-$B$8)</f>
        <v>0.156</v>
      </c>
      <c r="E22" s="46"/>
      <c r="F22" s="2"/>
      <c r="G22" s="2"/>
    </row>
    <row r="23" spans="1:7" x14ac:dyDescent="0.2">
      <c r="A23" s="4">
        <v>2</v>
      </c>
      <c r="B23" s="4">
        <f t="shared" ref="B23:B27" si="1">$B13*$B$6/1000000</f>
        <v>0.9375</v>
      </c>
      <c r="C23" s="26">
        <f t="shared" ref="C23:C27" si="2">$B23*$B$9</f>
        <v>121875000</v>
      </c>
      <c r="D23" s="4">
        <f>$B$8+$B$7*($C13-$B$8)</f>
        <v>0.127</v>
      </c>
      <c r="E23" s="46"/>
      <c r="F23" s="2"/>
      <c r="G23" s="2"/>
    </row>
    <row r="24" spans="1:7" x14ac:dyDescent="0.2">
      <c r="A24" s="4">
        <v>3</v>
      </c>
      <c r="B24" s="4">
        <f t="shared" si="1"/>
        <v>0.9375</v>
      </c>
      <c r="C24" s="26">
        <f t="shared" si="2"/>
        <v>121875000</v>
      </c>
      <c r="D24" s="4">
        <f t="shared" ref="D24:D27" si="3">$B$8+$B$7*($C14-$B$8)</f>
        <v>0.127</v>
      </c>
      <c r="E24" s="46"/>
      <c r="F24" s="2"/>
      <c r="G24" s="2"/>
    </row>
    <row r="25" spans="1:7" x14ac:dyDescent="0.2">
      <c r="A25" s="4">
        <v>4</v>
      </c>
      <c r="B25" s="4">
        <f t="shared" si="1"/>
        <v>0.9375</v>
      </c>
      <c r="C25" s="26">
        <f t="shared" si="2"/>
        <v>121875000</v>
      </c>
      <c r="D25" s="4">
        <f t="shared" si="3"/>
        <v>0.127</v>
      </c>
      <c r="E25" s="46"/>
      <c r="F25" s="2"/>
      <c r="G25" s="2"/>
    </row>
    <row r="26" spans="1:7" x14ac:dyDescent="0.2">
      <c r="A26" s="4">
        <v>5</v>
      </c>
      <c r="B26" s="4">
        <f t="shared" si="1"/>
        <v>0.9375</v>
      </c>
      <c r="C26" s="26">
        <f t="shared" si="2"/>
        <v>121875000</v>
      </c>
      <c r="D26" s="4">
        <f t="shared" si="3"/>
        <v>0.127</v>
      </c>
      <c r="E26" s="46"/>
      <c r="F26" s="2"/>
      <c r="G26" s="2"/>
    </row>
    <row r="27" spans="1:7" x14ac:dyDescent="0.2">
      <c r="A27" s="4">
        <v>6</v>
      </c>
      <c r="B27" s="4">
        <f t="shared" si="1"/>
        <v>0.9375</v>
      </c>
      <c r="C27" s="26">
        <f t="shared" si="2"/>
        <v>121875000</v>
      </c>
      <c r="D27" s="4">
        <f t="shared" si="3"/>
        <v>0.127</v>
      </c>
      <c r="E27" s="46"/>
      <c r="F27" s="2"/>
      <c r="G27" s="2"/>
    </row>
    <row r="28" spans="1:7" x14ac:dyDescent="0.2">
      <c r="A28" s="2"/>
      <c r="B28" s="2"/>
      <c r="C28" s="2"/>
      <c r="D28" s="2"/>
      <c r="E28" s="2"/>
      <c r="F28" s="2"/>
      <c r="G28" s="2"/>
    </row>
    <row r="29" spans="1:7" x14ac:dyDescent="0.2">
      <c r="A29" s="44" t="s">
        <v>93</v>
      </c>
      <c r="B29" s="44"/>
      <c r="C29" s="44"/>
      <c r="D29" s="44"/>
      <c r="E29" s="44"/>
      <c r="F29" s="2"/>
      <c r="G29" s="2"/>
    </row>
    <row r="30" spans="1:7" ht="32" customHeight="1" x14ac:dyDescent="0.2">
      <c r="A30" s="6" t="s">
        <v>20</v>
      </c>
      <c r="B30" s="24" t="s">
        <v>87</v>
      </c>
      <c r="C30" s="6" t="s">
        <v>33</v>
      </c>
      <c r="D30" s="6" t="s">
        <v>88</v>
      </c>
      <c r="E30" s="6" t="s">
        <v>90</v>
      </c>
      <c r="F30" s="2"/>
      <c r="G30" s="2"/>
    </row>
    <row r="31" spans="1:7" x14ac:dyDescent="0.2">
      <c r="A31" s="4">
        <v>0</v>
      </c>
      <c r="B31" s="4">
        <v>0</v>
      </c>
      <c r="C31" s="23"/>
      <c r="D31" s="4"/>
      <c r="E31" s="47" cm="1">
        <f t="array" ref="E31">C32+SUM(C33:C37/((1+D33:D37)^(A33:A37-1)))</f>
        <v>285190786.34659636</v>
      </c>
      <c r="F31" s="2"/>
      <c r="G31" s="2"/>
    </row>
    <row r="32" spans="1:7" x14ac:dyDescent="0.2">
      <c r="A32" s="4">
        <v>1</v>
      </c>
      <c r="B32" s="4">
        <f>$F12*$F$6/1000000</f>
        <v>0</v>
      </c>
      <c r="C32" s="23">
        <f>-SUM(F3:F5)</f>
        <v>-125000000</v>
      </c>
      <c r="D32" s="4"/>
      <c r="E32" s="47"/>
      <c r="F32" s="2"/>
      <c r="G32" s="2"/>
    </row>
    <row r="33" spans="1:7" x14ac:dyDescent="0.2">
      <c r="A33" s="4">
        <v>2</v>
      </c>
      <c r="B33" s="4">
        <f t="shared" ref="B33:B37" si="4">$F13*$F$6/1000000</f>
        <v>0.75</v>
      </c>
      <c r="C33" s="26">
        <f>$B33*$F$9</f>
        <v>97500000</v>
      </c>
      <c r="D33" s="4">
        <f>$F$8+$F$7*($G13-$F$8)</f>
        <v>0.127</v>
      </c>
      <c r="E33" s="47"/>
      <c r="F33" s="2"/>
      <c r="G33" s="2"/>
    </row>
    <row r="34" spans="1:7" x14ac:dyDescent="0.2">
      <c r="A34" s="4">
        <v>3</v>
      </c>
      <c r="B34" s="4">
        <f t="shared" si="4"/>
        <v>0.9375</v>
      </c>
      <c r="C34" s="26">
        <f t="shared" ref="C34:C37" si="5">$B34*$F$9</f>
        <v>121875000</v>
      </c>
      <c r="D34" s="4">
        <f t="shared" ref="D34:D37" si="6">$F$8+$F$7*($G14-$F$8)</f>
        <v>0.127</v>
      </c>
      <c r="E34" s="47"/>
      <c r="F34" s="2"/>
      <c r="G34" s="2"/>
    </row>
    <row r="35" spans="1:7" x14ac:dyDescent="0.2">
      <c r="A35" s="4">
        <v>4</v>
      </c>
      <c r="B35" s="4">
        <f t="shared" si="4"/>
        <v>0.9375</v>
      </c>
      <c r="C35" s="26">
        <f t="shared" si="5"/>
        <v>121875000</v>
      </c>
      <c r="D35" s="4">
        <f t="shared" si="6"/>
        <v>0.127</v>
      </c>
      <c r="E35" s="47"/>
      <c r="F35" s="2"/>
      <c r="G35" s="2"/>
    </row>
    <row r="36" spans="1:7" x14ac:dyDescent="0.2">
      <c r="A36" s="4">
        <v>5</v>
      </c>
      <c r="B36" s="4">
        <f t="shared" si="4"/>
        <v>0.9375</v>
      </c>
      <c r="C36" s="26">
        <f t="shared" si="5"/>
        <v>121875000</v>
      </c>
      <c r="D36" s="4">
        <f>$F$8+$F$7*($G16-$F$8)</f>
        <v>0.127</v>
      </c>
      <c r="E36" s="47"/>
      <c r="F36" s="2"/>
      <c r="G36" s="2"/>
    </row>
    <row r="37" spans="1:7" x14ac:dyDescent="0.2">
      <c r="A37" s="4">
        <v>6</v>
      </c>
      <c r="B37" s="4">
        <f t="shared" si="4"/>
        <v>0.9375</v>
      </c>
      <c r="C37" s="26">
        <f t="shared" si="5"/>
        <v>121875000</v>
      </c>
      <c r="D37" s="4">
        <f t="shared" si="6"/>
        <v>0.127</v>
      </c>
      <c r="E37" s="47"/>
      <c r="F37" s="2"/>
      <c r="G37" s="2"/>
    </row>
    <row r="38" spans="1:7" x14ac:dyDescent="0.2">
      <c r="A38" s="2"/>
      <c r="B38" s="2"/>
      <c r="C38" s="2"/>
      <c r="D38" s="2"/>
      <c r="E38" s="2"/>
      <c r="F38" s="2"/>
      <c r="G38" s="2"/>
    </row>
    <row r="39" spans="1:7" x14ac:dyDescent="0.2">
      <c r="A39" s="6" t="s">
        <v>91</v>
      </c>
      <c r="B39" s="6" t="s">
        <v>89</v>
      </c>
      <c r="C39" s="43" t="s">
        <v>92</v>
      </c>
      <c r="D39" s="2"/>
      <c r="E39" s="2"/>
      <c r="F39" s="2"/>
      <c r="G39" s="2"/>
    </row>
    <row r="40" spans="1:7" x14ac:dyDescent="0.2">
      <c r="A40" s="4" t="s">
        <v>75</v>
      </c>
      <c r="B40" s="26">
        <f>E21</f>
        <v>277888410.77040595</v>
      </c>
      <c r="C40" s="43"/>
      <c r="D40" s="2"/>
      <c r="E40" s="2"/>
      <c r="F40" s="2"/>
      <c r="G40" s="2"/>
    </row>
    <row r="41" spans="1:7" x14ac:dyDescent="0.2">
      <c r="A41" s="4" t="s">
        <v>76</v>
      </c>
      <c r="B41" s="23">
        <f>E31/(1+F8)</f>
        <v>274221909.94865036</v>
      </c>
      <c r="C41" s="43"/>
      <c r="D41" s="2"/>
      <c r="E41" s="2"/>
      <c r="F41" s="2"/>
      <c r="G41" s="2"/>
    </row>
    <row r="42" spans="1:7" x14ac:dyDescent="0.2">
      <c r="A42" s="4" t="s">
        <v>94</v>
      </c>
      <c r="B42" s="23">
        <f>MAX(B41-B40,0)</f>
        <v>0</v>
      </c>
      <c r="C42" s="43"/>
      <c r="D42" s="2"/>
      <c r="E42" s="2"/>
      <c r="F42" s="2"/>
      <c r="G42" s="2"/>
    </row>
  </sheetData>
  <mergeCells count="8">
    <mergeCell ref="C39:C42"/>
    <mergeCell ref="A29:E29"/>
    <mergeCell ref="A19:E19"/>
    <mergeCell ref="A1:G1"/>
    <mergeCell ref="E2:G2"/>
    <mergeCell ref="A2:C2"/>
    <mergeCell ref="E21:E27"/>
    <mergeCell ref="E31:E37"/>
  </mergeCells>
  <pageMargins left="0.7" right="0.7" top="0.75" bottom="0.75" header="0.3" footer="0.3"/>
  <ignoredErrors>
    <ignoredError sqref="C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M.C.5.1</vt:lpstr>
      <vt:lpstr>M.C.5.2</vt:lpstr>
      <vt:lpstr>M.C.5.3</vt:lpstr>
      <vt:lpstr>M.C.5.4</vt:lpstr>
      <vt:lpstr>M.C.5.5</vt:lpstr>
      <vt:lpstr>M.C. 5.6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Бурдуков</dc:creator>
  <cp:lastModifiedBy>Олег Бурдуков</cp:lastModifiedBy>
  <dcterms:created xsi:type="dcterms:W3CDTF">2026-01-15T15:30:34Z</dcterms:created>
  <dcterms:modified xsi:type="dcterms:W3CDTF">2026-01-20T07:32:17Z</dcterms:modified>
</cp:coreProperties>
</file>