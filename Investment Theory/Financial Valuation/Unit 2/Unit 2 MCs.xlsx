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 Financial management and valuation/Interactive part/Unit 2/"/>
    </mc:Choice>
  </mc:AlternateContent>
  <xr:revisionPtr revIDLastSave="0" documentId="13_ncr:1_{C88DEAB0-A6C4-B743-81A1-EEAB9438119B}" xr6:coauthVersionLast="47" xr6:coauthVersionMax="47" xr10:uidLastSave="{00000000-0000-0000-0000-000000000000}"/>
  <bookViews>
    <workbookView xWindow="0" yWindow="740" windowWidth="29400" windowHeight="16620" activeTab="5" xr2:uid="{0EB2F9AC-9B70-E94B-A88D-20D47324D220}"/>
  </bookViews>
  <sheets>
    <sheet name="M.C. 2.1" sheetId="1" r:id="rId1"/>
    <sheet name="M.C. 2.2" sheetId="2" r:id="rId2"/>
    <sheet name="M.C.2.3" sheetId="3" r:id="rId3"/>
    <sheet name="M.C. 2.4" sheetId="4" r:id="rId4"/>
    <sheet name="M.C.2.5" sheetId="5" r:id="rId5"/>
    <sheet name="M.C.2.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 l="1"/>
  <c r="C26" i="1" l="1"/>
  <c r="B26" i="1"/>
  <c r="B18" i="6"/>
  <c r="B19" i="6"/>
  <c r="B9" i="6"/>
  <c r="C13" i="2"/>
  <c r="B30" i="1"/>
  <c r="E7" i="4"/>
  <c r="E6" i="4"/>
  <c r="E3" i="4"/>
  <c r="B29" i="1"/>
  <c r="B25" i="1"/>
  <c r="C49" i="5"/>
  <c r="B49" i="5"/>
  <c r="B50" i="5"/>
  <c r="G7" i="2"/>
  <c r="G5" i="2"/>
  <c r="B20" i="6"/>
  <c r="B17" i="6"/>
  <c r="B12" i="6" l="1"/>
  <c r="B11" i="6"/>
  <c r="B10" i="6"/>
  <c r="C47" i="5"/>
  <c r="B47" i="5"/>
  <c r="B55" i="5" s="1"/>
  <c r="B30" i="5"/>
  <c r="B31" i="5"/>
  <c r="B32" i="5"/>
  <c r="B33" i="5"/>
  <c r="B34" i="5"/>
  <c r="B35" i="5"/>
  <c r="B36" i="5"/>
  <c r="B37" i="5"/>
  <c r="B38" i="5"/>
  <c r="B39" i="5"/>
  <c r="B40" i="5"/>
  <c r="B41" i="5"/>
  <c r="B42" i="5"/>
  <c r="B29" i="5"/>
  <c r="B12" i="5"/>
  <c r="B13" i="5"/>
  <c r="B14" i="5"/>
  <c r="B15" i="5"/>
  <c r="B16" i="5"/>
  <c r="B17" i="5"/>
  <c r="B18" i="5"/>
  <c r="B19" i="5"/>
  <c r="B20" i="5"/>
  <c r="B21" i="5"/>
  <c r="B22" i="5"/>
  <c r="B23" i="5"/>
  <c r="B24" i="5"/>
  <c r="B11" i="5"/>
  <c r="C50" i="5" l="1"/>
  <c r="C55" i="5" s="1"/>
  <c r="E4" i="4"/>
  <c r="E17" i="3"/>
  <c r="C15" i="2"/>
  <c r="C14" i="2"/>
  <c r="D36" i="1"/>
  <c r="C36" i="1"/>
  <c r="C25" i="1"/>
  <c r="D14" i="1"/>
  <c r="E21" i="3"/>
  <c r="E22" i="3" s="1"/>
  <c r="E18" i="3"/>
  <c r="E19" i="3" s="1"/>
  <c r="E15" i="3"/>
  <c r="I7" i="2"/>
  <c r="I5" i="2"/>
  <c r="H5" i="2"/>
  <c r="D18" i="1"/>
  <c r="B17" i="4" l="1"/>
  <c r="D25" i="1"/>
  <c r="E20" i="3"/>
  <c r="E16" i="3"/>
  <c r="B12" i="4" l="1"/>
  <c r="D12" i="4"/>
  <c r="C12" i="4"/>
  <c r="B18" i="4"/>
  <c r="B13" i="4" s="1"/>
  <c r="E23" i="3"/>
  <c r="D26" i="1"/>
  <c r="B14" i="4" l="1"/>
  <c r="D13" i="4"/>
  <c r="D14" i="4" s="1"/>
  <c r="C13" i="4"/>
  <c r="C1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C4" authorId="0" shapeId="0" xr:uid="{4921C2FA-3636-3F44-9531-D2E9642D8DCB}">
      <text>
        <r>
          <rPr>
            <b/>
            <sz val="10"/>
            <color rgb="FF000000"/>
            <rFont val="Tahoma"/>
            <family val="2"/>
          </rPr>
          <t>Worth mentioning:</t>
        </r>
        <r>
          <rPr>
            <sz val="10"/>
            <color rgb="FF000000"/>
            <rFont val="Tahoma"/>
            <family val="2"/>
          </rPr>
          <t xml:space="preserve">
</t>
        </r>
        <r>
          <rPr>
            <sz val="10"/>
            <color rgb="FF000000"/>
            <rFont val="Tahoma"/>
            <family val="2"/>
          </rPr>
          <t>The option is now at the money (ATM)</t>
        </r>
      </text>
    </comment>
  </commentList>
</comments>
</file>

<file path=xl/sharedStrings.xml><?xml version="1.0" encoding="utf-8"?>
<sst xmlns="http://schemas.openxmlformats.org/spreadsheetml/2006/main" count="208" uniqueCount="142">
  <si>
    <t>Mini-case 2.1</t>
  </si>
  <si>
    <t>General data</t>
  </si>
  <si>
    <t>Eurostoxx 50</t>
  </si>
  <si>
    <t>T = 0</t>
  </si>
  <si>
    <t>T = 1</t>
  </si>
  <si>
    <t>Principal</t>
  </si>
  <si>
    <t>Interest on principal</t>
  </si>
  <si>
    <t>per-point-increase premium (€)</t>
  </si>
  <si>
    <t>Structured bond</t>
  </si>
  <si>
    <t>Risk-free asset</t>
  </si>
  <si>
    <t>interest rate</t>
  </si>
  <si>
    <t>Binomial tree of the structured bond</t>
  </si>
  <si>
    <t>up</t>
  </si>
  <si>
    <t>down</t>
  </si>
  <si>
    <t>Tracking portfolio</t>
  </si>
  <si>
    <t>up-state</t>
  </si>
  <si>
    <t>down-state</t>
  </si>
  <si>
    <t>∆</t>
  </si>
  <si>
    <t>B</t>
  </si>
  <si>
    <t xml:space="preserve"> Missing variables</t>
  </si>
  <si>
    <t>TASK 1</t>
  </si>
  <si>
    <t>TASK 2</t>
  </si>
  <si>
    <t>TASK 3</t>
  </si>
  <si>
    <t>PV of the structured bond</t>
  </si>
  <si>
    <t>action \ date</t>
  </si>
  <si>
    <t>object \ date</t>
  </si>
  <si>
    <t>TASK 4</t>
  </si>
  <si>
    <r>
      <t>S</t>
    </r>
    <r>
      <rPr>
        <sz val="8"/>
        <color theme="1"/>
        <rFont val="Aptos Narrow (Body)"/>
      </rPr>
      <t>0</t>
    </r>
  </si>
  <si>
    <r>
      <t>S</t>
    </r>
    <r>
      <rPr>
        <sz val="8"/>
        <color theme="1"/>
        <rFont val="Aptos Narrow (Body)"/>
      </rPr>
      <t>u</t>
    </r>
  </si>
  <si>
    <r>
      <t>S</t>
    </r>
    <r>
      <rPr>
        <sz val="8"/>
        <color theme="1"/>
        <rFont val="Aptos Narrow (Body)"/>
      </rPr>
      <t>d</t>
    </r>
  </si>
  <si>
    <r>
      <t>V</t>
    </r>
    <r>
      <rPr>
        <sz val="8"/>
        <color theme="1"/>
        <rFont val="Aptos Narrow (Body)"/>
      </rPr>
      <t>u</t>
    </r>
    <r>
      <rPr>
        <sz val="12"/>
        <color theme="1"/>
        <rFont val="Aptos Narrow"/>
        <family val="2"/>
        <scheme val="minor"/>
      </rPr>
      <t xml:space="preserve"> =</t>
    </r>
  </si>
  <si>
    <r>
      <t>V</t>
    </r>
    <r>
      <rPr>
        <sz val="8"/>
        <color theme="1"/>
        <rFont val="Aptos Narrow (Body)"/>
      </rPr>
      <t>d</t>
    </r>
    <r>
      <rPr>
        <sz val="12"/>
        <color theme="1"/>
        <rFont val="Aptos Narrow"/>
        <family val="2"/>
        <scheme val="minor"/>
      </rPr>
      <t xml:space="preserve"> =</t>
    </r>
  </si>
  <si>
    <r>
      <t>V</t>
    </r>
    <r>
      <rPr>
        <sz val="8"/>
        <color theme="1"/>
        <rFont val="Aptos Narrow (Body)"/>
      </rPr>
      <t>0</t>
    </r>
    <r>
      <rPr>
        <sz val="12"/>
        <color theme="1"/>
        <rFont val="Aptos Narrow"/>
        <family val="2"/>
        <scheme val="minor"/>
      </rPr>
      <t xml:space="preserve"> - ?</t>
    </r>
  </si>
  <si>
    <r>
      <t>V</t>
    </r>
    <r>
      <rPr>
        <sz val="8"/>
        <color theme="1"/>
        <rFont val="Aptos Narrow (Body)"/>
      </rPr>
      <t>0</t>
    </r>
    <r>
      <rPr>
        <sz val="12"/>
        <color theme="1"/>
        <rFont val="Aptos Narrow"/>
        <family val="2"/>
        <scheme val="minor"/>
      </rPr>
      <t xml:space="preserve"> (PV)</t>
    </r>
  </si>
  <si>
    <t>Mini-case 2.2</t>
  </si>
  <si>
    <t>Data</t>
  </si>
  <si>
    <t>The underlying</t>
  </si>
  <si>
    <t>V0</t>
  </si>
  <si>
    <t>?</t>
  </si>
  <si>
    <t>Other variables</t>
  </si>
  <si>
    <t>_</t>
  </si>
  <si>
    <t>? (1)</t>
  </si>
  <si>
    <t>? (2)</t>
  </si>
  <si>
    <t>? (3)</t>
  </si>
  <si>
    <t>1)</t>
  </si>
  <si>
    <t>B=</t>
  </si>
  <si>
    <t>borrow B at risk free [B*(1+rf)^T]</t>
  </si>
  <si>
    <t>Buy ∆ of underlying [∆*S0]</t>
  </si>
  <si>
    <t>2)</t>
  </si>
  <si>
    <t>V</t>
  </si>
  <si>
    <t>3)</t>
  </si>
  <si>
    <t>Solutions</t>
  </si>
  <si>
    <t>Action\Date</t>
  </si>
  <si>
    <r>
      <t>r</t>
    </r>
    <r>
      <rPr>
        <sz val="8"/>
        <color theme="1"/>
        <rFont val="Aptos Narrow (Body)"/>
      </rPr>
      <t>f</t>
    </r>
    <r>
      <rPr>
        <sz val="12"/>
        <color theme="1"/>
        <rFont val="Aptos Narrow"/>
        <family val="2"/>
        <scheme val="minor"/>
      </rPr>
      <t>=</t>
    </r>
  </si>
  <si>
    <r>
      <t>V</t>
    </r>
    <r>
      <rPr>
        <sz val="8"/>
        <color theme="1"/>
        <rFont val="Aptos Narrow (Body)"/>
      </rPr>
      <t>u</t>
    </r>
    <r>
      <rPr>
        <sz val="12"/>
        <color theme="1"/>
        <rFont val="Aptos Narrow"/>
        <family val="2"/>
        <scheme val="minor"/>
      </rPr>
      <t>=</t>
    </r>
  </si>
  <si>
    <r>
      <t>V</t>
    </r>
    <r>
      <rPr>
        <sz val="8"/>
        <color theme="1"/>
        <rFont val="Aptos Narrow (Body)"/>
      </rPr>
      <t>0</t>
    </r>
  </si>
  <si>
    <r>
      <t>V</t>
    </r>
    <r>
      <rPr>
        <sz val="8"/>
        <color theme="1"/>
        <rFont val="Aptos Narrow (Body)"/>
      </rPr>
      <t>u</t>
    </r>
  </si>
  <si>
    <r>
      <t>V</t>
    </r>
    <r>
      <rPr>
        <sz val="8"/>
        <color theme="1"/>
        <rFont val="Aptos Narrow (Body)"/>
      </rPr>
      <t>d</t>
    </r>
  </si>
  <si>
    <r>
      <t>Buy ∆ of underlying [∆*S</t>
    </r>
    <r>
      <rPr>
        <sz val="8"/>
        <color theme="1"/>
        <rFont val="Aptos Narrow (Body)"/>
      </rPr>
      <t>0</t>
    </r>
    <r>
      <rPr>
        <sz val="12"/>
        <color theme="1"/>
        <rFont val="Aptos Narrow"/>
        <family val="2"/>
        <scheme val="minor"/>
      </rPr>
      <t>]</t>
    </r>
  </si>
  <si>
    <r>
      <t>Borrow B at risk free [B*(1+r</t>
    </r>
    <r>
      <rPr>
        <sz val="8"/>
        <color theme="1"/>
        <rFont val="Aptos Narrow (Body)"/>
      </rPr>
      <t>f</t>
    </r>
    <r>
      <rPr>
        <sz val="12"/>
        <color theme="1"/>
        <rFont val="Aptos Narrow"/>
        <family val="2"/>
        <scheme val="minor"/>
      </rPr>
      <t>)^T]</t>
    </r>
  </si>
  <si>
    <t>Mini-case 2.3</t>
  </si>
  <si>
    <t>Risk-free rate per period</t>
  </si>
  <si>
    <t>Number of priods per year</t>
  </si>
  <si>
    <t>Face Value (€)</t>
  </si>
  <si>
    <t>Lower bound for the full principal payment (€)</t>
  </si>
  <si>
    <t>Solution</t>
  </si>
  <si>
    <t>Firm value</t>
  </si>
  <si>
    <t>Bond value</t>
  </si>
  <si>
    <t>Vuu</t>
  </si>
  <si>
    <t>Vud=Vdu</t>
  </si>
  <si>
    <t>Vdd</t>
  </si>
  <si>
    <t>Mini-case 2.4</t>
  </si>
  <si>
    <t>Strike of the put (€)</t>
  </si>
  <si>
    <t>Action \ Date</t>
  </si>
  <si>
    <t>Missing variables</t>
  </si>
  <si>
    <t>Variables for computations</t>
  </si>
  <si>
    <t>Deposit in the ZCB</t>
  </si>
  <si>
    <t>If the bond is offered in the market at €1200, then there exists an arbitrage opportunity. In order to use it, an investor should short the bond and invest €1152,43 in the tracking portfolio. The rest of the price that investor gains from the shorting can remain on the balance, while the future payoffs from the tracking portfolio fully cover her exposure in the short position</t>
  </si>
  <si>
    <r>
      <t>r</t>
    </r>
    <r>
      <rPr>
        <sz val="8"/>
        <color theme="1"/>
        <rFont val="Aptos Narrow (Body)"/>
      </rPr>
      <t>f</t>
    </r>
  </si>
  <si>
    <r>
      <t>d=S</t>
    </r>
    <r>
      <rPr>
        <sz val="8"/>
        <color theme="1"/>
        <rFont val="Aptos Narrow (Body)"/>
      </rPr>
      <t>d</t>
    </r>
    <r>
      <rPr>
        <sz val="12"/>
        <color theme="1"/>
        <rFont val="Aptos Narrow"/>
        <family val="2"/>
        <scheme val="minor"/>
      </rPr>
      <t>/S</t>
    </r>
    <r>
      <rPr>
        <sz val="8"/>
        <color theme="1"/>
        <rFont val="Aptos Narrow (Body)"/>
      </rPr>
      <t>0</t>
    </r>
  </si>
  <si>
    <r>
      <t>u=S</t>
    </r>
    <r>
      <rPr>
        <sz val="8"/>
        <color theme="1"/>
        <rFont val="Aptos Narrow (Body)"/>
      </rPr>
      <t>u</t>
    </r>
    <r>
      <rPr>
        <sz val="12"/>
        <color theme="1"/>
        <rFont val="Aptos Narrow"/>
        <family val="2"/>
        <scheme val="minor"/>
      </rPr>
      <t>/S</t>
    </r>
    <r>
      <rPr>
        <sz val="8"/>
        <color theme="1"/>
        <rFont val="Aptos Narrow (Body)"/>
      </rPr>
      <t>0</t>
    </r>
  </si>
  <si>
    <r>
      <t>V</t>
    </r>
    <r>
      <rPr>
        <sz val="8"/>
        <color theme="1"/>
        <rFont val="Aptos Narrow (Body)"/>
      </rPr>
      <t>T</t>
    </r>
    <r>
      <rPr>
        <sz val="12"/>
        <color theme="1"/>
        <rFont val="Aptos Narrow"/>
        <family val="2"/>
        <scheme val="minor"/>
      </rPr>
      <t xml:space="preserve"> (PV)</t>
    </r>
  </si>
  <si>
    <t>Hold ∆ in the underlying stock</t>
  </si>
  <si>
    <t>Mini-case 2.5</t>
  </si>
  <si>
    <t>Given data</t>
  </si>
  <si>
    <t>NASDAQ - 100</t>
  </si>
  <si>
    <t>NVIDIA Corp.</t>
  </si>
  <si>
    <t>data\instrument</t>
  </si>
  <si>
    <t>Payoff ratio</t>
  </si>
  <si>
    <t>Strike price (K, $)</t>
  </si>
  <si>
    <t>Payoff</t>
  </si>
  <si>
    <t>The level of the underlying and the corresponding payoff</t>
  </si>
  <si>
    <t>The payoff profile of NASDAQ-100</t>
  </si>
  <si>
    <t>The payoff profile of NVIDIA stock</t>
  </si>
  <si>
    <t>TASK 1a</t>
  </si>
  <si>
    <t>TASK B</t>
  </si>
  <si>
    <t>Data\Instrument</t>
  </si>
  <si>
    <t>NASDAQ-100</t>
  </si>
  <si>
    <t>NVIDIA stock</t>
  </si>
  <si>
    <t>Level after the 30%-decrease</t>
  </si>
  <si>
    <t>Amount to hedge ($)</t>
  </si>
  <si>
    <t>Number of each option needed</t>
  </si>
  <si>
    <t>Hedging</t>
  </si>
  <si>
    <t>Comparing the price of 2 hedging strategies</t>
  </si>
  <si>
    <t xml:space="preserve">Basically, the price difference has a couple of reasons. First of all, the nominal difference between strike prices and after-decrease-level of both underlyings on the market is vast. For the considered ETF it's 3300 ($ hedged) and for the given stock it's 7 ($ hedged). Even considering the payoff ratio of 0,01 we get 0,01 * 3300 = 33, which is anyway bigger than 7. Secondly, The price for the NVIDIA stock option is circa twice as large as the price for the NASDAQ option. </t>
  </si>
  <si>
    <r>
      <t>Current underlying price (S</t>
    </r>
    <r>
      <rPr>
        <sz val="8"/>
        <color theme="1"/>
        <rFont val="Aptos Narrow (Body)"/>
      </rPr>
      <t>0</t>
    </r>
    <r>
      <rPr>
        <sz val="12"/>
        <color theme="1"/>
        <rFont val="Aptos Narrow"/>
        <family val="2"/>
        <scheme val="minor"/>
      </rPr>
      <t>, $)</t>
    </r>
  </si>
  <si>
    <r>
      <t>Current option price (V</t>
    </r>
    <r>
      <rPr>
        <sz val="8"/>
        <color theme="1"/>
        <rFont val="Aptos Narrow (Body)"/>
      </rPr>
      <t>0</t>
    </r>
    <r>
      <rPr>
        <sz val="12"/>
        <color theme="1"/>
        <rFont val="Aptos Narrow"/>
        <family val="2"/>
        <scheme val="minor"/>
      </rPr>
      <t xml:space="preserve"> €)</t>
    </r>
  </si>
  <si>
    <t>Price for the hedging strategy (€)</t>
  </si>
  <si>
    <t>Mini-case 2.6</t>
  </si>
  <si>
    <t>Type of the option</t>
  </si>
  <si>
    <t>WU stock</t>
  </si>
  <si>
    <t>Maturity (in years)</t>
  </si>
  <si>
    <t>European call</t>
  </si>
  <si>
    <t>Strike price (K; $)</t>
  </si>
  <si>
    <t>Risk-free rate (per annum)</t>
  </si>
  <si>
    <t>TASK A</t>
  </si>
  <si>
    <t>The put-call parity</t>
  </si>
  <si>
    <t>Rearranged formula</t>
  </si>
  <si>
    <t>PV(K)</t>
  </si>
  <si>
    <t>TASK C</t>
  </si>
  <si>
    <t>Inputs adjustment</t>
  </si>
  <si>
    <t>Strike price (K) new</t>
  </si>
  <si>
    <r>
      <t>C</t>
    </r>
    <r>
      <rPr>
        <sz val="8"/>
        <color theme="1"/>
        <rFont val="Aptos Narrow (Body)"/>
      </rPr>
      <t>0</t>
    </r>
  </si>
  <si>
    <r>
      <t>Price of the underlying (S</t>
    </r>
    <r>
      <rPr>
        <sz val="8"/>
        <color theme="1"/>
        <rFont val="Aptos Narrow (Body)"/>
      </rPr>
      <t>0</t>
    </r>
    <r>
      <rPr>
        <sz val="12"/>
        <color theme="1"/>
        <rFont val="Aptos Narrow"/>
        <family val="2"/>
        <scheme val="minor"/>
      </rPr>
      <t>; $)</t>
    </r>
  </si>
  <si>
    <r>
      <t>Price of the option (C</t>
    </r>
    <r>
      <rPr>
        <sz val="8"/>
        <color theme="1"/>
        <rFont val="Aptos Narrow (Body)"/>
      </rPr>
      <t>0</t>
    </r>
    <r>
      <rPr>
        <sz val="12"/>
        <color theme="1"/>
        <rFont val="Aptos Narrow"/>
        <family val="2"/>
        <scheme val="minor"/>
      </rPr>
      <t>; $)</t>
    </r>
  </si>
  <si>
    <r>
      <t>[C</t>
    </r>
    <r>
      <rPr>
        <sz val="8"/>
        <color theme="1"/>
        <rFont val="Aptos Narrow (Body)"/>
      </rPr>
      <t xml:space="preserve">0 </t>
    </r>
    <r>
      <rPr>
        <sz val="12"/>
        <color theme="1"/>
        <rFont val="Aptos Narrow"/>
        <family val="2"/>
        <scheme val="minor"/>
      </rPr>
      <t>- P</t>
    </r>
    <r>
      <rPr>
        <sz val="8"/>
        <color theme="1"/>
        <rFont val="Aptos Narrow (Body)"/>
      </rPr>
      <t>0</t>
    </r>
    <r>
      <rPr>
        <sz val="12"/>
        <color theme="1"/>
        <rFont val="Aptos Narrow"/>
        <family val="2"/>
        <scheme val="minor"/>
      </rPr>
      <t xml:space="preserve"> = S</t>
    </r>
    <r>
      <rPr>
        <sz val="8"/>
        <color theme="1"/>
        <rFont val="Aptos Narrow (Body)"/>
      </rPr>
      <t>0</t>
    </r>
    <r>
      <rPr>
        <sz val="12"/>
        <color theme="1"/>
        <rFont val="Aptos Narrow"/>
        <family val="2"/>
        <scheme val="minor"/>
      </rPr>
      <t xml:space="preserve"> - PV(K)]</t>
    </r>
  </si>
  <si>
    <r>
      <t>[P</t>
    </r>
    <r>
      <rPr>
        <sz val="8"/>
        <color theme="1"/>
        <rFont val="Aptos Narrow (Body)"/>
      </rPr>
      <t>0</t>
    </r>
    <r>
      <rPr>
        <sz val="12"/>
        <color theme="1"/>
        <rFont val="Aptos Narrow"/>
        <family val="2"/>
        <scheme val="minor"/>
      </rPr>
      <t xml:space="preserve"> = C</t>
    </r>
    <r>
      <rPr>
        <sz val="8"/>
        <color theme="1"/>
        <rFont val="Aptos Narrow (Body)"/>
      </rPr>
      <t>0</t>
    </r>
    <r>
      <rPr>
        <sz val="12"/>
        <color theme="1"/>
        <rFont val="Aptos Narrow"/>
        <family val="2"/>
        <scheme val="minor"/>
      </rPr>
      <t xml:space="preserve"> - S</t>
    </r>
    <r>
      <rPr>
        <sz val="8"/>
        <color theme="1"/>
        <rFont val="Aptos Narrow (Body)"/>
      </rPr>
      <t>0</t>
    </r>
    <r>
      <rPr>
        <sz val="12"/>
        <color theme="1"/>
        <rFont val="Aptos Narrow"/>
        <family val="2"/>
        <scheme val="minor"/>
      </rPr>
      <t xml:space="preserve"> + PV(K)]</t>
    </r>
  </si>
  <si>
    <r>
      <t>P</t>
    </r>
    <r>
      <rPr>
        <sz val="8"/>
        <color theme="1"/>
        <rFont val="Aptos Narrow (Body)"/>
      </rPr>
      <t>0</t>
    </r>
  </si>
  <si>
    <r>
      <t>[C</t>
    </r>
    <r>
      <rPr>
        <sz val="8"/>
        <color theme="1"/>
        <rFont val="Aptos Narrow (Body)"/>
      </rPr>
      <t>0</t>
    </r>
    <r>
      <rPr>
        <sz val="12"/>
        <color theme="1"/>
        <rFont val="Aptos Narrow"/>
        <family val="2"/>
        <scheme val="minor"/>
      </rPr>
      <t xml:space="preserve"> - P</t>
    </r>
    <r>
      <rPr>
        <sz val="8"/>
        <color theme="1"/>
        <rFont val="Aptos Narrow (Body)"/>
      </rPr>
      <t>0</t>
    </r>
    <r>
      <rPr>
        <sz val="12"/>
        <color theme="1"/>
        <rFont val="Aptos Narrow"/>
        <family val="2"/>
        <scheme val="minor"/>
      </rPr>
      <t xml:space="preserve"> = S</t>
    </r>
    <r>
      <rPr>
        <sz val="8"/>
        <color theme="1"/>
        <rFont val="Aptos Narrow (Body)"/>
      </rPr>
      <t>0</t>
    </r>
    <r>
      <rPr>
        <sz val="12"/>
        <color theme="1"/>
        <rFont val="Aptos Narrow"/>
        <family val="2"/>
        <scheme val="minor"/>
      </rPr>
      <t xml:space="preserve"> - PV(K)]</t>
    </r>
  </si>
  <si>
    <r>
      <t>C</t>
    </r>
    <r>
      <rPr>
        <sz val="8"/>
        <color theme="1"/>
        <rFont val="Aptos Narrow (Body)"/>
      </rPr>
      <t>0</t>
    </r>
    <r>
      <rPr>
        <sz val="12"/>
        <color theme="1"/>
        <rFont val="Aptos Narrow"/>
        <family val="2"/>
        <scheme val="minor"/>
      </rPr>
      <t xml:space="preserve"> - P</t>
    </r>
    <r>
      <rPr>
        <sz val="8"/>
        <color theme="1"/>
        <rFont val="Aptos Narrow (Body)"/>
      </rPr>
      <t>0</t>
    </r>
  </si>
  <si>
    <r>
      <t>S</t>
    </r>
    <r>
      <rPr>
        <sz val="8"/>
        <color theme="1"/>
        <rFont val="Aptos Narrow (Body)"/>
      </rPr>
      <t>0</t>
    </r>
    <r>
      <rPr>
        <sz val="12"/>
        <color theme="1"/>
        <rFont val="Aptos Narrow"/>
        <family val="2"/>
        <scheme val="minor"/>
      </rPr>
      <t xml:space="preserve"> - PV(K)</t>
    </r>
  </si>
  <si>
    <r>
      <t>π</t>
    </r>
    <r>
      <rPr>
        <sz val="8"/>
        <color theme="1"/>
        <rFont val="Aptos Narrow (Body)"/>
      </rPr>
      <t>0</t>
    </r>
  </si>
  <si>
    <r>
      <t>(1-π)</t>
    </r>
    <r>
      <rPr>
        <sz val="8"/>
        <color theme="1"/>
        <rFont val="Aptos Narrow (Body)"/>
      </rPr>
      <t>0</t>
    </r>
  </si>
  <si>
    <r>
      <t>(1-π)</t>
    </r>
    <r>
      <rPr>
        <sz val="8"/>
        <color theme="1"/>
        <rFont val="Aptos Narrow (Body)"/>
      </rPr>
      <t>d</t>
    </r>
  </si>
  <si>
    <r>
      <t>π</t>
    </r>
    <r>
      <rPr>
        <sz val="8"/>
        <color theme="1"/>
        <rFont val="Aptos Narrow (Body)"/>
      </rPr>
      <t>d</t>
    </r>
  </si>
  <si>
    <r>
      <t>(1-π)</t>
    </r>
    <r>
      <rPr>
        <sz val="8"/>
        <color theme="1"/>
        <rFont val="Aptos Narrow (Body)"/>
      </rPr>
      <t>u</t>
    </r>
  </si>
  <si>
    <r>
      <t>π</t>
    </r>
    <r>
      <rPr>
        <sz val="8"/>
        <color theme="1"/>
        <rFont val="Aptos Narrow (Body)"/>
      </rPr>
      <t>u</t>
    </r>
  </si>
  <si>
    <r>
      <t>S</t>
    </r>
    <r>
      <rPr>
        <sz val="8"/>
        <color theme="1"/>
        <rFont val="Aptos Narrow (Body)"/>
      </rPr>
      <t>dd</t>
    </r>
  </si>
  <si>
    <r>
      <t>S</t>
    </r>
    <r>
      <rPr>
        <sz val="8"/>
        <color theme="1"/>
        <rFont val="Aptos Narrow (Body)"/>
      </rPr>
      <t>ud</t>
    </r>
    <r>
      <rPr>
        <sz val="12"/>
        <color theme="1"/>
        <rFont val="Aptos Narrow"/>
        <family val="2"/>
        <scheme val="minor"/>
      </rPr>
      <t>=S</t>
    </r>
    <r>
      <rPr>
        <sz val="8"/>
        <color theme="1"/>
        <rFont val="Aptos Narrow (Body)"/>
      </rPr>
      <t>du</t>
    </r>
  </si>
  <si>
    <r>
      <t>S</t>
    </r>
    <r>
      <rPr>
        <sz val="8"/>
        <color theme="1"/>
        <rFont val="Aptos Narrow (Body)"/>
      </rPr>
      <t>uu</t>
    </r>
  </si>
  <si>
    <t>Hedged per option ($)</t>
  </si>
  <si>
    <r>
      <t>The intuition behind the put-call parity is that, in sum, long call and short put give us the investment equal to the long forward. 
- In case the price of the underlying exceeds the strike, you wish to exercise the call.
- If strike exceeds the price of the underlying, you must pay the strike and obtain the asset valued less, as your counterpart wants to exercise the long put.
These outcomes are certain as well as the same outcomes from the long forward, what makes these two investments equal. Thus, the first investment's value must be equal to the value of second one, which is the forward value V</t>
    </r>
    <r>
      <rPr>
        <sz val="8"/>
        <color theme="1"/>
        <rFont val="Aptos Narrow (Body)"/>
      </rPr>
      <t>0</t>
    </r>
    <r>
      <rPr>
        <sz val="12"/>
        <color theme="1"/>
        <rFont val="Aptos Narrow"/>
        <family val="2"/>
        <scheme val="minor"/>
      </rPr>
      <t xml:space="preserve"> = S</t>
    </r>
    <r>
      <rPr>
        <sz val="8"/>
        <color theme="1"/>
        <rFont val="Aptos Narrow (Body)"/>
      </rPr>
      <t>0</t>
    </r>
    <r>
      <rPr>
        <sz val="12"/>
        <color theme="1"/>
        <rFont val="Aptos Narrow"/>
        <family val="2"/>
        <scheme val="minor"/>
      </rPr>
      <t xml:space="preserve"> - F : ((1+r</t>
    </r>
    <r>
      <rPr>
        <sz val="8"/>
        <color theme="1"/>
        <rFont val="Aptos Narrow (Body)"/>
      </rPr>
      <t>f</t>
    </r>
    <r>
      <rPr>
        <sz val="12"/>
        <color theme="1"/>
        <rFont val="Aptos Narrow"/>
        <family val="2"/>
        <scheme val="minor"/>
      </rPr>
      <t xml:space="preserve">)^T). 
If call benefits from price increase, put benefits from the price decrease. Due to such a difference in payoffs, the formula possesses C0-P0 and in sum we obtain:
                                                                                            </t>
    </r>
    <r>
      <rPr>
        <sz val="12"/>
        <color theme="9" tint="-0.249977111117893"/>
        <rFont val="Aptos Narrow (Body)"/>
      </rPr>
      <t>C</t>
    </r>
    <r>
      <rPr>
        <sz val="8"/>
        <color theme="9" tint="-0.249977111117893"/>
        <rFont val="Aptos Narrow (Body)"/>
      </rPr>
      <t>0</t>
    </r>
    <r>
      <rPr>
        <sz val="12"/>
        <color theme="9" tint="-0.249977111117893"/>
        <rFont val="Aptos Narrow (Body)"/>
      </rPr>
      <t xml:space="preserve"> - P</t>
    </r>
    <r>
      <rPr>
        <sz val="8"/>
        <color theme="9" tint="-0.249977111117893"/>
        <rFont val="Aptos Narrow (Body)"/>
      </rPr>
      <t>0</t>
    </r>
    <r>
      <rPr>
        <sz val="12"/>
        <color theme="9" tint="-0.249977111117893"/>
        <rFont val="Aptos Narrow (Body)"/>
      </rPr>
      <t xml:space="preserve"> = S</t>
    </r>
    <r>
      <rPr>
        <sz val="8"/>
        <color theme="9" tint="-0.249977111117893"/>
        <rFont val="Aptos Narrow (Body)"/>
      </rPr>
      <t>0</t>
    </r>
    <r>
      <rPr>
        <sz val="12"/>
        <color theme="9" tint="-0.249977111117893"/>
        <rFont val="Aptos Narrow (Body)"/>
      </rPr>
      <t xml:space="preserve"> - PV(K)
</t>
    </r>
    <r>
      <rPr>
        <sz val="12"/>
        <color theme="1"/>
        <rFont val="Aptos Narrow (Body)"/>
      </rPr>
      <t>This parity provides the no-arbitrage condition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</si>
</sst>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9" x14ac:knownFonts="1">
    <font>
      <sz val="12"/>
      <color theme="1"/>
      <name val="Aptos Narrow"/>
      <family val="2"/>
      <scheme val="minor"/>
    </font>
    <font>
      <sz val="12"/>
      <color theme="0"/>
      <name val="Aptos Narrow"/>
      <family val="2"/>
      <scheme val="minor"/>
    </font>
    <font>
      <sz val="8"/>
      <color theme="1"/>
      <name val="Aptos Narrow (Body)"/>
    </font>
    <font>
      <sz val="12"/>
      <color theme="1"/>
      <name val="Aptos Narrow"/>
      <scheme val="minor"/>
    </font>
    <font>
      <sz val="10"/>
      <color rgb="FF000000"/>
      <name val="Tahoma"/>
      <family val="2"/>
    </font>
    <font>
      <b/>
      <sz val="10"/>
      <color rgb="FF000000"/>
      <name val="Tahoma"/>
      <family val="2"/>
    </font>
    <font>
      <sz val="12"/>
      <color theme="9" tint="-0.249977111117893"/>
      <name val="Aptos Narrow (Body)"/>
    </font>
    <font>
      <sz val="12"/>
      <color theme="1"/>
      <name val="Aptos Narrow (Body)"/>
    </font>
    <font>
      <sz val="8"/>
      <color theme="9" tint="-0.249977111117893"/>
      <name val="Aptos Narrow (Body)"/>
    </font>
  </fonts>
  <fills count="12">
    <fill>
      <patternFill patternType="none"/>
    </fill>
    <fill>
      <patternFill patternType="gray125"/>
    </fill>
    <fill>
      <patternFill patternType="solid">
        <fgColor theme="2" tint="-0.749992370372631"/>
        <bgColor indexed="64"/>
      </patternFill>
    </fill>
    <fill>
      <patternFill patternType="solid">
        <fgColor theme="3" tint="0.499984740745262"/>
        <bgColor indexed="64"/>
      </patternFill>
    </fill>
    <fill>
      <patternFill patternType="solid">
        <fgColor theme="2"/>
        <bgColor indexed="64"/>
      </patternFill>
    </fill>
    <fill>
      <patternFill patternType="solid">
        <fgColor theme="2" tint="-0.499984740745262"/>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9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0" fillId="6" borderId="5" xfId="0" applyFill="1" applyBorder="1" applyAlignment="1">
      <alignment horizontal="center" vertical="center"/>
    </xf>
    <xf numFmtId="0" fontId="0" fillId="6" borderId="6" xfId="0" applyFill="1" applyBorder="1" applyAlignment="1">
      <alignment horizontal="center" vertical="center"/>
    </xf>
    <xf numFmtId="0" fontId="0" fillId="6" borderId="0" xfId="0" applyFill="1" applyAlignment="1">
      <alignment horizontal="center" vertical="center"/>
    </xf>
    <xf numFmtId="0" fontId="0" fillId="6" borderId="7" xfId="0" applyFill="1" applyBorder="1" applyAlignment="1">
      <alignment horizontal="center" vertical="center"/>
    </xf>
    <xf numFmtId="0" fontId="0" fillId="6" borderId="8" xfId="0" applyFill="1" applyBorder="1" applyAlignment="1">
      <alignment horizontal="center" vertic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7" xfId="0" applyFill="1" applyBorder="1" applyAlignment="1">
      <alignment horizontal="left" vertical="center"/>
    </xf>
    <xf numFmtId="0" fontId="0" fillId="6" borderId="0" xfId="0" applyFill="1" applyAlignment="1">
      <alignment horizontal="right" vertical="center"/>
    </xf>
    <xf numFmtId="0" fontId="0" fillId="0" borderId="1" xfId="0" applyBorder="1" applyAlignment="1">
      <alignment horizontal="center" vertical="center"/>
    </xf>
    <xf numFmtId="0" fontId="0" fillId="4" borderId="1" xfId="0" applyFill="1" applyBorder="1"/>
    <xf numFmtId="0" fontId="0" fillId="4" borderId="12" xfId="0" applyFill="1" applyBorder="1" applyAlignment="1">
      <alignment horizontal="center" vertical="center"/>
    </xf>
    <xf numFmtId="0" fontId="0" fillId="4"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4" borderId="12" xfId="0" applyFill="1" applyBorder="1" applyAlignment="1">
      <alignment horizontal="center" vertical="center" wrapText="1"/>
    </xf>
    <xf numFmtId="0" fontId="0" fillId="0" borderId="15" xfId="0" applyBorder="1" applyAlignment="1">
      <alignment horizontal="center" vertical="center" wrapText="1"/>
    </xf>
    <xf numFmtId="0" fontId="0" fillId="4" borderId="15" xfId="0" applyFill="1" applyBorder="1" applyAlignment="1">
      <alignment horizontal="center" vertical="center" wrapText="1"/>
    </xf>
    <xf numFmtId="0" fontId="0" fillId="0" borderId="15" xfId="0"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7" borderId="15" xfId="0" applyFill="1" applyBorder="1" applyAlignment="1">
      <alignment horizontal="center" vertical="center"/>
    </xf>
    <xf numFmtId="2" fontId="0" fillId="0" borderId="0" xfId="0" applyNumberFormat="1"/>
    <xf numFmtId="0" fontId="1" fillId="0" borderId="0" xfId="0" applyFont="1" applyAlignment="1">
      <alignment horizontal="center"/>
    </xf>
    <xf numFmtId="2" fontId="0" fillId="0" borderId="1" xfId="0" applyNumberFormat="1" applyBorder="1" applyAlignment="1">
      <alignment horizontal="center" vertical="center"/>
    </xf>
    <xf numFmtId="0" fontId="0" fillId="4" borderId="14" xfId="0" applyFill="1" applyBorder="1" applyAlignment="1">
      <alignment horizontal="center" vertical="center" wrapText="1"/>
    </xf>
    <xf numFmtId="0" fontId="0" fillId="0" borderId="19" xfId="0" applyBorder="1" applyAlignment="1">
      <alignment horizontal="center" vertical="center" wrapText="1"/>
    </xf>
    <xf numFmtId="0" fontId="0" fillId="4" borderId="10" xfId="0" applyFill="1" applyBorder="1" applyAlignment="1">
      <alignment horizontal="center" vertical="center" wrapText="1"/>
    </xf>
    <xf numFmtId="0" fontId="0" fillId="0" borderId="14" xfId="0" applyBorder="1" applyAlignment="1">
      <alignment horizontal="center" vertical="center" wrapText="1"/>
    </xf>
    <xf numFmtId="0" fontId="0" fillId="4" borderId="12" xfId="0" applyFill="1" applyBorder="1"/>
    <xf numFmtId="0" fontId="0" fillId="0" borderId="12" xfId="0" applyBorder="1"/>
    <xf numFmtId="0" fontId="0" fillId="4" borderId="15" xfId="0" applyFill="1" applyBorder="1"/>
    <xf numFmtId="2" fontId="0" fillId="0" borderId="12" xfId="0" applyNumberFormat="1" applyBorder="1" applyAlignment="1">
      <alignment horizontal="center" vertical="center"/>
    </xf>
    <xf numFmtId="0" fontId="0" fillId="4" borderId="15" xfId="0" applyFill="1" applyBorder="1" applyAlignment="1">
      <alignment horizontal="center" vertical="center"/>
    </xf>
    <xf numFmtId="0" fontId="0" fillId="0" borderId="12" xfId="0" applyBorder="1" applyAlignment="1">
      <alignment horizontal="center" vertical="center"/>
    </xf>
    <xf numFmtId="0" fontId="0" fillId="7" borderId="12" xfId="0" applyFill="1" applyBorder="1" applyAlignment="1">
      <alignment horizontal="center" vertical="center"/>
    </xf>
    <xf numFmtId="0" fontId="0" fillId="8" borderId="12" xfId="0" applyFill="1" applyBorder="1"/>
    <xf numFmtId="0" fontId="3" fillId="0" borderId="1" xfId="0" applyFont="1" applyBorder="1" applyAlignment="1">
      <alignment horizontal="center" vertical="center"/>
    </xf>
    <xf numFmtId="0" fontId="0" fillId="0" borderId="0" xfId="0" applyAlignment="1">
      <alignment vertical="center" wrapText="1"/>
    </xf>
    <xf numFmtId="4" fontId="0" fillId="0" borderId="0" xfId="0" applyNumberFormat="1" applyAlignment="1">
      <alignment horizontal="center" vertical="center"/>
    </xf>
    <xf numFmtId="2"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3" fontId="0" fillId="0" borderId="1" xfId="0" applyNumberFormat="1" applyBorder="1" applyAlignment="1">
      <alignment horizontal="center" vertical="center"/>
    </xf>
    <xf numFmtId="164" fontId="0" fillId="0" borderId="1" xfId="0" applyNumberFormat="1" applyBorder="1"/>
    <xf numFmtId="164" fontId="0" fillId="0" borderId="15" xfId="0" applyNumberFormat="1" applyBorder="1"/>
    <xf numFmtId="0" fontId="0" fillId="0" borderId="1" xfId="0" applyBorder="1" applyAlignment="1">
      <alignment horizontal="center" vertical="center" wrapText="1"/>
    </xf>
    <xf numFmtId="0" fontId="1" fillId="5"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1" fillId="3" borderId="11" xfId="0" applyFont="1" applyFill="1" applyBorder="1" applyAlignment="1">
      <alignment horizontal="center" vertical="center"/>
    </xf>
    <xf numFmtId="0" fontId="0" fillId="4" borderId="1" xfId="0" applyFill="1" applyBorder="1" applyAlignment="1">
      <alignment horizontal="center" vertical="center" wrapText="1"/>
    </xf>
    <xf numFmtId="0" fontId="1" fillId="5" borderId="1" xfId="0" applyFont="1" applyFill="1" applyBorder="1" applyAlignment="1">
      <alignment horizontal="center" vertical="center" wrapText="1"/>
    </xf>
    <xf numFmtId="0" fontId="0" fillId="4" borderId="21"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18"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xf>
    <xf numFmtId="0" fontId="1" fillId="2" borderId="6" xfId="0" applyFont="1" applyFill="1" applyBorder="1" applyAlignment="1">
      <alignment horizontal="center" vertical="center"/>
    </xf>
    <xf numFmtId="0" fontId="1" fillId="2" borderId="0" xfId="0" applyFont="1" applyFill="1" applyAlignment="1">
      <alignment horizontal="center" vertical="center"/>
    </xf>
    <xf numFmtId="0" fontId="0" fillId="4" borderId="17" xfId="0" applyFill="1" applyBorder="1" applyAlignment="1">
      <alignment horizontal="center" vertical="center" wrapText="1"/>
    </xf>
    <xf numFmtId="0" fontId="0" fillId="4" borderId="2"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1" xfId="0" applyFill="1" applyBorder="1" applyAlignment="1">
      <alignment horizontal="center" vertical="center"/>
    </xf>
    <xf numFmtId="0" fontId="0" fillId="4" borderId="15"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 xfId="0" applyFill="1" applyBorder="1" applyAlignment="1">
      <alignment horizontal="center"/>
    </xf>
    <xf numFmtId="0" fontId="1" fillId="2" borderId="1" xfId="0" applyFont="1" applyFill="1" applyBorder="1" applyAlignment="1">
      <alignment horizontal="center" vertical="center"/>
    </xf>
    <xf numFmtId="0" fontId="1" fillId="3" borderId="0" xfId="0" applyFont="1" applyFill="1" applyAlignment="1">
      <alignment horizontal="center" vertical="center"/>
    </xf>
    <xf numFmtId="0" fontId="1" fillId="3" borderId="12" xfId="0" applyFont="1" applyFill="1" applyBorder="1" applyAlignment="1">
      <alignment horizontal="center" vertical="center"/>
    </xf>
    <xf numFmtId="0" fontId="1" fillId="5" borderId="0" xfId="0" applyFont="1" applyFill="1" applyAlignment="1">
      <alignment horizontal="center" vertical="center" wrapText="1"/>
    </xf>
    <xf numFmtId="0" fontId="0" fillId="0" borderId="0" xfId="0" applyAlignment="1">
      <alignment horizontal="center" vertical="center" wrapText="1"/>
    </xf>
    <xf numFmtId="0" fontId="1" fillId="5" borderId="13"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Long put on NASDAQ-100</c:v>
          </c:tx>
          <c:spPr>
            <a:ln w="22225" cap="rnd">
              <a:solidFill>
                <a:schemeClr val="accent1"/>
              </a:solidFill>
              <a:round/>
            </a:ln>
            <a:effectLst/>
          </c:spPr>
          <c:marker>
            <c:symbol val="none"/>
          </c:marker>
          <c:xVal>
            <c:numRef>
              <c:f>'M.C.2.5'!$A$11:$A$24</c:f>
              <c:numCache>
                <c:formatCode>General</c:formatCode>
                <c:ptCount val="14"/>
                <c:pt idx="0">
                  <c:v>15000</c:v>
                </c:pt>
                <c:pt idx="1">
                  <c:v>16000</c:v>
                </c:pt>
                <c:pt idx="2">
                  <c:v>17000</c:v>
                </c:pt>
                <c:pt idx="3">
                  <c:v>18000</c:v>
                </c:pt>
                <c:pt idx="4">
                  <c:v>19000</c:v>
                </c:pt>
                <c:pt idx="5">
                  <c:v>20000</c:v>
                </c:pt>
                <c:pt idx="6">
                  <c:v>21000</c:v>
                </c:pt>
                <c:pt idx="7">
                  <c:v>22000</c:v>
                </c:pt>
                <c:pt idx="8">
                  <c:v>23000</c:v>
                </c:pt>
                <c:pt idx="9">
                  <c:v>24000</c:v>
                </c:pt>
                <c:pt idx="10">
                  <c:v>25000</c:v>
                </c:pt>
                <c:pt idx="11">
                  <c:v>26000</c:v>
                </c:pt>
                <c:pt idx="12">
                  <c:v>27000</c:v>
                </c:pt>
                <c:pt idx="13">
                  <c:v>28000</c:v>
                </c:pt>
              </c:numCache>
            </c:numRef>
          </c:xVal>
          <c:yVal>
            <c:numRef>
              <c:f>'M.C.2.5'!$B$11:$B$24</c:f>
              <c:numCache>
                <c:formatCode>General</c:formatCode>
                <c:ptCount val="14"/>
                <c:pt idx="0">
                  <c:v>5800</c:v>
                </c:pt>
                <c:pt idx="1">
                  <c:v>4800</c:v>
                </c:pt>
                <c:pt idx="2">
                  <c:v>3800</c:v>
                </c:pt>
                <c:pt idx="3">
                  <c:v>2800</c:v>
                </c:pt>
                <c:pt idx="4">
                  <c:v>1800</c:v>
                </c:pt>
                <c:pt idx="5">
                  <c:v>800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0-4B5F-D94E-B209-80B89C86ECC7}"/>
            </c:ext>
          </c:extLst>
        </c:ser>
        <c:ser>
          <c:idx val="1"/>
          <c:order val="1"/>
          <c:tx>
            <c:v>Strike price</c:v>
          </c:tx>
          <c:spPr>
            <a:ln w="25400" cap="rnd">
              <a:noFill/>
              <a:round/>
            </a:ln>
            <a:effectLst/>
          </c:spPr>
          <c:marker>
            <c:symbol val="square"/>
            <c:size val="6"/>
            <c:spPr>
              <a:solidFill>
                <a:schemeClr val="accent2"/>
              </a:solidFill>
              <a:ln w="9525">
                <a:solidFill>
                  <a:schemeClr val="accent2"/>
                </a:solidFill>
                <a:round/>
              </a:ln>
              <a:effectLst/>
            </c:spPr>
          </c:marker>
          <c:xVal>
            <c:numRef>
              <c:f>'M.C.2.5'!$B$6</c:f>
              <c:numCache>
                <c:formatCode>General</c:formatCode>
                <c:ptCount val="1"/>
                <c:pt idx="0">
                  <c:v>20800</c:v>
                </c:pt>
              </c:numCache>
            </c:numRef>
          </c:xVal>
          <c:yVal>
            <c:numLit>
              <c:formatCode>General</c:formatCode>
              <c:ptCount val="1"/>
              <c:pt idx="0">
                <c:v>0</c:v>
              </c:pt>
            </c:numLit>
          </c:yVal>
          <c:smooth val="0"/>
          <c:extLst>
            <c:ext xmlns:c16="http://schemas.microsoft.com/office/drawing/2014/chart" uri="{C3380CC4-5D6E-409C-BE32-E72D297353CC}">
              <c16:uniqueId val="{00000000-2C11-7F41-AC73-E641D18DB286}"/>
            </c:ext>
          </c:extLst>
        </c:ser>
        <c:dLbls>
          <c:showLegendKey val="0"/>
          <c:showVal val="0"/>
          <c:showCatName val="0"/>
          <c:showSerName val="0"/>
          <c:showPercent val="0"/>
          <c:showBubbleSize val="0"/>
        </c:dLbls>
        <c:axId val="1920200047"/>
        <c:axId val="1920161967"/>
      </c:scatterChart>
      <c:valAx>
        <c:axId val="1920200047"/>
        <c:scaling>
          <c:orientation val="minMax"/>
          <c:max val="28000"/>
          <c:min val="15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AT"/>
          </a:p>
        </c:txPr>
        <c:crossAx val="1920161967"/>
        <c:crosses val="autoZero"/>
        <c:crossBetween val="midCat"/>
      </c:valAx>
      <c:valAx>
        <c:axId val="192016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202000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Long put on NVIDIA stock</c:v>
          </c:tx>
          <c:spPr>
            <a:ln w="22225" cap="rnd">
              <a:solidFill>
                <a:schemeClr val="accent1"/>
              </a:solidFill>
              <a:round/>
            </a:ln>
            <a:effectLst/>
          </c:spPr>
          <c:marker>
            <c:symbol val="none"/>
          </c:marker>
          <c:xVal>
            <c:numRef>
              <c:f>'M.C.2.5'!$A$29:$A$42</c:f>
              <c:numCache>
                <c:formatCode>General</c:formatCode>
                <c:ptCount val="14"/>
                <c:pt idx="0">
                  <c:v>90</c:v>
                </c:pt>
                <c:pt idx="1">
                  <c:v>100</c:v>
                </c:pt>
                <c:pt idx="2">
                  <c:v>110</c:v>
                </c:pt>
                <c:pt idx="3">
                  <c:v>120</c:v>
                </c:pt>
                <c:pt idx="4">
                  <c:v>130</c:v>
                </c:pt>
                <c:pt idx="5">
                  <c:v>140</c:v>
                </c:pt>
                <c:pt idx="6">
                  <c:v>150</c:v>
                </c:pt>
                <c:pt idx="7">
                  <c:v>160</c:v>
                </c:pt>
                <c:pt idx="8">
                  <c:v>170</c:v>
                </c:pt>
                <c:pt idx="9">
                  <c:v>180</c:v>
                </c:pt>
                <c:pt idx="10">
                  <c:v>190</c:v>
                </c:pt>
                <c:pt idx="11">
                  <c:v>200</c:v>
                </c:pt>
                <c:pt idx="12">
                  <c:v>210</c:v>
                </c:pt>
                <c:pt idx="13">
                  <c:v>220</c:v>
                </c:pt>
              </c:numCache>
            </c:numRef>
          </c:xVal>
          <c:yVal>
            <c:numRef>
              <c:f>'M.C.2.5'!$B$29:$B$42</c:f>
              <c:numCache>
                <c:formatCode>General</c:formatCode>
                <c:ptCount val="14"/>
                <c:pt idx="0">
                  <c:v>50</c:v>
                </c:pt>
                <c:pt idx="1">
                  <c:v>40</c:v>
                </c:pt>
                <c:pt idx="2">
                  <c:v>30</c:v>
                </c:pt>
                <c:pt idx="3">
                  <c:v>20</c:v>
                </c:pt>
                <c:pt idx="4">
                  <c:v>10</c:v>
                </c:pt>
                <c:pt idx="5">
                  <c:v>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0-4B62-CF47-A7D1-3B138B8EBBE9}"/>
            </c:ext>
          </c:extLst>
        </c:ser>
        <c:ser>
          <c:idx val="1"/>
          <c:order val="1"/>
          <c:tx>
            <c:v>Strike price</c:v>
          </c:tx>
          <c:spPr>
            <a:ln w="25400" cap="rnd">
              <a:noFill/>
              <a:round/>
            </a:ln>
            <a:effectLst/>
          </c:spPr>
          <c:marker>
            <c:symbol val="square"/>
            <c:size val="6"/>
            <c:spPr>
              <a:solidFill>
                <a:schemeClr val="accent2"/>
              </a:solidFill>
              <a:ln w="9525">
                <a:solidFill>
                  <a:schemeClr val="accent2"/>
                </a:solidFill>
                <a:round/>
              </a:ln>
              <a:effectLst/>
            </c:spPr>
          </c:marker>
          <c:xVal>
            <c:numRef>
              <c:f>'M.C.2.5'!$C$6</c:f>
              <c:numCache>
                <c:formatCode>General</c:formatCode>
                <c:ptCount val="1"/>
                <c:pt idx="0">
                  <c:v>140</c:v>
                </c:pt>
              </c:numCache>
            </c:numRef>
          </c:xVal>
          <c:yVal>
            <c:numLit>
              <c:formatCode>General</c:formatCode>
              <c:ptCount val="1"/>
              <c:pt idx="0">
                <c:v>0</c:v>
              </c:pt>
            </c:numLit>
          </c:yVal>
          <c:smooth val="0"/>
          <c:extLst>
            <c:ext xmlns:c16="http://schemas.microsoft.com/office/drawing/2014/chart" uri="{C3380CC4-5D6E-409C-BE32-E72D297353CC}">
              <c16:uniqueId val="{00000000-0EC8-8748-A5C2-68BFE8EF665D}"/>
            </c:ext>
          </c:extLst>
        </c:ser>
        <c:dLbls>
          <c:showLegendKey val="0"/>
          <c:showVal val="0"/>
          <c:showCatName val="0"/>
          <c:showSerName val="0"/>
          <c:showPercent val="0"/>
          <c:showBubbleSize val="0"/>
        </c:dLbls>
        <c:axId val="125734064"/>
        <c:axId val="125735776"/>
      </c:scatterChart>
      <c:valAx>
        <c:axId val="125734064"/>
        <c:scaling>
          <c:orientation val="minMax"/>
          <c:max val="220"/>
          <c:min val="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AT"/>
          </a:p>
        </c:txPr>
        <c:crossAx val="125735776"/>
        <c:crosses val="autoZero"/>
        <c:crossBetween val="midCat"/>
      </c:valAx>
      <c:valAx>
        <c:axId val="12573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257340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872067</xdr:colOff>
      <xdr:row>13</xdr:row>
      <xdr:rowOff>135466</xdr:rowOff>
    </xdr:from>
    <xdr:to>
      <xdr:col>2</xdr:col>
      <xdr:colOff>1024467</xdr:colOff>
      <xdr:row>15</xdr:row>
      <xdr:rowOff>76200</xdr:rowOff>
    </xdr:to>
    <xdr:cxnSp macro="">
      <xdr:nvCxnSpPr>
        <xdr:cNvPr id="10" name="Straight Connector 9">
          <a:extLst>
            <a:ext uri="{FF2B5EF4-FFF2-40B4-BE49-F238E27FC236}">
              <a16:creationId xmlns:a16="http://schemas.microsoft.com/office/drawing/2014/main" id="{D41D254C-FF8A-6B82-AF8D-CD5C96BFA42B}"/>
            </a:ext>
          </a:extLst>
        </xdr:cNvPr>
        <xdr:cNvCxnSpPr/>
      </xdr:nvCxnSpPr>
      <xdr:spPr>
        <a:xfrm flipV="1">
          <a:off x="872067" y="3268133"/>
          <a:ext cx="2099733" cy="3471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880533</xdr:colOff>
      <xdr:row>15</xdr:row>
      <xdr:rowOff>160866</xdr:rowOff>
    </xdr:from>
    <xdr:to>
      <xdr:col>2</xdr:col>
      <xdr:colOff>1024467</xdr:colOff>
      <xdr:row>17</xdr:row>
      <xdr:rowOff>93133</xdr:rowOff>
    </xdr:to>
    <xdr:cxnSp macro="">
      <xdr:nvCxnSpPr>
        <xdr:cNvPr id="12" name="Straight Connector 11">
          <a:extLst>
            <a:ext uri="{FF2B5EF4-FFF2-40B4-BE49-F238E27FC236}">
              <a16:creationId xmlns:a16="http://schemas.microsoft.com/office/drawing/2014/main" id="{3986B80A-4B70-59A1-445E-D689DA6F17A4}"/>
            </a:ext>
          </a:extLst>
        </xdr:cNvPr>
        <xdr:cNvCxnSpPr/>
      </xdr:nvCxnSpPr>
      <xdr:spPr>
        <a:xfrm>
          <a:off x="880533" y="3699933"/>
          <a:ext cx="2091267" cy="33866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12701</xdr:colOff>
      <xdr:row>1</xdr:row>
      <xdr:rowOff>12700</xdr:rowOff>
    </xdr:from>
    <xdr:to>
      <xdr:col>5</xdr:col>
      <xdr:colOff>0</xdr:colOff>
      <xdr:row>11</xdr:row>
      <xdr:rowOff>120431</xdr:rowOff>
    </xdr:to>
    <xdr:pic>
      <xdr:nvPicPr>
        <xdr:cNvPr id="2" name="Picture 1">
          <a:extLst>
            <a:ext uri="{FF2B5EF4-FFF2-40B4-BE49-F238E27FC236}">
              <a16:creationId xmlns:a16="http://schemas.microsoft.com/office/drawing/2014/main" id="{2EE2A778-E847-281B-6C85-DE4D742119A2}"/>
            </a:ext>
          </a:extLst>
        </xdr:cNvPr>
        <xdr:cNvPicPr>
          <a:picLocks noChangeAspect="1"/>
        </xdr:cNvPicPr>
      </xdr:nvPicPr>
      <xdr:blipFill>
        <a:blip xmlns:r="http://schemas.openxmlformats.org/officeDocument/2006/relationships" r:embed="rId1"/>
        <a:stretch>
          <a:fillRect/>
        </a:stretch>
      </xdr:blipFill>
      <xdr:spPr>
        <a:xfrm>
          <a:off x="3735115" y="217068"/>
          <a:ext cx="3220690" cy="21514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xdr:colOff>
      <xdr:row>10</xdr:row>
      <xdr:rowOff>4233</xdr:rowOff>
    </xdr:from>
    <xdr:to>
      <xdr:col>8</xdr:col>
      <xdr:colOff>8467</xdr:colOff>
      <xdr:row>23</xdr:row>
      <xdr:rowOff>84667</xdr:rowOff>
    </xdr:to>
    <xdr:graphicFrame macro="">
      <xdr:nvGraphicFramePr>
        <xdr:cNvPr id="3" name="Chart 2">
          <a:extLst>
            <a:ext uri="{FF2B5EF4-FFF2-40B4-BE49-F238E27FC236}">
              <a16:creationId xmlns:a16="http://schemas.microsoft.com/office/drawing/2014/main" id="{5BDD1BC7-5BB8-BC10-E8C9-A45F4CC8D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xdr:colOff>
      <xdr:row>28</xdr:row>
      <xdr:rowOff>16932</xdr:rowOff>
    </xdr:from>
    <xdr:to>
      <xdr:col>8</xdr:col>
      <xdr:colOff>1</xdr:colOff>
      <xdr:row>40</xdr:row>
      <xdr:rowOff>152399</xdr:rowOff>
    </xdr:to>
    <xdr:graphicFrame macro="">
      <xdr:nvGraphicFramePr>
        <xdr:cNvPr id="2" name="Chart 1">
          <a:extLst>
            <a:ext uri="{FF2B5EF4-FFF2-40B4-BE49-F238E27FC236}">
              <a16:creationId xmlns:a16="http://schemas.microsoft.com/office/drawing/2014/main" id="{0709FB37-8603-979E-31F3-6DE15D1F0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E4E7-3097-A74D-AA3B-55995DE1BE45}">
  <sheetPr>
    <tabColor rgb="FFC00000"/>
  </sheetPr>
  <dimension ref="A1:D43"/>
  <sheetViews>
    <sheetView zoomScale="164" zoomScaleNormal="95" workbookViewId="0">
      <pane ySplit="1" topLeftCell="A21" activePane="bottomLeft" state="frozen"/>
      <selection pane="bottomLeft" activeCell="F32" sqref="F32"/>
    </sheetView>
  </sheetViews>
  <sheetFormatPr baseColWidth="10" defaultRowHeight="16" x14ac:dyDescent="0.2"/>
  <cols>
    <col min="1" max="1" width="17.1640625" bestFit="1" customWidth="1"/>
    <col min="2" max="2" width="11.6640625" bestFit="1" customWidth="1"/>
    <col min="3" max="3" width="17.6640625" bestFit="1" customWidth="1"/>
    <col min="4" max="4" width="26.83203125" bestFit="1" customWidth="1"/>
  </cols>
  <sheetData>
    <row r="1" spans="1:4" x14ac:dyDescent="0.2">
      <c r="A1" s="69" t="s">
        <v>0</v>
      </c>
      <c r="B1" s="69"/>
      <c r="C1" s="69"/>
      <c r="D1" s="69"/>
    </row>
    <row r="2" spans="1:4" x14ac:dyDescent="0.2">
      <c r="A2" s="57" t="s">
        <v>1</v>
      </c>
      <c r="B2" s="57"/>
      <c r="C2" s="57"/>
      <c r="D2" s="57"/>
    </row>
    <row r="3" spans="1:4" ht="17" x14ac:dyDescent="0.2">
      <c r="A3" s="67" t="s">
        <v>2</v>
      </c>
      <c r="B3" s="34" t="s">
        <v>3</v>
      </c>
      <c r="C3" s="64" t="s">
        <v>4</v>
      </c>
      <c r="D3" s="64"/>
    </row>
    <row r="4" spans="1:4" ht="17" x14ac:dyDescent="0.2">
      <c r="A4" s="67"/>
      <c r="B4" s="34" t="s">
        <v>27</v>
      </c>
      <c r="C4" s="3" t="s">
        <v>28</v>
      </c>
      <c r="D4" s="3" t="s">
        <v>29</v>
      </c>
    </row>
    <row r="5" spans="1:4" ht="17" thickBot="1" x14ac:dyDescent="0.25">
      <c r="A5" s="68"/>
      <c r="B5" s="35">
        <v>5600</v>
      </c>
      <c r="C5" s="24">
        <v>6100</v>
      </c>
      <c r="D5" s="24">
        <v>5100</v>
      </c>
    </row>
    <row r="6" spans="1:4" ht="34" x14ac:dyDescent="0.2">
      <c r="A6" s="66" t="s">
        <v>8</v>
      </c>
      <c r="B6" s="36" t="s">
        <v>5</v>
      </c>
      <c r="C6" s="23" t="s">
        <v>6</v>
      </c>
      <c r="D6" s="23" t="s">
        <v>7</v>
      </c>
    </row>
    <row r="7" spans="1:4" ht="17" thickBot="1" x14ac:dyDescent="0.25">
      <c r="A7" s="68"/>
      <c r="B7" s="35">
        <v>1000</v>
      </c>
      <c r="C7" s="24">
        <v>0.02</v>
      </c>
      <c r="D7" s="24">
        <v>0.5</v>
      </c>
    </row>
    <row r="8" spans="1:4" ht="17" x14ac:dyDescent="0.2">
      <c r="A8" s="66" t="s">
        <v>9</v>
      </c>
      <c r="B8" s="36" t="s">
        <v>10</v>
      </c>
      <c r="C8" s="2"/>
      <c r="D8" s="2"/>
    </row>
    <row r="9" spans="1:4" x14ac:dyDescent="0.2">
      <c r="A9" s="67"/>
      <c r="B9" s="37">
        <v>0.03</v>
      </c>
      <c r="C9" s="2"/>
      <c r="D9" s="2"/>
    </row>
    <row r="11" spans="1:4" x14ac:dyDescent="0.2">
      <c r="A11" s="56" t="s">
        <v>20</v>
      </c>
      <c r="B11" s="56"/>
      <c r="C11" s="56"/>
      <c r="D11" s="56"/>
    </row>
    <row r="12" spans="1:4" x14ac:dyDescent="0.2">
      <c r="A12" s="63" t="s">
        <v>11</v>
      </c>
      <c r="B12" s="63"/>
      <c r="C12" s="63"/>
      <c r="D12" s="63"/>
    </row>
    <row r="13" spans="1:4" x14ac:dyDescent="0.2">
      <c r="A13" s="6"/>
      <c r="B13" s="7"/>
      <c r="C13" s="7"/>
      <c r="D13" s="8"/>
    </row>
    <row r="14" spans="1:4" x14ac:dyDescent="0.2">
      <c r="A14" s="9"/>
      <c r="B14" s="10" t="s">
        <v>12</v>
      </c>
      <c r="C14" s="16" t="s">
        <v>30</v>
      </c>
      <c r="D14" s="15">
        <f>B7*(1+C7)+D7*MAX(0,C5-B5)</f>
        <v>1270</v>
      </c>
    </row>
    <row r="15" spans="1:4" x14ac:dyDescent="0.2">
      <c r="A15" s="9"/>
      <c r="B15" s="10"/>
      <c r="C15" s="10"/>
      <c r="D15" s="11"/>
    </row>
    <row r="16" spans="1:4" x14ac:dyDescent="0.2">
      <c r="A16" s="9" t="s">
        <v>32</v>
      </c>
      <c r="B16" s="10"/>
      <c r="C16" s="10"/>
      <c r="D16" s="11"/>
    </row>
    <row r="17" spans="1:4" x14ac:dyDescent="0.2">
      <c r="A17" s="9"/>
      <c r="B17" s="10"/>
      <c r="C17" s="10"/>
      <c r="D17" s="11"/>
    </row>
    <row r="18" spans="1:4" x14ac:dyDescent="0.2">
      <c r="A18" s="9"/>
      <c r="B18" s="10" t="s">
        <v>13</v>
      </c>
      <c r="C18" s="16" t="s">
        <v>31</v>
      </c>
      <c r="D18" s="15">
        <f>B7*(1+C7)+D7*MAX(0,D5-B5)</f>
        <v>1020</v>
      </c>
    </row>
    <row r="19" spans="1:4" x14ac:dyDescent="0.2">
      <c r="A19" s="12"/>
      <c r="B19" s="13"/>
      <c r="C19" s="13"/>
      <c r="D19" s="14"/>
    </row>
    <row r="21" spans="1:4" x14ac:dyDescent="0.2">
      <c r="A21" s="65" t="s">
        <v>21</v>
      </c>
      <c r="B21" s="65"/>
      <c r="C21" s="65"/>
      <c r="D21" s="65"/>
    </row>
    <row r="22" spans="1:4" x14ac:dyDescent="0.2">
      <c r="A22" s="57" t="s">
        <v>14</v>
      </c>
      <c r="B22" s="57"/>
      <c r="C22" s="57"/>
      <c r="D22" s="57"/>
    </row>
    <row r="23" spans="1:4" x14ac:dyDescent="0.2">
      <c r="A23" s="64" t="s">
        <v>24</v>
      </c>
      <c r="B23" s="64" t="s">
        <v>3</v>
      </c>
      <c r="C23" s="64" t="s">
        <v>4</v>
      </c>
      <c r="D23" s="64"/>
    </row>
    <row r="24" spans="1:4" ht="17" x14ac:dyDescent="0.2">
      <c r="A24" s="64"/>
      <c r="B24" s="64"/>
      <c r="C24" s="3" t="s">
        <v>15</v>
      </c>
      <c r="D24" s="3" t="s">
        <v>16</v>
      </c>
    </row>
    <row r="25" spans="1:4" ht="34" x14ac:dyDescent="0.2">
      <c r="A25" s="3" t="s">
        <v>47</v>
      </c>
      <c r="B25" s="4">
        <f>-B29*B5</f>
        <v>-1400</v>
      </c>
      <c r="C25" s="4">
        <f>(B29*C5)</f>
        <v>1525</v>
      </c>
      <c r="D25" s="4">
        <f>B29*D5</f>
        <v>1275</v>
      </c>
    </row>
    <row r="26" spans="1:4" ht="34" x14ac:dyDescent="0.2">
      <c r="A26" s="3" t="s">
        <v>46</v>
      </c>
      <c r="B26" s="4">
        <f>-B30</f>
        <v>247.57281553398059</v>
      </c>
      <c r="C26" s="4">
        <f>B30*(1+B9)</f>
        <v>-255</v>
      </c>
      <c r="D26" s="4">
        <f>C26</f>
        <v>-255</v>
      </c>
    </row>
    <row r="28" spans="1:4" x14ac:dyDescent="0.2">
      <c r="A28" s="57" t="s">
        <v>19</v>
      </c>
      <c r="B28" s="57"/>
    </row>
    <row r="29" spans="1:4" x14ac:dyDescent="0.2">
      <c r="A29" s="18" t="s">
        <v>17</v>
      </c>
      <c r="B29" s="5">
        <f>(D14-D18)/(C5-D5)</f>
        <v>0.25</v>
      </c>
    </row>
    <row r="30" spans="1:4" x14ac:dyDescent="0.2">
      <c r="A30" s="18" t="s">
        <v>18</v>
      </c>
      <c r="B30" s="5">
        <f>(D14-B29*C5)/(1+B9)</f>
        <v>-247.57281553398059</v>
      </c>
    </row>
    <row r="32" spans="1:4" x14ac:dyDescent="0.2">
      <c r="A32" s="56" t="s">
        <v>22</v>
      </c>
      <c r="B32" s="56"/>
      <c r="C32" s="56"/>
      <c r="D32" s="56"/>
    </row>
    <row r="33" spans="1:4" x14ac:dyDescent="0.2">
      <c r="A33" s="58" t="s">
        <v>23</v>
      </c>
      <c r="B33" s="58"/>
      <c r="C33" s="58"/>
      <c r="D33" s="58"/>
    </row>
    <row r="34" spans="1:4" x14ac:dyDescent="0.2">
      <c r="A34" s="59" t="s">
        <v>25</v>
      </c>
      <c r="B34" s="59" t="s">
        <v>3</v>
      </c>
      <c r="C34" s="61" t="s">
        <v>4</v>
      </c>
      <c r="D34" s="62"/>
    </row>
    <row r="35" spans="1:4" x14ac:dyDescent="0.2">
      <c r="A35" s="60"/>
      <c r="B35" s="60"/>
      <c r="C35" s="20" t="s">
        <v>15</v>
      </c>
      <c r="D35" s="20" t="s">
        <v>16</v>
      </c>
    </row>
    <row r="36" spans="1:4" x14ac:dyDescent="0.2">
      <c r="A36" s="20" t="s">
        <v>33</v>
      </c>
      <c r="B36" s="22">
        <f>-(B25+B26)</f>
        <v>1152.4271844660193</v>
      </c>
      <c r="C36" s="17">
        <f>C25+C26</f>
        <v>1270</v>
      </c>
      <c r="D36" s="17">
        <f>D25+D26</f>
        <v>1020</v>
      </c>
    </row>
    <row r="38" spans="1:4" x14ac:dyDescent="0.2">
      <c r="A38" s="56" t="s">
        <v>26</v>
      </c>
      <c r="B38" s="56"/>
      <c r="C38" s="56"/>
      <c r="D38" s="56"/>
    </row>
    <row r="39" spans="1:4" ht="16" customHeight="1" x14ac:dyDescent="0.2">
      <c r="A39" s="55" t="s">
        <v>77</v>
      </c>
      <c r="B39" s="55"/>
      <c r="C39" s="55"/>
      <c r="D39" s="55"/>
    </row>
    <row r="40" spans="1:4" x14ac:dyDescent="0.2">
      <c r="A40" s="55"/>
      <c r="B40" s="55"/>
      <c r="C40" s="55"/>
      <c r="D40" s="55"/>
    </row>
    <row r="41" spans="1:4" x14ac:dyDescent="0.2">
      <c r="A41" s="55"/>
      <c r="B41" s="55"/>
      <c r="C41" s="55"/>
      <c r="D41" s="55"/>
    </row>
    <row r="42" spans="1:4" x14ac:dyDescent="0.2">
      <c r="A42" s="55"/>
      <c r="B42" s="55"/>
      <c r="C42" s="55"/>
      <c r="D42" s="55"/>
    </row>
    <row r="43" spans="1:4" x14ac:dyDescent="0.2">
      <c r="A43" s="55"/>
      <c r="B43" s="55"/>
      <c r="C43" s="55"/>
      <c r="D43" s="55"/>
    </row>
  </sheetData>
  <mergeCells count="21">
    <mergeCell ref="A8:A9"/>
    <mergeCell ref="C3:D3"/>
    <mergeCell ref="A3:A5"/>
    <mergeCell ref="A6:A7"/>
    <mergeCell ref="A1:D1"/>
    <mergeCell ref="A2:D2"/>
    <mergeCell ref="A11:D11"/>
    <mergeCell ref="A12:D12"/>
    <mergeCell ref="A23:A24"/>
    <mergeCell ref="C23:D23"/>
    <mergeCell ref="B23:B24"/>
    <mergeCell ref="A21:D21"/>
    <mergeCell ref="A22:D22"/>
    <mergeCell ref="A39:D43"/>
    <mergeCell ref="A38:D38"/>
    <mergeCell ref="A28:B28"/>
    <mergeCell ref="A32:D32"/>
    <mergeCell ref="A33:D33"/>
    <mergeCell ref="A34:A35"/>
    <mergeCell ref="B34:B35"/>
    <mergeCell ref="C34:D34"/>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809295A8-C6FC-B54C-A2F2-C30D324B37D2}">
            <x14:iconSet iconSet="3Triangles">
              <x14:cfvo type="percent">
                <xm:f>0</xm:f>
              </x14:cfvo>
              <x14:cfvo type="percent">
                <xm:f>33</xm:f>
              </x14:cfvo>
              <x14:cfvo type="percent">
                <xm:f>67</xm:f>
              </x14:cfvo>
            </x14:iconSet>
          </x14:cfRule>
          <xm:sqref>C5:D5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5806-DD3B-524F-8AED-E9225218A9A8}">
  <sheetPr>
    <tabColor rgb="FFFFFF00"/>
  </sheetPr>
  <dimension ref="A1:I15"/>
  <sheetViews>
    <sheetView zoomScale="200" zoomScaleNormal="200" workbookViewId="0">
      <pane ySplit="1" topLeftCell="A3" activePane="bottomLeft" state="frozen"/>
      <selection pane="bottomLeft" activeCell="E13" sqref="E13"/>
    </sheetView>
  </sheetViews>
  <sheetFormatPr baseColWidth="10" defaultRowHeight="16" x14ac:dyDescent="0.2"/>
  <cols>
    <col min="6" max="6" width="10.6640625" bestFit="1" customWidth="1"/>
  </cols>
  <sheetData>
    <row r="1" spans="1:9" x14ac:dyDescent="0.2">
      <c r="A1" s="71" t="s">
        <v>34</v>
      </c>
      <c r="B1" s="72"/>
      <c r="C1" s="72"/>
      <c r="D1" s="72"/>
      <c r="E1" s="72"/>
      <c r="F1" s="72"/>
      <c r="G1" s="72"/>
      <c r="H1" s="72"/>
      <c r="I1" s="72"/>
    </row>
    <row r="2" spans="1:9" x14ac:dyDescent="0.2">
      <c r="A2" s="58" t="s">
        <v>35</v>
      </c>
      <c r="B2" s="58"/>
      <c r="C2" s="58"/>
      <c r="D2" s="58"/>
      <c r="F2" s="58" t="s">
        <v>14</v>
      </c>
      <c r="G2" s="58"/>
      <c r="H2" s="58"/>
      <c r="I2" s="58"/>
    </row>
    <row r="3" spans="1:9" x14ac:dyDescent="0.2">
      <c r="A3" s="64" t="s">
        <v>36</v>
      </c>
      <c r="B3" s="20" t="s">
        <v>3</v>
      </c>
      <c r="C3" s="76" t="s">
        <v>4</v>
      </c>
      <c r="D3" s="76"/>
      <c r="F3" s="76" t="s">
        <v>52</v>
      </c>
      <c r="G3" s="76" t="s">
        <v>3</v>
      </c>
      <c r="H3" s="76" t="s">
        <v>4</v>
      </c>
      <c r="I3" s="76"/>
    </row>
    <row r="4" spans="1:9" x14ac:dyDescent="0.2">
      <c r="A4" s="64"/>
      <c r="B4" s="20" t="s">
        <v>27</v>
      </c>
      <c r="C4" s="20" t="s">
        <v>28</v>
      </c>
      <c r="D4" s="20" t="s">
        <v>29</v>
      </c>
      <c r="F4" s="76"/>
      <c r="G4" s="76"/>
      <c r="H4" s="20" t="s">
        <v>15</v>
      </c>
      <c r="I4" s="20" t="s">
        <v>16</v>
      </c>
    </row>
    <row r="5" spans="1:9" ht="52" thickBot="1" x14ac:dyDescent="0.25">
      <c r="A5" s="77"/>
      <c r="B5" s="26">
        <v>120</v>
      </c>
      <c r="C5" s="26">
        <v>140</v>
      </c>
      <c r="D5" s="26">
        <v>95</v>
      </c>
      <c r="F5" s="3" t="s">
        <v>58</v>
      </c>
      <c r="G5" s="17">
        <f>-(G10*B5)</f>
        <v>-120</v>
      </c>
      <c r="H5" s="17">
        <f>G10*C5</f>
        <v>140</v>
      </c>
      <c r="I5" s="17">
        <f>(G10*D5)</f>
        <v>95</v>
      </c>
    </row>
    <row r="6" spans="1:9" ht="57" customHeight="1" thickBot="1" x14ac:dyDescent="0.25">
      <c r="A6" s="73" t="s">
        <v>8</v>
      </c>
      <c r="B6" s="19" t="s">
        <v>3</v>
      </c>
      <c r="C6" s="60" t="s">
        <v>4</v>
      </c>
      <c r="D6" s="60"/>
      <c r="F6" s="25" t="s">
        <v>59</v>
      </c>
      <c r="G6" s="26" t="s">
        <v>40</v>
      </c>
      <c r="H6" s="26" t="s">
        <v>40</v>
      </c>
      <c r="I6" s="26" t="s">
        <v>40</v>
      </c>
    </row>
    <row r="7" spans="1:9" ht="34" customHeight="1" x14ac:dyDescent="0.2">
      <c r="A7" s="74"/>
      <c r="B7" s="20" t="s">
        <v>55</v>
      </c>
      <c r="C7" s="20" t="s">
        <v>56</v>
      </c>
      <c r="D7" s="20" t="s">
        <v>57</v>
      </c>
      <c r="F7" s="19" t="s">
        <v>49</v>
      </c>
      <c r="G7" s="43">
        <f>B8</f>
        <v>100</v>
      </c>
      <c r="H7" s="44" t="s">
        <v>43</v>
      </c>
      <c r="I7" s="43">
        <f>D8</f>
        <v>74.2</v>
      </c>
    </row>
    <row r="8" spans="1:9" ht="17" thickBot="1" x14ac:dyDescent="0.25">
      <c r="A8" s="75"/>
      <c r="B8" s="26">
        <v>100</v>
      </c>
      <c r="C8" s="30" t="s">
        <v>43</v>
      </c>
      <c r="D8" s="26">
        <v>74.2</v>
      </c>
    </row>
    <row r="9" spans="1:9" x14ac:dyDescent="0.2">
      <c r="A9" s="78" t="s">
        <v>9</v>
      </c>
      <c r="B9" s="19" t="s">
        <v>10</v>
      </c>
      <c r="C9" s="1"/>
      <c r="D9" s="1"/>
      <c r="F9" s="57" t="s">
        <v>39</v>
      </c>
      <c r="G9" s="57"/>
    </row>
    <row r="10" spans="1:9" x14ac:dyDescent="0.2">
      <c r="A10" s="64"/>
      <c r="B10" s="28" t="s">
        <v>42</v>
      </c>
      <c r="C10" s="1"/>
      <c r="D10" s="1"/>
      <c r="F10" s="20" t="s">
        <v>17</v>
      </c>
      <c r="G10" s="17">
        <v>1</v>
      </c>
    </row>
    <row r="11" spans="1:9" x14ac:dyDescent="0.2">
      <c r="F11" s="20" t="s">
        <v>18</v>
      </c>
      <c r="G11" s="27" t="s">
        <v>41</v>
      </c>
    </row>
    <row r="12" spans="1:9" x14ac:dyDescent="0.2">
      <c r="A12" s="70" t="s">
        <v>51</v>
      </c>
      <c r="B12" s="70"/>
      <c r="C12" s="70"/>
    </row>
    <row r="13" spans="1:9" x14ac:dyDescent="0.2">
      <c r="A13" s="17" t="s">
        <v>44</v>
      </c>
      <c r="B13" s="20" t="s">
        <v>45</v>
      </c>
      <c r="C13" s="27">
        <f>(B8-G10*B5)</f>
        <v>-20</v>
      </c>
    </row>
    <row r="14" spans="1:9" x14ac:dyDescent="0.2">
      <c r="A14" s="17" t="s">
        <v>48</v>
      </c>
      <c r="B14" s="20" t="s">
        <v>53</v>
      </c>
      <c r="C14" s="28">
        <f>(D8-G10*D5-C13)/C13</f>
        <v>3.9999999999999855E-2</v>
      </c>
    </row>
    <row r="15" spans="1:9" x14ac:dyDescent="0.2">
      <c r="A15" s="17" t="s">
        <v>50</v>
      </c>
      <c r="B15" s="20" t="s">
        <v>54</v>
      </c>
      <c r="C15" s="21">
        <f>(G10*C5+C13*(1+C14))</f>
        <v>119.2</v>
      </c>
    </row>
  </sheetData>
  <mergeCells count="13">
    <mergeCell ref="A12:C12"/>
    <mergeCell ref="A1:I1"/>
    <mergeCell ref="F9:G9"/>
    <mergeCell ref="C6:D6"/>
    <mergeCell ref="A6:A8"/>
    <mergeCell ref="F2:I2"/>
    <mergeCell ref="H3:I3"/>
    <mergeCell ref="G3:G4"/>
    <mergeCell ref="F3:F4"/>
    <mergeCell ref="A3:A5"/>
    <mergeCell ref="A9:A10"/>
    <mergeCell ref="A2:D2"/>
    <mergeCell ref="C3:D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7431E492-CE27-EA4C-AE00-005BBB13CD94}">
            <x14:iconSet iconSet="3Triangles">
              <x14:cfvo type="percent">
                <xm:f>0</xm:f>
              </x14:cfvo>
              <x14:cfvo type="percent">
                <xm:f>33</xm:f>
              </x14:cfvo>
              <x14:cfvo type="percent">
                <xm:f>67</xm:f>
              </x14:cfvo>
            </x14:iconSet>
          </x14:cfRule>
          <xm:sqref>C5:D5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C549-3044-E44F-9C47-EDD35020913B}">
  <sheetPr>
    <tabColor rgb="FF0070C0"/>
  </sheetPr>
  <dimension ref="A1:F24"/>
  <sheetViews>
    <sheetView zoomScale="174" workbookViewId="0">
      <pane ySplit="1" topLeftCell="A2" activePane="bottomLeft" state="frozen"/>
      <selection pane="bottomLeft" activeCell="G4" sqref="G4"/>
    </sheetView>
  </sheetViews>
  <sheetFormatPr baseColWidth="10" defaultRowHeight="16" x14ac:dyDescent="0.2"/>
  <cols>
    <col min="1" max="1" width="38" bestFit="1" customWidth="1"/>
    <col min="4" max="5" width="15.83203125" customWidth="1"/>
  </cols>
  <sheetData>
    <row r="1" spans="1:6" x14ac:dyDescent="0.2">
      <c r="A1" s="72" t="s">
        <v>60</v>
      </c>
      <c r="B1" s="72"/>
      <c r="C1" s="72"/>
      <c r="D1" s="72"/>
      <c r="E1" s="72"/>
      <c r="F1" s="32"/>
    </row>
    <row r="2" spans="1:6" x14ac:dyDescent="0.2">
      <c r="A2" s="58" t="s">
        <v>35</v>
      </c>
      <c r="B2" s="58"/>
      <c r="C2" s="1"/>
      <c r="D2" s="1"/>
      <c r="E2" s="1"/>
    </row>
    <row r="3" spans="1:6" x14ac:dyDescent="0.2">
      <c r="A3" s="20" t="s">
        <v>61</v>
      </c>
      <c r="B3" s="17">
        <v>0.01</v>
      </c>
      <c r="C3" s="1"/>
      <c r="D3" s="1"/>
      <c r="E3" s="1"/>
    </row>
    <row r="4" spans="1:6" x14ac:dyDescent="0.2">
      <c r="A4" s="20" t="s">
        <v>62</v>
      </c>
      <c r="B4" s="17">
        <v>2</v>
      </c>
      <c r="C4" s="1"/>
      <c r="D4" s="1"/>
      <c r="E4" s="1"/>
    </row>
    <row r="5" spans="1:6" x14ac:dyDescent="0.2">
      <c r="A5" s="20" t="s">
        <v>63</v>
      </c>
      <c r="B5" s="17">
        <v>100</v>
      </c>
      <c r="C5" s="1"/>
      <c r="D5" s="1"/>
      <c r="E5" s="1"/>
    </row>
    <row r="6" spans="1:6" x14ac:dyDescent="0.2">
      <c r="A6" s="20" t="s">
        <v>64</v>
      </c>
      <c r="B6" s="17">
        <v>104</v>
      </c>
      <c r="C6" s="1"/>
      <c r="D6" s="1"/>
      <c r="E6" s="1"/>
    </row>
    <row r="7" spans="1:6" x14ac:dyDescent="0.2">
      <c r="A7" s="1"/>
      <c r="B7" s="1"/>
      <c r="C7" s="1"/>
      <c r="D7" s="1"/>
      <c r="E7" s="1"/>
    </row>
    <row r="8" spans="1:6" x14ac:dyDescent="0.2">
      <c r="A8" s="58" t="s">
        <v>66</v>
      </c>
      <c r="B8" s="58"/>
      <c r="C8" s="1"/>
      <c r="D8" s="1"/>
      <c r="E8" s="1"/>
    </row>
    <row r="9" spans="1:6" x14ac:dyDescent="0.2">
      <c r="A9" s="20" t="s">
        <v>27</v>
      </c>
      <c r="B9" s="17">
        <v>100</v>
      </c>
      <c r="C9" s="1"/>
      <c r="D9" s="1"/>
      <c r="E9" s="1"/>
    </row>
    <row r="10" spans="1:6" x14ac:dyDescent="0.2">
      <c r="A10" s="20" t="s">
        <v>28</v>
      </c>
      <c r="B10" s="17">
        <v>110</v>
      </c>
      <c r="C10" s="1"/>
      <c r="D10" s="1"/>
      <c r="E10" s="1"/>
    </row>
    <row r="11" spans="1:6" x14ac:dyDescent="0.2">
      <c r="A11" s="20" t="s">
        <v>29</v>
      </c>
      <c r="B11" s="17">
        <v>95</v>
      </c>
      <c r="C11" s="1"/>
      <c r="D11" s="1"/>
      <c r="E11" s="1"/>
    </row>
    <row r="12" spans="1:6" x14ac:dyDescent="0.2">
      <c r="A12" s="20" t="s">
        <v>139</v>
      </c>
      <c r="B12" s="17">
        <v>121</v>
      </c>
      <c r="C12" s="1"/>
      <c r="D12" s="1"/>
      <c r="E12" s="1"/>
    </row>
    <row r="13" spans="1:6" x14ac:dyDescent="0.2">
      <c r="A13" s="20" t="s">
        <v>138</v>
      </c>
      <c r="B13" s="17">
        <v>104.5</v>
      </c>
      <c r="C13" s="1"/>
      <c r="D13" s="1"/>
      <c r="E13" s="1"/>
    </row>
    <row r="14" spans="1:6" x14ac:dyDescent="0.2">
      <c r="A14" s="20" t="s">
        <v>137</v>
      </c>
      <c r="B14" s="17">
        <v>90.25</v>
      </c>
      <c r="C14" s="1"/>
      <c r="D14" s="58" t="s">
        <v>65</v>
      </c>
      <c r="E14" s="58"/>
    </row>
    <row r="15" spans="1:6" x14ac:dyDescent="0.2">
      <c r="A15" s="1"/>
      <c r="B15" s="1"/>
      <c r="C15" s="1"/>
      <c r="D15" s="20" t="s">
        <v>136</v>
      </c>
      <c r="E15" s="33">
        <f>(B10-B13)/(B12-B13)</f>
        <v>0.33333333333333331</v>
      </c>
    </row>
    <row r="16" spans="1:6" x14ac:dyDescent="0.2">
      <c r="A16" s="58" t="s">
        <v>67</v>
      </c>
      <c r="B16" s="58"/>
      <c r="C16" s="1"/>
      <c r="D16" s="20" t="s">
        <v>135</v>
      </c>
      <c r="E16" s="33">
        <f>(1-E15)</f>
        <v>0.66666666666666674</v>
      </c>
    </row>
    <row r="17" spans="1:6" ht="17" thickBot="1" x14ac:dyDescent="0.25">
      <c r="A17" s="20" t="s">
        <v>37</v>
      </c>
      <c r="B17" s="29" t="s">
        <v>38</v>
      </c>
      <c r="C17" s="1"/>
      <c r="D17" s="42" t="s">
        <v>56</v>
      </c>
      <c r="E17" s="26">
        <f>((B18*E15)+(B19*E16))/(1+B3)</f>
        <v>102.97029702970298</v>
      </c>
      <c r="F17" t="s">
        <v>38</v>
      </c>
    </row>
    <row r="18" spans="1:6" x14ac:dyDescent="0.2">
      <c r="A18" s="20" t="s">
        <v>68</v>
      </c>
      <c r="B18" s="17">
        <v>104</v>
      </c>
      <c r="C18" s="1"/>
      <c r="D18" s="19" t="s">
        <v>134</v>
      </c>
      <c r="E18" s="41">
        <f>(B11-B14)/(B13-B14)</f>
        <v>0.33333333333333331</v>
      </c>
    </row>
    <row r="19" spans="1:6" x14ac:dyDescent="0.2">
      <c r="A19" s="20" t="s">
        <v>69</v>
      </c>
      <c r="B19" s="17">
        <v>104</v>
      </c>
      <c r="C19" s="1"/>
      <c r="D19" s="20" t="s">
        <v>133</v>
      </c>
      <c r="E19" s="33">
        <f>(1-E18)</f>
        <v>0.66666666666666674</v>
      </c>
    </row>
    <row r="20" spans="1:6" ht="17" thickBot="1" x14ac:dyDescent="0.25">
      <c r="A20" s="20" t="s">
        <v>70</v>
      </c>
      <c r="B20" s="17">
        <v>50</v>
      </c>
      <c r="C20" s="1"/>
      <c r="D20" s="42" t="s">
        <v>57</v>
      </c>
      <c r="E20" s="26">
        <f>((B19*E18)+(B20*E19))/(1+B3)</f>
        <v>67.32673267326733</v>
      </c>
      <c r="F20" t="s">
        <v>38</v>
      </c>
    </row>
    <row r="21" spans="1:6" x14ac:dyDescent="0.2">
      <c r="A21" s="1"/>
      <c r="B21" s="1"/>
      <c r="C21" s="1"/>
      <c r="D21" s="19" t="s">
        <v>131</v>
      </c>
      <c r="E21" s="41">
        <f>(B9-B11)/(B10-B11)</f>
        <v>0.33333333333333331</v>
      </c>
    </row>
    <row r="22" spans="1:6" x14ac:dyDescent="0.2">
      <c r="A22" s="1"/>
      <c r="B22" s="1"/>
      <c r="C22" s="1"/>
      <c r="D22" s="20" t="s">
        <v>132</v>
      </c>
      <c r="E22" s="33">
        <f>(1-E21)</f>
        <v>0.66666666666666674</v>
      </c>
    </row>
    <row r="23" spans="1:6" x14ac:dyDescent="0.2">
      <c r="A23" s="1"/>
      <c r="B23" s="1"/>
      <c r="C23" s="1"/>
      <c r="D23" s="20" t="s">
        <v>55</v>
      </c>
      <c r="E23" s="17">
        <f>((E17*E21+E20*E22))/(1+B3)</f>
        <v>78.423683952553688</v>
      </c>
      <c r="F23" t="s">
        <v>38</v>
      </c>
    </row>
    <row r="24" spans="1:6" x14ac:dyDescent="0.2">
      <c r="E24" s="31"/>
    </row>
  </sheetData>
  <mergeCells count="5">
    <mergeCell ref="A2:B2"/>
    <mergeCell ref="A8:B8"/>
    <mergeCell ref="A16:B16"/>
    <mergeCell ref="D14:E14"/>
    <mergeCell ref="A1:E1"/>
  </mergeCells>
  <conditionalFormatting sqref="E17 E20 E23">
    <cfRule type="colorScale" priority="1">
      <colorScale>
        <cfvo type="min"/>
        <cfvo type="num" val="$E$23"/>
        <cfvo type="max"/>
        <color theme="5" tint="0.59999389629810485"/>
        <color theme="7" tint="0.79998168889431442"/>
        <color theme="9" tint="0.39997558519241921"/>
      </colorScale>
    </cfRule>
    <cfRule type="colorScale" priority="2">
      <colorScale>
        <cfvo type="min"/>
        <cfvo type="percentile" val="50"/>
        <cfvo type="max"/>
        <color rgb="FFF8696B"/>
        <color rgb="FFFCFCFF"/>
        <color rgb="FF63BE7B"/>
      </colorScale>
    </cfRule>
    <cfRule type="colorScale" priority="3">
      <colorScale>
        <cfvo type="min"/>
        <cfvo type="percentile" val="50"/>
        <cfvo type="max"/>
        <color rgb="FF63BE7B"/>
        <color rgb="FFFFEB84"/>
        <color rgb="FFF8696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5" id="{96CFA97F-4FDD-314F-BB68-46DA334EE92F}">
            <x14:iconSet iconSet="3Triangles">
              <x14:cfvo type="percent">
                <xm:f>0</xm:f>
              </x14:cfvo>
              <x14:cfvo type="percent">
                <xm:f>33</xm:f>
              </x14:cfvo>
              <x14:cfvo type="percent">
                <xm:f>67</xm:f>
              </x14:cfvo>
            </x14:iconSet>
          </x14:cfRule>
          <xm:sqref>B10:B11</xm:sqref>
        </x14:conditionalFormatting>
        <x14:conditionalFormatting xmlns:xm="http://schemas.microsoft.com/office/excel/2006/main">
          <x14:cfRule type="iconSet" priority="4" id="{FF63FA8F-138A-8F45-B679-C1737993CD48}">
            <x14:iconSet iconSet="3Triangles">
              <x14:cfvo type="percent">
                <xm:f>0</xm:f>
              </x14:cfvo>
              <x14:cfvo type="percent">
                <xm:f>33</xm:f>
              </x14:cfvo>
              <x14:cfvo type="percent">
                <xm:f>67</xm:f>
              </x14:cfvo>
            </x14:iconSet>
          </x14:cfRule>
          <xm:sqref>B12:B14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2D9-9B34-F543-B027-91A977583CD8}">
  <sheetPr>
    <tabColor rgb="FF00B050"/>
  </sheetPr>
  <dimension ref="A1:E18"/>
  <sheetViews>
    <sheetView zoomScale="210" workbookViewId="0">
      <pane ySplit="1" topLeftCell="A4" activePane="bottomLeft" state="frozen"/>
      <selection pane="bottomLeft" activeCell="C5" sqref="C5"/>
    </sheetView>
  </sheetViews>
  <sheetFormatPr baseColWidth="10" defaultRowHeight="16" x14ac:dyDescent="0.2"/>
  <cols>
    <col min="1" max="1" width="25.33203125" bestFit="1" customWidth="1"/>
    <col min="2" max="4" width="13.1640625" bestFit="1" customWidth="1"/>
    <col min="5" max="5" width="10.83203125" customWidth="1"/>
  </cols>
  <sheetData>
    <row r="1" spans="1:5" x14ac:dyDescent="0.2">
      <c r="A1" s="72" t="s">
        <v>71</v>
      </c>
      <c r="B1" s="72"/>
      <c r="C1" s="72"/>
      <c r="D1" s="72"/>
      <c r="E1" s="72"/>
    </row>
    <row r="2" spans="1:5" x14ac:dyDescent="0.2">
      <c r="A2" s="58" t="s">
        <v>35</v>
      </c>
      <c r="B2" s="58"/>
      <c r="C2" s="1"/>
      <c r="D2" s="58" t="s">
        <v>74</v>
      </c>
      <c r="E2" s="58"/>
    </row>
    <row r="3" spans="1:5" x14ac:dyDescent="0.2">
      <c r="A3" s="20" t="s">
        <v>72</v>
      </c>
      <c r="B3" s="17">
        <v>30</v>
      </c>
      <c r="C3" s="1"/>
      <c r="D3" s="20" t="s">
        <v>28</v>
      </c>
      <c r="E3" s="17">
        <f>(B5*B4)</f>
        <v>39.199999999999996</v>
      </c>
    </row>
    <row r="4" spans="1:5" x14ac:dyDescent="0.2">
      <c r="A4" s="20" t="s">
        <v>27</v>
      </c>
      <c r="B4" s="17">
        <v>28</v>
      </c>
      <c r="C4" s="1"/>
      <c r="D4" s="20" t="s">
        <v>29</v>
      </c>
      <c r="E4" s="17">
        <f>(B6*B4)</f>
        <v>22.400000000000002</v>
      </c>
    </row>
    <row r="5" spans="1:5" x14ac:dyDescent="0.2">
      <c r="A5" s="20" t="s">
        <v>80</v>
      </c>
      <c r="B5" s="17">
        <v>1.4</v>
      </c>
      <c r="C5" s="1"/>
      <c r="D5" s="20" t="s">
        <v>55</v>
      </c>
      <c r="E5" s="22" t="s">
        <v>38</v>
      </c>
    </row>
    <row r="6" spans="1:5" x14ac:dyDescent="0.2">
      <c r="A6" s="20" t="s">
        <v>79</v>
      </c>
      <c r="B6" s="17">
        <v>0.8</v>
      </c>
      <c r="C6" s="1"/>
      <c r="D6" s="20" t="s">
        <v>56</v>
      </c>
      <c r="E6" s="22">
        <f>MAX(0,B3-E3)</f>
        <v>0</v>
      </c>
    </row>
    <row r="7" spans="1:5" x14ac:dyDescent="0.2">
      <c r="A7" s="20" t="s">
        <v>78</v>
      </c>
      <c r="B7" s="17">
        <v>0.1</v>
      </c>
      <c r="C7" s="1"/>
      <c r="D7" s="20" t="s">
        <v>57</v>
      </c>
      <c r="E7" s="22">
        <f>MAX(0,B3-E4)</f>
        <v>7.5999999999999979</v>
      </c>
    </row>
    <row r="9" spans="1:5" x14ac:dyDescent="0.2">
      <c r="A9" s="70" t="s">
        <v>14</v>
      </c>
      <c r="B9" s="70"/>
      <c r="C9" s="70"/>
      <c r="D9" s="70"/>
    </row>
    <row r="10" spans="1:5" x14ac:dyDescent="0.2">
      <c r="A10" s="79" t="s">
        <v>73</v>
      </c>
      <c r="B10" s="79" t="s">
        <v>3</v>
      </c>
      <c r="C10" s="79" t="s">
        <v>4</v>
      </c>
      <c r="D10" s="79"/>
    </row>
    <row r="11" spans="1:5" x14ac:dyDescent="0.2">
      <c r="A11" s="79"/>
      <c r="B11" s="79"/>
      <c r="C11" s="18" t="s">
        <v>15</v>
      </c>
      <c r="D11" s="18" t="s">
        <v>16</v>
      </c>
    </row>
    <row r="12" spans="1:5" x14ac:dyDescent="0.2">
      <c r="A12" s="18" t="s">
        <v>82</v>
      </c>
      <c r="B12" s="53">
        <f>-B17*B4</f>
        <v>12.666666666666668</v>
      </c>
      <c r="C12" s="53">
        <f>B17*E3</f>
        <v>-17.733333333333334</v>
      </c>
      <c r="D12" s="53">
        <f>B17*E4</f>
        <v>-10.133333333333336</v>
      </c>
    </row>
    <row r="13" spans="1:5" ht="17" thickBot="1" x14ac:dyDescent="0.25">
      <c r="A13" s="40" t="s">
        <v>76</v>
      </c>
      <c r="B13" s="54">
        <f>-B18</f>
        <v>-16.121212121212121</v>
      </c>
      <c r="C13" s="54">
        <f>B18*(1+B7)</f>
        <v>17.733333333333334</v>
      </c>
      <c r="D13" s="54">
        <f>B18*(1+B7)</f>
        <v>17.733333333333334</v>
      </c>
    </row>
    <row r="14" spans="1:5" x14ac:dyDescent="0.2">
      <c r="A14" s="38" t="s">
        <v>81</v>
      </c>
      <c r="B14" s="45">
        <f>-(B12+B13)</f>
        <v>3.4545454545454533</v>
      </c>
      <c r="C14" s="39">
        <f>C12+C13</f>
        <v>0</v>
      </c>
      <c r="D14" s="39">
        <f>D12+D13</f>
        <v>7.5999999999999979</v>
      </c>
    </row>
    <row r="16" spans="1:5" x14ac:dyDescent="0.2">
      <c r="A16" s="70" t="s">
        <v>75</v>
      </c>
      <c r="B16" s="70"/>
    </row>
    <row r="17" spans="1:2" x14ac:dyDescent="0.2">
      <c r="A17" s="18" t="s">
        <v>17</v>
      </c>
      <c r="B17" s="5">
        <f>(E6-E7)/(E3-E4)</f>
        <v>-0.45238095238095244</v>
      </c>
    </row>
    <row r="18" spans="1:2" x14ac:dyDescent="0.2">
      <c r="A18" s="18" t="s">
        <v>18</v>
      </c>
      <c r="B18" s="5">
        <f>(E6-B17*E3)/(1+B7)</f>
        <v>16.121212121212121</v>
      </c>
    </row>
  </sheetData>
  <mergeCells count="8">
    <mergeCell ref="A16:B16"/>
    <mergeCell ref="A1:E1"/>
    <mergeCell ref="A2:B2"/>
    <mergeCell ref="D2:E2"/>
    <mergeCell ref="A9:D9"/>
    <mergeCell ref="C10:D10"/>
    <mergeCell ref="B10:B11"/>
    <mergeCell ref="A10:A1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785C360C-7469-4840-BB93-00E3E51C099B}">
            <x14:iconSet iconSet="3Triangles">
              <x14:cfvo type="percent">
                <xm:f>0</xm:f>
              </x14:cfvo>
              <x14:cfvo type="percent">
                <xm:f>33</xm:f>
              </x14:cfvo>
              <x14:cfvo type="percent">
                <xm:f>67</xm:f>
              </x14:cfvo>
            </x14:iconSet>
          </x14:cfRule>
          <xm:sqref>E3:E4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B8C1-E62C-3D41-A75F-D9F6CA10C220}">
  <sheetPr>
    <tabColor rgb="FF7030A0"/>
  </sheetPr>
  <dimension ref="A1:H66"/>
  <sheetViews>
    <sheetView zoomScale="190" zoomScaleNormal="150" workbookViewId="0">
      <pane ySplit="1" topLeftCell="A24" activePane="bottomLeft" state="frozen"/>
      <selection pane="bottomLeft" activeCell="B15" sqref="B15"/>
    </sheetView>
  </sheetViews>
  <sheetFormatPr baseColWidth="10" defaultRowHeight="16" x14ac:dyDescent="0.2"/>
  <cols>
    <col min="1" max="1" width="26.6640625" bestFit="1" customWidth="1"/>
    <col min="2" max="2" width="12.5" bestFit="1" customWidth="1"/>
    <col min="3" max="3" width="11.6640625" bestFit="1" customWidth="1"/>
  </cols>
  <sheetData>
    <row r="1" spans="1:8" x14ac:dyDescent="0.2">
      <c r="A1" s="80" t="s">
        <v>83</v>
      </c>
      <c r="B1" s="80"/>
      <c r="C1" s="80"/>
      <c r="D1" s="80"/>
      <c r="E1" s="80"/>
      <c r="F1" s="80"/>
      <c r="G1" s="80"/>
      <c r="H1" s="80"/>
    </row>
    <row r="2" spans="1:8" x14ac:dyDescent="0.2">
      <c r="A2" s="82" t="s">
        <v>84</v>
      </c>
      <c r="B2" s="82"/>
      <c r="C2" s="82"/>
      <c r="D2" s="1"/>
      <c r="E2" s="1"/>
      <c r="F2" s="1"/>
      <c r="G2" s="1"/>
      <c r="H2" s="1"/>
    </row>
    <row r="3" spans="1:8" x14ac:dyDescent="0.2">
      <c r="A3" s="20" t="s">
        <v>87</v>
      </c>
      <c r="B3" s="20" t="s">
        <v>85</v>
      </c>
      <c r="C3" s="20" t="s">
        <v>86</v>
      </c>
      <c r="D3" s="1"/>
      <c r="E3" s="1"/>
      <c r="F3" s="1"/>
      <c r="G3" s="1"/>
      <c r="H3" s="1"/>
    </row>
    <row r="4" spans="1:8" x14ac:dyDescent="0.2">
      <c r="A4" s="20" t="s">
        <v>105</v>
      </c>
      <c r="B4" s="17">
        <v>25000</v>
      </c>
      <c r="C4" s="17">
        <v>190</v>
      </c>
      <c r="D4" s="1"/>
      <c r="E4" s="1"/>
      <c r="F4" s="1"/>
      <c r="G4" s="1"/>
      <c r="H4" s="1"/>
    </row>
    <row r="5" spans="1:8" x14ac:dyDescent="0.2">
      <c r="A5" s="20" t="s">
        <v>106</v>
      </c>
      <c r="B5" s="17">
        <v>6.47</v>
      </c>
      <c r="C5" s="17">
        <v>13.47</v>
      </c>
      <c r="D5" s="1"/>
      <c r="E5" s="1"/>
      <c r="F5" s="1"/>
      <c r="G5" s="1"/>
      <c r="H5" s="1"/>
    </row>
    <row r="6" spans="1:8" x14ac:dyDescent="0.2">
      <c r="A6" s="20" t="s">
        <v>89</v>
      </c>
      <c r="B6" s="17">
        <v>20800</v>
      </c>
      <c r="C6" s="17">
        <v>140</v>
      </c>
      <c r="D6" s="1"/>
      <c r="E6" s="1"/>
      <c r="F6" s="1"/>
      <c r="G6" s="1"/>
      <c r="H6" s="1"/>
    </row>
    <row r="7" spans="1:8" x14ac:dyDescent="0.2">
      <c r="A7" s="20" t="s">
        <v>88</v>
      </c>
      <c r="B7" s="17">
        <v>0.01</v>
      </c>
      <c r="C7" s="17">
        <v>1</v>
      </c>
      <c r="D7" s="1"/>
      <c r="E7" s="1"/>
      <c r="F7" s="1"/>
      <c r="G7" s="1"/>
      <c r="H7" s="1"/>
    </row>
    <row r="8" spans="1:8" x14ac:dyDescent="0.2">
      <c r="A8" s="1"/>
      <c r="B8" s="1"/>
      <c r="C8" s="1"/>
      <c r="D8" s="1"/>
      <c r="E8" s="1"/>
      <c r="F8" s="1"/>
      <c r="G8" s="1"/>
      <c r="H8" s="1"/>
    </row>
    <row r="9" spans="1:8" ht="32" customHeight="1" x14ac:dyDescent="0.2">
      <c r="A9" s="57" t="s">
        <v>91</v>
      </c>
      <c r="B9" s="57"/>
      <c r="C9" s="1"/>
      <c r="D9" s="56" t="s">
        <v>94</v>
      </c>
      <c r="E9" s="56"/>
      <c r="F9" s="56"/>
      <c r="G9" s="56"/>
      <c r="H9" s="56"/>
    </row>
    <row r="10" spans="1:8" x14ac:dyDescent="0.2">
      <c r="A10" s="20" t="s">
        <v>85</v>
      </c>
      <c r="B10" s="20" t="s">
        <v>90</v>
      </c>
      <c r="C10" s="1"/>
      <c r="D10" s="58" t="s">
        <v>92</v>
      </c>
      <c r="E10" s="58"/>
      <c r="F10" s="58"/>
      <c r="G10" s="58"/>
      <c r="H10" s="58"/>
    </row>
    <row r="11" spans="1:8" x14ac:dyDescent="0.2">
      <c r="A11" s="17">
        <v>15000</v>
      </c>
      <c r="B11" s="17">
        <f>MAX($B$6-A11,0)</f>
        <v>5800</v>
      </c>
      <c r="C11" s="1"/>
      <c r="D11" s="1"/>
      <c r="E11" s="1"/>
      <c r="F11" s="1"/>
      <c r="G11" s="1"/>
      <c r="H11" s="1"/>
    </row>
    <row r="12" spans="1:8" x14ac:dyDescent="0.2">
      <c r="A12" s="17">
        <v>16000</v>
      </c>
      <c r="B12" s="17">
        <f t="shared" ref="B12:B24" si="0">MAX($B$6-A12,0)</f>
        <v>4800</v>
      </c>
      <c r="C12" s="1"/>
      <c r="D12" s="1"/>
      <c r="E12" s="1"/>
      <c r="F12" s="1"/>
      <c r="G12" s="1"/>
      <c r="H12" s="1"/>
    </row>
    <row r="13" spans="1:8" x14ac:dyDescent="0.2">
      <c r="A13" s="17">
        <v>17000</v>
      </c>
      <c r="B13" s="17">
        <f t="shared" si="0"/>
        <v>3800</v>
      </c>
      <c r="C13" s="1"/>
      <c r="D13" s="1"/>
      <c r="E13" s="1"/>
      <c r="F13" s="1"/>
      <c r="G13" s="1"/>
      <c r="H13" s="1"/>
    </row>
    <row r="14" spans="1:8" x14ac:dyDescent="0.2">
      <c r="A14" s="17">
        <v>18000</v>
      </c>
      <c r="B14" s="17">
        <f t="shared" si="0"/>
        <v>2800</v>
      </c>
      <c r="C14" s="1"/>
      <c r="D14" s="1"/>
      <c r="E14" s="1"/>
      <c r="F14" s="1"/>
      <c r="G14" s="1"/>
      <c r="H14" s="1"/>
    </row>
    <row r="15" spans="1:8" x14ac:dyDescent="0.2">
      <c r="A15" s="17">
        <v>19000</v>
      </c>
      <c r="B15" s="17">
        <f t="shared" si="0"/>
        <v>1800</v>
      </c>
      <c r="C15" s="1"/>
      <c r="D15" s="1"/>
      <c r="E15" s="1"/>
      <c r="F15" s="1"/>
      <c r="G15" s="1"/>
      <c r="H15" s="1"/>
    </row>
    <row r="16" spans="1:8" x14ac:dyDescent="0.2">
      <c r="A16" s="17">
        <v>20000</v>
      </c>
      <c r="B16" s="17">
        <f t="shared" si="0"/>
        <v>800</v>
      </c>
      <c r="C16" s="1"/>
      <c r="D16" s="1"/>
      <c r="E16" s="1"/>
      <c r="F16" s="1"/>
      <c r="G16" s="1"/>
      <c r="H16" s="1"/>
    </row>
    <row r="17" spans="1:8" x14ac:dyDescent="0.2">
      <c r="A17" s="17">
        <v>21000</v>
      </c>
      <c r="B17" s="17">
        <f t="shared" si="0"/>
        <v>0</v>
      </c>
      <c r="C17" s="1"/>
      <c r="D17" s="1"/>
      <c r="E17" s="1"/>
      <c r="F17" s="1"/>
      <c r="G17" s="1"/>
      <c r="H17" s="1"/>
    </row>
    <row r="18" spans="1:8" x14ac:dyDescent="0.2">
      <c r="A18" s="17">
        <v>22000</v>
      </c>
      <c r="B18" s="17">
        <f t="shared" si="0"/>
        <v>0</v>
      </c>
      <c r="C18" s="1"/>
      <c r="D18" s="1"/>
      <c r="E18" s="1"/>
      <c r="F18" s="1"/>
      <c r="G18" s="1"/>
      <c r="H18" s="1"/>
    </row>
    <row r="19" spans="1:8" x14ac:dyDescent="0.2">
      <c r="A19" s="17">
        <v>23000</v>
      </c>
      <c r="B19" s="17">
        <f t="shared" si="0"/>
        <v>0</v>
      </c>
      <c r="C19" s="1"/>
      <c r="D19" s="1"/>
      <c r="E19" s="1"/>
      <c r="F19" s="1"/>
      <c r="G19" s="1"/>
      <c r="H19" s="1"/>
    </row>
    <row r="20" spans="1:8" x14ac:dyDescent="0.2">
      <c r="A20" s="17">
        <v>24000</v>
      </c>
      <c r="B20" s="17">
        <f t="shared" si="0"/>
        <v>0</v>
      </c>
      <c r="C20" s="1"/>
      <c r="D20" s="1"/>
      <c r="E20" s="1"/>
      <c r="F20" s="1"/>
      <c r="G20" s="1"/>
      <c r="H20" s="1"/>
    </row>
    <row r="21" spans="1:8" x14ac:dyDescent="0.2">
      <c r="A21" s="46">
        <v>25000</v>
      </c>
      <c r="B21" s="17">
        <f t="shared" si="0"/>
        <v>0</v>
      </c>
      <c r="C21" s="48"/>
      <c r="D21" s="1"/>
      <c r="E21" s="1"/>
      <c r="F21" s="1"/>
      <c r="G21" s="1"/>
      <c r="H21" s="1"/>
    </row>
    <row r="22" spans="1:8" x14ac:dyDescent="0.2">
      <c r="A22" s="17">
        <v>26000</v>
      </c>
      <c r="B22" s="17">
        <f t="shared" si="0"/>
        <v>0</v>
      </c>
      <c r="C22" s="1"/>
      <c r="D22" s="1"/>
      <c r="E22" s="1"/>
      <c r="F22" s="1"/>
      <c r="G22" s="1"/>
      <c r="H22" s="1"/>
    </row>
    <row r="23" spans="1:8" x14ac:dyDescent="0.2">
      <c r="A23" s="17">
        <v>27000</v>
      </c>
      <c r="B23" s="17">
        <f t="shared" si="0"/>
        <v>0</v>
      </c>
      <c r="C23" s="1"/>
      <c r="D23" s="1"/>
      <c r="E23" s="1"/>
      <c r="F23" s="1"/>
      <c r="G23" s="1"/>
      <c r="H23" s="1"/>
    </row>
    <row r="24" spans="1:8" x14ac:dyDescent="0.2">
      <c r="A24" s="17">
        <v>28000</v>
      </c>
      <c r="B24" s="17">
        <f t="shared" si="0"/>
        <v>0</v>
      </c>
      <c r="C24" s="1"/>
      <c r="D24" s="1"/>
      <c r="E24" s="1"/>
      <c r="F24" s="1"/>
      <c r="G24" s="1"/>
      <c r="H24" s="1"/>
    </row>
    <row r="25" spans="1:8" x14ac:dyDescent="0.2">
      <c r="A25" s="1"/>
      <c r="B25" s="1"/>
      <c r="C25" s="1"/>
      <c r="D25" s="1"/>
      <c r="E25" s="1"/>
      <c r="F25" s="1"/>
      <c r="G25" s="1"/>
      <c r="H25" s="1"/>
    </row>
    <row r="26" spans="1:8" x14ac:dyDescent="0.2">
      <c r="A26" s="1"/>
      <c r="B26" s="1"/>
      <c r="C26" s="1"/>
      <c r="D26" s="1"/>
      <c r="E26" s="1"/>
      <c r="F26" s="1"/>
      <c r="G26" s="1"/>
      <c r="H26" s="1"/>
    </row>
    <row r="27" spans="1:8" ht="32" customHeight="1" x14ac:dyDescent="0.2">
      <c r="A27" s="57" t="s">
        <v>91</v>
      </c>
      <c r="B27" s="57"/>
      <c r="C27" s="1"/>
      <c r="D27" s="83" t="s">
        <v>20</v>
      </c>
      <c r="E27" s="83"/>
      <c r="F27" s="83"/>
      <c r="G27" s="83"/>
      <c r="H27" s="83"/>
    </row>
    <row r="28" spans="1:8" x14ac:dyDescent="0.2">
      <c r="A28" s="20" t="s">
        <v>86</v>
      </c>
      <c r="B28" s="20" t="s">
        <v>90</v>
      </c>
      <c r="C28" s="1"/>
      <c r="D28" s="81" t="s">
        <v>93</v>
      </c>
      <c r="E28" s="81"/>
      <c r="F28" s="81"/>
      <c r="G28" s="81"/>
      <c r="H28" s="81"/>
    </row>
    <row r="29" spans="1:8" x14ac:dyDescent="0.2">
      <c r="A29" s="17">
        <v>90</v>
      </c>
      <c r="B29" s="17">
        <f>MAX(0,$C$6-A29)</f>
        <v>50</v>
      </c>
      <c r="C29" s="1"/>
      <c r="D29" s="1"/>
      <c r="E29" s="1"/>
      <c r="F29" s="1"/>
      <c r="G29" s="1"/>
      <c r="H29" s="1"/>
    </row>
    <row r="30" spans="1:8" x14ac:dyDescent="0.2">
      <c r="A30" s="17">
        <v>100</v>
      </c>
      <c r="B30" s="17">
        <f t="shared" ref="B30:B42" si="1">MAX(0,$C$6-A30)</f>
        <v>40</v>
      </c>
      <c r="C30" s="1"/>
      <c r="D30" s="1"/>
      <c r="E30" s="1"/>
      <c r="F30" s="1"/>
      <c r="G30" s="1"/>
      <c r="H30" s="1"/>
    </row>
    <row r="31" spans="1:8" x14ac:dyDescent="0.2">
      <c r="A31" s="17">
        <v>110</v>
      </c>
      <c r="B31" s="17">
        <f t="shared" si="1"/>
        <v>30</v>
      </c>
      <c r="C31" s="1"/>
      <c r="D31" s="1"/>
      <c r="E31" s="1"/>
      <c r="F31" s="1"/>
      <c r="G31" s="1"/>
      <c r="H31" s="1"/>
    </row>
    <row r="32" spans="1:8" x14ac:dyDescent="0.2">
      <c r="A32" s="17">
        <v>120</v>
      </c>
      <c r="B32" s="17">
        <f t="shared" si="1"/>
        <v>20</v>
      </c>
      <c r="C32" s="1"/>
      <c r="D32" s="1"/>
      <c r="E32" s="1"/>
      <c r="F32" s="1"/>
      <c r="G32" s="1"/>
      <c r="H32" s="1"/>
    </row>
    <row r="33" spans="1:8" x14ac:dyDescent="0.2">
      <c r="A33" s="17">
        <v>130</v>
      </c>
      <c r="B33" s="17">
        <f t="shared" si="1"/>
        <v>10</v>
      </c>
      <c r="C33" s="1"/>
      <c r="D33" s="1"/>
      <c r="E33" s="1"/>
      <c r="F33" s="1"/>
      <c r="G33" s="1"/>
      <c r="H33" s="1"/>
    </row>
    <row r="34" spans="1:8" x14ac:dyDescent="0.2">
      <c r="A34" s="17">
        <v>140</v>
      </c>
      <c r="B34" s="17">
        <f t="shared" si="1"/>
        <v>0</v>
      </c>
      <c r="C34" s="1"/>
      <c r="D34" s="1"/>
      <c r="E34" s="1"/>
      <c r="F34" s="1"/>
      <c r="G34" s="1"/>
      <c r="H34" s="1"/>
    </row>
    <row r="35" spans="1:8" x14ac:dyDescent="0.2">
      <c r="A35" s="17">
        <v>150</v>
      </c>
      <c r="B35" s="17">
        <f t="shared" si="1"/>
        <v>0</v>
      </c>
      <c r="C35" s="1"/>
      <c r="D35" s="1"/>
      <c r="E35" s="1"/>
      <c r="F35" s="1"/>
      <c r="G35" s="1"/>
      <c r="H35" s="1"/>
    </row>
    <row r="36" spans="1:8" x14ac:dyDescent="0.2">
      <c r="A36" s="17">
        <v>160</v>
      </c>
      <c r="B36" s="17">
        <f t="shared" si="1"/>
        <v>0</v>
      </c>
      <c r="C36" s="1"/>
      <c r="D36" s="1"/>
      <c r="E36" s="1"/>
      <c r="F36" s="1"/>
      <c r="G36" s="1"/>
      <c r="H36" s="1"/>
    </row>
    <row r="37" spans="1:8" x14ac:dyDescent="0.2">
      <c r="A37" s="17">
        <v>170</v>
      </c>
      <c r="B37" s="17">
        <f t="shared" si="1"/>
        <v>0</v>
      </c>
      <c r="C37" s="1"/>
      <c r="D37" s="1"/>
      <c r="E37" s="1"/>
      <c r="F37" s="1"/>
      <c r="G37" s="1"/>
      <c r="H37" s="1"/>
    </row>
    <row r="38" spans="1:8" x14ac:dyDescent="0.2">
      <c r="A38" s="17">
        <v>180</v>
      </c>
      <c r="B38" s="17">
        <f t="shared" si="1"/>
        <v>0</v>
      </c>
      <c r="C38" s="1"/>
      <c r="D38" s="1"/>
      <c r="E38" s="1"/>
      <c r="F38" s="1"/>
      <c r="G38" s="1"/>
      <c r="H38" s="1"/>
    </row>
    <row r="39" spans="1:8" x14ac:dyDescent="0.2">
      <c r="A39" s="17">
        <v>190</v>
      </c>
      <c r="B39" s="17">
        <f t="shared" si="1"/>
        <v>0</v>
      </c>
      <c r="C39" s="1"/>
      <c r="D39" s="1"/>
      <c r="E39" s="1"/>
      <c r="F39" s="1"/>
      <c r="G39" s="1"/>
      <c r="H39" s="1"/>
    </row>
    <row r="40" spans="1:8" x14ac:dyDescent="0.2">
      <c r="A40" s="17">
        <v>200</v>
      </c>
      <c r="B40" s="17">
        <f t="shared" si="1"/>
        <v>0</v>
      </c>
      <c r="C40" s="1"/>
      <c r="D40" s="1"/>
      <c r="E40" s="1"/>
      <c r="F40" s="1"/>
      <c r="G40" s="1"/>
      <c r="H40" s="1"/>
    </row>
    <row r="41" spans="1:8" x14ac:dyDescent="0.2">
      <c r="A41" s="17">
        <v>210</v>
      </c>
      <c r="B41" s="17">
        <f t="shared" si="1"/>
        <v>0</v>
      </c>
      <c r="C41" s="1"/>
      <c r="D41" s="1"/>
      <c r="E41" s="1"/>
      <c r="F41" s="1"/>
      <c r="G41" s="1"/>
      <c r="H41" s="1"/>
    </row>
    <row r="42" spans="1:8" x14ac:dyDescent="0.2">
      <c r="A42" s="17">
        <v>220</v>
      </c>
      <c r="B42" s="17">
        <f t="shared" si="1"/>
        <v>0</v>
      </c>
      <c r="C42" s="1"/>
      <c r="D42" s="1"/>
      <c r="E42" s="1"/>
      <c r="F42" s="1"/>
      <c r="G42" s="1"/>
      <c r="H42" s="1"/>
    </row>
    <row r="43" spans="1:8" x14ac:dyDescent="0.2">
      <c r="A43" s="1"/>
      <c r="B43" s="1"/>
      <c r="C43" s="1"/>
      <c r="D43" s="1"/>
      <c r="E43" s="1"/>
      <c r="F43" s="1"/>
      <c r="G43" s="1"/>
      <c r="H43" s="1"/>
    </row>
    <row r="44" spans="1:8" x14ac:dyDescent="0.2">
      <c r="A44" s="56" t="s">
        <v>21</v>
      </c>
      <c r="B44" s="56"/>
      <c r="C44" s="56"/>
      <c r="D44" s="1"/>
      <c r="E44" s="1"/>
      <c r="F44" s="1"/>
      <c r="G44" s="1"/>
      <c r="H44" s="1"/>
    </row>
    <row r="45" spans="1:8" x14ac:dyDescent="0.2">
      <c r="A45" s="88" t="s">
        <v>102</v>
      </c>
      <c r="B45" s="89"/>
      <c r="C45" s="90"/>
      <c r="D45" s="1"/>
      <c r="E45" s="1"/>
      <c r="F45" s="1"/>
      <c r="G45" s="1"/>
      <c r="H45" s="1"/>
    </row>
    <row r="46" spans="1:8" x14ac:dyDescent="0.2">
      <c r="A46" s="20" t="s">
        <v>96</v>
      </c>
      <c r="B46" s="20" t="s">
        <v>97</v>
      </c>
      <c r="C46" s="20" t="s">
        <v>98</v>
      </c>
      <c r="D46" s="1"/>
      <c r="E46" s="1"/>
      <c r="F46" s="1"/>
      <c r="G46" s="1"/>
      <c r="H46" s="1"/>
    </row>
    <row r="47" spans="1:8" x14ac:dyDescent="0.2">
      <c r="A47" s="20" t="s">
        <v>99</v>
      </c>
      <c r="B47" s="17">
        <f>B4*(1-0.3)</f>
        <v>17500</v>
      </c>
      <c r="C47" s="17">
        <f>C4*(1-0.3)</f>
        <v>133</v>
      </c>
      <c r="D47" s="1"/>
      <c r="E47" s="1"/>
      <c r="F47" s="1"/>
      <c r="G47" s="1"/>
      <c r="H47" s="1"/>
    </row>
    <row r="48" spans="1:8" x14ac:dyDescent="0.2">
      <c r="A48" s="20" t="s">
        <v>100</v>
      </c>
      <c r="B48" s="50">
        <v>10000</v>
      </c>
      <c r="C48" s="50">
        <v>10000</v>
      </c>
      <c r="D48" s="1"/>
      <c r="E48" s="1"/>
      <c r="F48" s="1"/>
      <c r="G48" s="1"/>
      <c r="H48" s="1"/>
    </row>
    <row r="49" spans="1:8" x14ac:dyDescent="0.2">
      <c r="A49" s="20" t="s">
        <v>140</v>
      </c>
      <c r="B49" s="52">
        <f>(MAX(0,B6-B47)*B7)</f>
        <v>33</v>
      </c>
      <c r="C49" s="52">
        <f>(MAX(0,C6-C47)*C7)</f>
        <v>7</v>
      </c>
      <c r="D49" s="1"/>
      <c r="E49" s="1"/>
      <c r="F49" s="1"/>
      <c r="G49" s="1"/>
      <c r="H49" s="1"/>
    </row>
    <row r="50" spans="1:8" x14ac:dyDescent="0.2">
      <c r="A50" s="20" t="s">
        <v>101</v>
      </c>
      <c r="B50" s="49">
        <f>B48/(MAX(0,(B6-B47))*B7)</f>
        <v>303.030303030303</v>
      </c>
      <c r="C50" s="49">
        <f>C48/(MAX(0,(C6-C47))*C7)</f>
        <v>1428.5714285714287</v>
      </c>
      <c r="D50" s="1"/>
      <c r="E50" s="1"/>
      <c r="F50" s="1"/>
      <c r="G50" s="1"/>
      <c r="H50" s="1"/>
    </row>
    <row r="51" spans="1:8" x14ac:dyDescent="0.2">
      <c r="A51" s="1"/>
      <c r="B51" s="1"/>
      <c r="C51" s="1"/>
      <c r="D51" s="1"/>
      <c r="E51" s="1"/>
      <c r="F51" s="1"/>
      <c r="G51" s="1"/>
      <c r="H51" s="1"/>
    </row>
    <row r="52" spans="1:8" ht="16" customHeight="1" x14ac:dyDescent="0.2">
      <c r="A52" s="85" t="s">
        <v>22</v>
      </c>
      <c r="B52" s="86"/>
      <c r="C52" s="87"/>
      <c r="D52" s="1"/>
      <c r="E52" s="1"/>
      <c r="F52" s="1"/>
      <c r="G52" s="1"/>
      <c r="H52" s="1"/>
    </row>
    <row r="53" spans="1:8" ht="16" customHeight="1" x14ac:dyDescent="0.2">
      <c r="A53" s="88" t="s">
        <v>103</v>
      </c>
      <c r="B53" s="89"/>
      <c r="C53" s="90"/>
      <c r="D53" s="1"/>
      <c r="E53" s="1"/>
      <c r="F53" s="1"/>
      <c r="G53" s="1"/>
      <c r="H53" s="1"/>
    </row>
    <row r="54" spans="1:8" x14ac:dyDescent="0.2">
      <c r="A54" s="20" t="s">
        <v>96</v>
      </c>
      <c r="B54" s="20" t="s">
        <v>97</v>
      </c>
      <c r="C54" s="20" t="s">
        <v>98</v>
      </c>
      <c r="D54" s="1"/>
      <c r="E54" s="1"/>
      <c r="F54" s="1"/>
      <c r="G54" s="1"/>
      <c r="H54" s="1"/>
    </row>
    <row r="55" spans="1:8" x14ac:dyDescent="0.2">
      <c r="A55" s="20" t="s">
        <v>107</v>
      </c>
      <c r="B55" s="51">
        <f>B50*B5</f>
        <v>1960.6060606060603</v>
      </c>
      <c r="C55" s="51">
        <f>C50*C5</f>
        <v>19242.857142857145</v>
      </c>
      <c r="D55" s="1"/>
      <c r="E55" s="1"/>
      <c r="F55" s="1"/>
      <c r="G55" s="1"/>
      <c r="H55" s="1"/>
    </row>
    <row r="56" spans="1:8" ht="16" customHeight="1" x14ac:dyDescent="0.2">
      <c r="A56" s="84" t="s">
        <v>104</v>
      </c>
      <c r="B56" s="84"/>
      <c r="C56" s="84"/>
      <c r="D56" s="84"/>
      <c r="E56" s="84"/>
      <c r="F56" s="84"/>
      <c r="G56" s="84"/>
      <c r="H56" s="84"/>
    </row>
    <row r="57" spans="1:8" x14ac:dyDescent="0.2">
      <c r="A57" s="84"/>
      <c r="B57" s="84"/>
      <c r="C57" s="84"/>
      <c r="D57" s="84"/>
      <c r="E57" s="84"/>
      <c r="F57" s="84"/>
      <c r="G57" s="84"/>
      <c r="H57" s="84"/>
    </row>
    <row r="58" spans="1:8" x14ac:dyDescent="0.2">
      <c r="A58" s="84"/>
      <c r="B58" s="84"/>
      <c r="C58" s="84"/>
      <c r="D58" s="84"/>
      <c r="E58" s="84"/>
      <c r="F58" s="84"/>
      <c r="G58" s="84"/>
      <c r="H58" s="84"/>
    </row>
    <row r="59" spans="1:8" x14ac:dyDescent="0.2">
      <c r="A59" s="84"/>
      <c r="B59" s="84"/>
      <c r="C59" s="84"/>
      <c r="D59" s="84"/>
      <c r="E59" s="84"/>
      <c r="F59" s="84"/>
      <c r="G59" s="84"/>
      <c r="H59" s="84"/>
    </row>
    <row r="60" spans="1:8" x14ac:dyDescent="0.2">
      <c r="A60" s="47"/>
      <c r="B60" s="47"/>
      <c r="C60" s="47"/>
      <c r="D60" s="47"/>
      <c r="E60" s="47"/>
      <c r="F60" s="47"/>
      <c r="G60" s="47"/>
      <c r="H60" s="47"/>
    </row>
    <row r="61" spans="1:8" x14ac:dyDescent="0.2">
      <c r="A61" s="2"/>
      <c r="B61" s="2"/>
      <c r="C61" s="2"/>
      <c r="D61" s="2"/>
    </row>
    <row r="62" spans="1:8" x14ac:dyDescent="0.2">
      <c r="A62" s="2"/>
      <c r="B62" s="2"/>
      <c r="C62" s="2"/>
      <c r="D62" s="2"/>
    </row>
    <row r="63" spans="1:8" x14ac:dyDescent="0.2">
      <c r="A63" s="2"/>
      <c r="B63" s="2"/>
      <c r="C63" s="2"/>
      <c r="D63" s="2"/>
    </row>
    <row r="64" spans="1:8" x14ac:dyDescent="0.2">
      <c r="A64" s="2"/>
      <c r="B64" s="2"/>
      <c r="C64" s="2"/>
      <c r="D64" s="2"/>
    </row>
    <row r="65" spans="1:4" x14ac:dyDescent="0.2">
      <c r="A65" s="2"/>
      <c r="B65" s="2"/>
      <c r="C65" s="2"/>
      <c r="D65" s="2"/>
    </row>
    <row r="66" spans="1:4" x14ac:dyDescent="0.2">
      <c r="A66" s="2"/>
      <c r="B66" s="2"/>
      <c r="C66" s="2"/>
      <c r="D66" s="2"/>
    </row>
  </sheetData>
  <mergeCells count="13">
    <mergeCell ref="A56:H59"/>
    <mergeCell ref="A52:C52"/>
    <mergeCell ref="A53:C53"/>
    <mergeCell ref="A44:C44"/>
    <mergeCell ref="A45:C45"/>
    <mergeCell ref="A1:H1"/>
    <mergeCell ref="D28:H28"/>
    <mergeCell ref="A2:C2"/>
    <mergeCell ref="A9:B9"/>
    <mergeCell ref="A27:B27"/>
    <mergeCell ref="D9:H9"/>
    <mergeCell ref="D10:H10"/>
    <mergeCell ref="D27:H27"/>
  </mergeCells>
  <conditionalFormatting sqref="A11:A24">
    <cfRule type="colorScale" priority="6">
      <colorScale>
        <cfvo type="min"/>
        <cfvo type="percentile" val="50"/>
        <cfvo type="max"/>
        <color rgb="FFF8696B"/>
        <color rgb="FFFFEB84"/>
        <color rgb="FF63BE7B"/>
      </colorScale>
    </cfRule>
  </conditionalFormatting>
  <conditionalFormatting sqref="A29:A42">
    <cfRule type="colorScale" priority="5">
      <colorScale>
        <cfvo type="min"/>
        <cfvo type="percentile" val="50"/>
        <cfvo type="max"/>
        <color rgb="FFF8696B"/>
        <color rgb="FFFFEB84"/>
        <color rgb="FF63BE7B"/>
      </colorScale>
    </cfRule>
  </conditionalFormatting>
  <conditionalFormatting sqref="B11:B24">
    <cfRule type="dataBar" priority="4">
      <dataBar>
        <cfvo type="min"/>
        <cfvo type="max"/>
        <color rgb="FF63C384"/>
      </dataBar>
      <extLst>
        <ext xmlns:x14="http://schemas.microsoft.com/office/spreadsheetml/2009/9/main" uri="{B025F937-C7B1-47D3-B67F-A62EFF666E3E}">
          <x14:id>{E911BE20-0131-4745-BF53-491EBEA8CAFC}</x14:id>
        </ext>
      </extLst>
    </cfRule>
  </conditionalFormatting>
  <conditionalFormatting sqref="B29:B42">
    <cfRule type="dataBar" priority="3">
      <dataBar>
        <cfvo type="min"/>
        <cfvo type="max"/>
        <color rgb="FF63C384"/>
      </dataBar>
      <extLst>
        <ext xmlns:x14="http://schemas.microsoft.com/office/spreadsheetml/2009/9/main" uri="{B025F937-C7B1-47D3-B67F-A62EFF666E3E}">
          <x14:id>{0A40E0DA-D910-984B-9F18-A36C90D17CCE}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911BE20-0131-4745-BF53-491EBEA8CAFC}">
            <x14:dataBar minLength="0" maxLength="100" border="1" negativeBarBorderColorSameAsPositive="0">
              <x14:cfvo type="autoMin"/>
              <x14:cfvo type="autoMax"/>
              <x14:borderColor rgb="FF63C384"/>
              <x14:negativeFillColor rgb="FFFF0000"/>
              <x14:negativeBorderColor rgb="FFFF0000"/>
              <x14:axisColor rgb="FF000000"/>
            </x14:dataBar>
          </x14:cfRule>
          <xm:sqref>B11:B24</xm:sqref>
        </x14:conditionalFormatting>
        <x14:conditionalFormatting xmlns:xm="http://schemas.microsoft.com/office/excel/2006/main">
          <x14:cfRule type="dataBar" id="{0A40E0DA-D910-984B-9F18-A36C90D17CCE}">
            <x14:dataBar minLength="0" maxLength="100" border="1" negativeBarBorderColorSameAsPositive="0">
              <x14:cfvo type="autoMin"/>
              <x14:cfvo type="autoMax"/>
              <x14:borderColor rgb="FF63C384"/>
              <x14:negativeFillColor rgb="FFFF0000"/>
              <x14:negativeBorderColor rgb="FFFF0000"/>
              <x14:axisColor rgb="FF000000"/>
            </x14:dataBar>
          </x14:cfRule>
          <xm:sqref>B29:B42</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75B2A-CE9B-ED4A-9430-EBFDF650BFD8}">
  <sheetPr>
    <tabColor rgb="FFFFC000"/>
  </sheetPr>
  <dimension ref="A1:G20"/>
  <sheetViews>
    <sheetView tabSelected="1" zoomScale="150" workbookViewId="0">
      <pane ySplit="1" topLeftCell="A2" activePane="bottomLeft" state="frozen"/>
      <selection pane="bottomLeft" activeCell="C9" sqref="C9"/>
    </sheetView>
  </sheetViews>
  <sheetFormatPr baseColWidth="10" defaultRowHeight="16" x14ac:dyDescent="0.2"/>
  <cols>
    <col min="1" max="1" width="17.1640625" bestFit="1" customWidth="1"/>
    <col min="2" max="2" width="17.6640625" bestFit="1" customWidth="1"/>
    <col min="3" max="3" width="24.6640625" bestFit="1" customWidth="1"/>
    <col min="4" max="4" width="14.83203125" bestFit="1" customWidth="1"/>
    <col min="5" max="5" width="21.83203125" bestFit="1" customWidth="1"/>
    <col min="6" max="6" width="15.83203125" bestFit="1" customWidth="1"/>
    <col min="7" max="7" width="22.5" bestFit="1" customWidth="1"/>
  </cols>
  <sheetData>
    <row r="1" spans="1:7" x14ac:dyDescent="0.2">
      <c r="A1" s="80" t="s">
        <v>108</v>
      </c>
      <c r="B1" s="80"/>
      <c r="C1" s="80"/>
      <c r="D1" s="80"/>
      <c r="E1" s="80"/>
      <c r="F1" s="80"/>
      <c r="G1" s="80"/>
    </row>
    <row r="2" spans="1:7" x14ac:dyDescent="0.2">
      <c r="A2" s="58" t="s">
        <v>84</v>
      </c>
      <c r="B2" s="58"/>
      <c r="C2" s="58"/>
      <c r="D2" s="58"/>
      <c r="E2" s="58"/>
      <c r="F2" s="58"/>
      <c r="G2" s="58"/>
    </row>
    <row r="3" spans="1:7" x14ac:dyDescent="0.2">
      <c r="A3" s="20" t="s">
        <v>109</v>
      </c>
      <c r="B3" s="20" t="s">
        <v>36</v>
      </c>
      <c r="C3" s="20" t="s">
        <v>123</v>
      </c>
      <c r="D3" s="20" t="s">
        <v>113</v>
      </c>
      <c r="E3" s="20" t="s">
        <v>124</v>
      </c>
      <c r="F3" s="20" t="s">
        <v>111</v>
      </c>
      <c r="G3" s="20" t="s">
        <v>114</v>
      </c>
    </row>
    <row r="4" spans="1:7" x14ac:dyDescent="0.2">
      <c r="A4" s="17" t="s">
        <v>112</v>
      </c>
      <c r="B4" s="17" t="s">
        <v>110</v>
      </c>
      <c r="C4" s="17">
        <v>30</v>
      </c>
      <c r="D4" s="17">
        <v>30</v>
      </c>
      <c r="E4" s="17">
        <v>12</v>
      </c>
      <c r="F4" s="17">
        <v>2</v>
      </c>
      <c r="G4" s="17">
        <v>0.05</v>
      </c>
    </row>
    <row r="6" spans="1:7" x14ac:dyDescent="0.2">
      <c r="A6" s="56" t="s">
        <v>115</v>
      </c>
      <c r="B6" s="56"/>
      <c r="D6" s="56" t="s">
        <v>95</v>
      </c>
      <c r="E6" s="56"/>
      <c r="F6" s="56"/>
      <c r="G6" s="56"/>
    </row>
    <row r="7" spans="1:7" ht="16" customHeight="1" x14ac:dyDescent="0.2">
      <c r="A7" s="20" t="s">
        <v>116</v>
      </c>
      <c r="B7" s="17" t="s">
        <v>125</v>
      </c>
      <c r="D7" s="91" t="s">
        <v>141</v>
      </c>
      <c r="E7" s="91"/>
      <c r="F7" s="91"/>
      <c r="G7" s="91"/>
    </row>
    <row r="8" spans="1:7" x14ac:dyDescent="0.2">
      <c r="A8" s="20" t="s">
        <v>117</v>
      </c>
      <c r="B8" s="17" t="s">
        <v>126</v>
      </c>
      <c r="D8" s="91"/>
      <c r="E8" s="91"/>
      <c r="F8" s="91"/>
      <c r="G8" s="91"/>
    </row>
    <row r="9" spans="1:7" x14ac:dyDescent="0.2">
      <c r="A9" s="20" t="s">
        <v>122</v>
      </c>
      <c r="B9" s="17">
        <f>E4</f>
        <v>12</v>
      </c>
      <c r="D9" s="91"/>
      <c r="E9" s="91"/>
      <c r="F9" s="91"/>
      <c r="G9" s="91"/>
    </row>
    <row r="10" spans="1:7" x14ac:dyDescent="0.2">
      <c r="A10" s="20" t="s">
        <v>27</v>
      </c>
      <c r="B10" s="17">
        <f>C4</f>
        <v>30</v>
      </c>
      <c r="D10" s="91"/>
      <c r="E10" s="91"/>
      <c r="F10" s="91"/>
      <c r="G10" s="91"/>
    </row>
    <row r="11" spans="1:7" x14ac:dyDescent="0.2">
      <c r="A11" s="20" t="s">
        <v>118</v>
      </c>
      <c r="B11" s="17">
        <f>D4/((1+G4)^F4)</f>
        <v>27.210884353741495</v>
      </c>
      <c r="D11" s="91"/>
      <c r="E11" s="91"/>
      <c r="F11" s="91"/>
      <c r="G11" s="91"/>
    </row>
    <row r="12" spans="1:7" x14ac:dyDescent="0.2">
      <c r="A12" s="20" t="s">
        <v>127</v>
      </c>
      <c r="B12" s="22">
        <f>B9-B10+B11</f>
        <v>9.2108843537414948</v>
      </c>
      <c r="D12" s="91"/>
      <c r="E12" s="91"/>
      <c r="F12" s="91"/>
      <c r="G12" s="91"/>
    </row>
    <row r="13" spans="1:7" x14ac:dyDescent="0.2">
      <c r="D13" s="91"/>
      <c r="E13" s="91"/>
      <c r="F13" s="91"/>
      <c r="G13" s="91"/>
    </row>
    <row r="14" spans="1:7" x14ac:dyDescent="0.2">
      <c r="A14" s="56" t="s">
        <v>119</v>
      </c>
      <c r="B14" s="56"/>
      <c r="D14" s="91"/>
      <c r="E14" s="91"/>
      <c r="F14" s="91"/>
      <c r="G14" s="91"/>
    </row>
    <row r="15" spans="1:7" x14ac:dyDescent="0.2">
      <c r="A15" s="58" t="s">
        <v>120</v>
      </c>
      <c r="B15" s="58"/>
      <c r="D15" s="91"/>
      <c r="E15" s="91"/>
      <c r="F15" s="91"/>
      <c r="G15" s="91"/>
    </row>
    <row r="16" spans="1:7" x14ac:dyDescent="0.2">
      <c r="A16" s="20" t="s">
        <v>116</v>
      </c>
      <c r="B16" s="17" t="s">
        <v>128</v>
      </c>
      <c r="D16" s="91"/>
      <c r="E16" s="91"/>
      <c r="F16" s="91"/>
      <c r="G16" s="91"/>
    </row>
    <row r="17" spans="1:7" x14ac:dyDescent="0.2">
      <c r="A17" s="20" t="s">
        <v>121</v>
      </c>
      <c r="B17" s="22">
        <f>D4*((1+G4)^F4)</f>
        <v>33.075000000000003</v>
      </c>
      <c r="D17" s="91"/>
      <c r="E17" s="91"/>
      <c r="F17" s="91"/>
      <c r="G17" s="91"/>
    </row>
    <row r="18" spans="1:7" x14ac:dyDescent="0.2">
      <c r="A18" s="20" t="s">
        <v>127</v>
      </c>
      <c r="B18" s="17">
        <f>B9-B10+B17/((1+G4)^F4)</f>
        <v>12</v>
      </c>
      <c r="D18" s="91"/>
      <c r="E18" s="91"/>
      <c r="F18" s="91"/>
      <c r="G18" s="91"/>
    </row>
    <row r="19" spans="1:7" x14ac:dyDescent="0.2">
      <c r="A19" s="20" t="s">
        <v>129</v>
      </c>
      <c r="B19" s="17">
        <f>E4-B18</f>
        <v>0</v>
      </c>
      <c r="D19" s="47"/>
      <c r="E19" s="47"/>
      <c r="F19" s="47"/>
      <c r="G19" s="47"/>
    </row>
    <row r="20" spans="1:7" x14ac:dyDescent="0.2">
      <c r="A20" s="20" t="s">
        <v>130</v>
      </c>
      <c r="B20" s="17">
        <f>B10-B17/((1+G4)^F4)</f>
        <v>0</v>
      </c>
    </row>
  </sheetData>
  <mergeCells count="7">
    <mergeCell ref="A15:B15"/>
    <mergeCell ref="D7:G18"/>
    <mergeCell ref="A1:G1"/>
    <mergeCell ref="A2:G2"/>
    <mergeCell ref="A6:B6"/>
    <mergeCell ref="D6:G6"/>
    <mergeCell ref="A14:B1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 2.1</vt:lpstr>
      <vt:lpstr>M.C. 2.2</vt:lpstr>
      <vt:lpstr>M.C.2.3</vt:lpstr>
      <vt:lpstr>M.C. 2.4</vt:lpstr>
      <vt:lpstr>M.C.2.5</vt:lpstr>
      <vt:lpstr>M.C.2.6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2025-12-13T12:23:25Z</dcterms:created>
  <dcterms:modified xsi:type="dcterms:W3CDTF">2026-01-09T10:44:41Z</dcterms:modified>
</cp:coreProperties>
</file>