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egburdukov/Documents/Österreich/WU/WU Hauptstudium/SBWL/SBWL Finance/Course II Financial Management and Valuation/Interactive part/Unit 1/"/>
    </mc:Choice>
  </mc:AlternateContent>
  <xr:revisionPtr revIDLastSave="0" documentId="13_ncr:1_{514696AF-24F0-C849-ABC1-4D355623EA01}" xr6:coauthVersionLast="47" xr6:coauthVersionMax="47" xr10:uidLastSave="{00000000-0000-0000-0000-000000000000}"/>
  <bookViews>
    <workbookView xWindow="0" yWindow="720" windowWidth="29400" windowHeight="18400" activeTab="5" xr2:uid="{9E28E2A3-ACF5-134F-A01E-C11CF45EFF48}"/>
  </bookViews>
  <sheets>
    <sheet name="M.C. 1.1" sheetId="1" r:id="rId1"/>
    <sheet name="M.C. 1.2" sheetId="2" r:id="rId2"/>
    <sheet name="M.C. 1.3" sheetId="3" r:id="rId3"/>
    <sheet name="M.C. 1.4" sheetId="4" r:id="rId4"/>
    <sheet name="M.C. 1.5" sheetId="5" r:id="rId5"/>
    <sheet name="M.C. 1.6" sheetId="6" r:id="rId6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5" l="1"/>
  <c r="B6" i="3"/>
  <c r="B8" i="3"/>
  <c r="B4" i="3"/>
  <c r="D22" i="5"/>
  <c r="B36" i="2"/>
  <c r="B35" i="2"/>
  <c r="B12" i="2"/>
  <c r="B36" i="1"/>
  <c r="B20" i="1"/>
  <c r="B29" i="1"/>
  <c r="B34" i="1"/>
  <c r="F29" i="1"/>
  <c r="F34" i="1" s="1"/>
  <c r="B33" i="1"/>
  <c r="B32" i="1"/>
  <c r="B31" i="1"/>
  <c r="E33" i="1"/>
  <c r="D32" i="1"/>
  <c r="C31" i="1"/>
  <c r="E29" i="1"/>
  <c r="D29" i="1"/>
  <c r="C29" i="1"/>
  <c r="B14" i="5"/>
  <c r="C14" i="6"/>
  <c r="B13" i="6"/>
  <c r="B11" i="6"/>
  <c r="B14" i="6"/>
  <c r="B12" i="6"/>
  <c r="C11" i="6"/>
  <c r="B19" i="5"/>
  <c r="D20" i="5"/>
  <c r="B20" i="5"/>
  <c r="B9" i="5"/>
  <c r="I36" i="2"/>
  <c r="I37" i="2" s="1"/>
  <c r="I29" i="2"/>
  <c r="I30" i="2" s="1"/>
  <c r="I21" i="2"/>
  <c r="I22" i="2" s="1"/>
  <c r="I13" i="2"/>
  <c r="I14" i="2" s="1"/>
  <c r="B27" i="2"/>
  <c r="B26" i="2"/>
  <c r="B21" i="2"/>
  <c r="B10" i="2"/>
  <c r="C4" i="1"/>
  <c r="F12" i="1"/>
  <c r="C8" i="1"/>
  <c r="C5" i="1"/>
  <c r="C6" i="1"/>
  <c r="C7" i="1"/>
  <c r="C9" i="1"/>
  <c r="C10" i="1"/>
  <c r="C11" i="1"/>
  <c r="F6" i="1"/>
  <c r="C18" i="1" s="1"/>
  <c r="B20" i="2" l="1"/>
  <c r="B22" i="2" s="1"/>
  <c r="B35" i="1"/>
  <c r="B28" i="2"/>
  <c r="B38" i="2"/>
  <c r="B23" i="2"/>
  <c r="B37" i="2"/>
  <c r="E18" i="1"/>
  <c r="E22" i="1" s="1"/>
  <c r="B22" i="1" s="1"/>
  <c r="F18" i="1"/>
  <c r="F23" i="1" s="1"/>
  <c r="B23" i="1" s="1"/>
  <c r="D18" i="1"/>
  <c r="D21" i="1" s="1"/>
  <c r="B21" i="1" s="1"/>
  <c r="C20" i="1"/>
  <c r="B24" i="1" l="1"/>
  <c r="B18" i="1" s="1"/>
</calcChain>
</file>

<file path=xl/sharedStrings.xml><?xml version="1.0" encoding="utf-8"?>
<sst xmlns="http://schemas.openxmlformats.org/spreadsheetml/2006/main" count="184" uniqueCount="117">
  <si>
    <t>Mini-case 1.1</t>
  </si>
  <si>
    <t>TASK A</t>
  </si>
  <si>
    <t>Face value ($)</t>
  </si>
  <si>
    <t>Coupon in % (p.a.)</t>
  </si>
  <si>
    <t>Coupon per period in %</t>
  </si>
  <si>
    <t>Bond data for task A</t>
  </si>
  <si>
    <t>Interest rate p.a. (linear)</t>
  </si>
  <si>
    <t>Maturity in months</t>
  </si>
  <si>
    <t>CFs ($)</t>
  </si>
  <si>
    <t>Period (months)</t>
  </si>
  <si>
    <t>Tracking portfolio</t>
  </si>
  <si>
    <t>Deposit investment (6M)</t>
  </si>
  <si>
    <t>Deposit investment (12M)</t>
  </si>
  <si>
    <t>Deposit investment (18M)</t>
  </si>
  <si>
    <t>Deposit investment (24M)</t>
  </si>
  <si>
    <t>Interest rate per month (linear)</t>
  </si>
  <si>
    <t>General data</t>
  </si>
  <si>
    <t>Payouts per year</t>
  </si>
  <si>
    <t>TASK B</t>
  </si>
  <si>
    <t>Bond data for task B</t>
  </si>
  <si>
    <t>Arbitrage profit</t>
  </si>
  <si>
    <t>Maturity (months) \ Date</t>
  </si>
  <si>
    <t>In this case, our tracking portfolio would be the treasury bill issued on exectly November 30th, as such an investment would be risk free and possess the same maturity of 6 months.</t>
  </si>
  <si>
    <t>Annual compounded interest rates in %</t>
  </si>
  <si>
    <t>6M treasury bill interest rate in % (30.11.2025)</t>
  </si>
  <si>
    <t>PV of the bond ($)</t>
  </si>
  <si>
    <t>Profit</t>
  </si>
  <si>
    <t>28.02.2026 (T=3)</t>
  </si>
  <si>
    <t>T=6</t>
  </si>
  <si>
    <t xml:space="preserve">Face value </t>
  </si>
  <si>
    <t>Price for the bond on 28th of February 2026</t>
  </si>
  <si>
    <t>If not considering time difference</t>
  </si>
  <si>
    <t>Face value of the bond</t>
  </si>
  <si>
    <t>If we take the cashflow timeline into our consideration</t>
  </si>
  <si>
    <t>Here is the profit if we consider the nominal difference of what we've invested in the bond and what we sell it for</t>
  </si>
  <si>
    <t>Explanations</t>
  </si>
  <si>
    <t>TASK C</t>
  </si>
  <si>
    <t>12M treasury bill interest rate in % (30.11.2025)</t>
  </si>
  <si>
    <t>Sell of the bond</t>
  </si>
  <si>
    <t>The same way as before, we track the bond cashflows by the trasury bill as a risk-free investment, since we have the interest rate structure for the same maturity</t>
  </si>
  <si>
    <t>T=12</t>
  </si>
  <si>
    <t>Bond</t>
  </si>
  <si>
    <t>T=0 (30.11.2025)</t>
  </si>
  <si>
    <t>PV - ?</t>
  </si>
  <si>
    <t>T=3 (28.02.2026)</t>
  </si>
  <si>
    <t>PV of the investment after 3 months ($)</t>
  </si>
  <si>
    <t>Here is the value of the bond investment after 3M</t>
  </si>
  <si>
    <t>This is the price an investor asks for selling the bond with the face value of 1000$ on this date. It differs from the present value of the investment on this date in order to prevent the arbitrage opportunity</t>
  </si>
  <si>
    <t>PV of the bond on 28.02.2026</t>
  </si>
  <si>
    <t>PV of the bond on 30.11.2025</t>
  </si>
  <si>
    <t>Investment in 9M treasury bill on Feb. 28th</t>
  </si>
  <si>
    <t>It can seem, that the previous investor may perform arbitrage by such a deal, as he gains +- 6$ when selling his position. He might gain 975$ from the deal and invest 969$ back. But it's wrong, since with the February spot rates he is no longer able to get 1000$ in 9M with merely 969$.</t>
  </si>
  <si>
    <r>
      <rPr>
        <sz val="12"/>
        <color theme="1"/>
        <rFont val="Aptos Narrow (Body)"/>
      </rPr>
      <t>r</t>
    </r>
    <r>
      <rPr>
        <sz val="12"/>
        <color theme="1"/>
        <rFont val="Aptos Narrow"/>
        <family val="2"/>
        <scheme val="minor"/>
      </rPr>
      <t xml:space="preserve"> </t>
    </r>
    <r>
      <rPr>
        <sz val="8"/>
        <color theme="1"/>
        <rFont val="Aptos Narrow (Body)"/>
      </rPr>
      <t>(3 years)</t>
    </r>
  </si>
  <si>
    <t>Mini-case 1.2</t>
  </si>
  <si>
    <t>Mini-case 1.3</t>
  </si>
  <si>
    <t>r (p.a.; linear)</t>
  </si>
  <si>
    <t>r (p.a.; compounded)</t>
  </si>
  <si>
    <t>TASK D</t>
  </si>
  <si>
    <t>The period rate</t>
  </si>
  <si>
    <t>There is a difference between the rates. The reason for this is different types of calculation method</t>
  </si>
  <si>
    <t>Mini-case 1.4</t>
  </si>
  <si>
    <t>Take a loan</t>
  </si>
  <si>
    <t>Action\Date</t>
  </si>
  <si>
    <t>T=0</t>
  </si>
  <si>
    <t>T=1</t>
  </si>
  <si>
    <t>Short forward on a stock</t>
  </si>
  <si>
    <t>[-S0]</t>
  </si>
  <si>
    <t>[-S1]</t>
  </si>
  <si>
    <t>[+S0]</t>
  </si>
  <si>
    <t>Invest in a deposit</t>
  </si>
  <si>
    <t>F0-S1</t>
  </si>
  <si>
    <t>[+S0*(1+r)^T]</t>
  </si>
  <si>
    <t>∑Tracking portfolio</t>
  </si>
  <si>
    <t>[+S0*(1+r)^T-S1] = F0-S1</t>
  </si>
  <si>
    <t>Long position</t>
  </si>
  <si>
    <t>Short position</t>
  </si>
  <si>
    <t>For the long position, a forward contract the cashflow sum of St-F0, whereby St is the spot price of underlying asset and F0 is the forward price.</t>
  </si>
  <si>
    <t>On the other hand, the sort positio has the cashflow sum of F0-St on maturity date, which means this party gains the forward price F0 and delivers the underlying asset to the counterpart</t>
  </si>
  <si>
    <t>Cashflows of a forward contract</t>
  </si>
  <si>
    <t>Any forward has all its cashflows on the maturity date. This is the term, when both parties of such a contract exchange the underlying asset and the forward price. In case of cash settlement, the parties exchange the difference.</t>
  </si>
  <si>
    <t>There is essentially no difference between the profit and the payoff in case of a forward contract. The reason for this is the abscence of a payment for the contract on the date 0. There is no payment, because the risks of lose exist for both parties, since the contract is obligatory everyone.</t>
  </si>
  <si>
    <t>Mini-case 1.5</t>
  </si>
  <si>
    <t>Type of forward</t>
  </si>
  <si>
    <t>Long forward on a non-dividend stock</t>
  </si>
  <si>
    <t>Maturity T (in years)</t>
  </si>
  <si>
    <r>
      <t xml:space="preserve">r </t>
    </r>
    <r>
      <rPr>
        <sz val="8"/>
        <color theme="1"/>
        <rFont val="Aptos Narrow (Body)"/>
      </rPr>
      <t xml:space="preserve">compounded, risk-free </t>
    </r>
    <r>
      <rPr>
        <sz val="12"/>
        <color theme="1"/>
        <rFont val="Aptos Narrow"/>
        <family val="2"/>
        <scheme val="minor"/>
      </rPr>
      <t>(p.a.)</t>
    </r>
  </si>
  <si>
    <r>
      <t>S</t>
    </r>
    <r>
      <rPr>
        <sz val="8"/>
        <color theme="1"/>
        <rFont val="Aptos Narrow (Body)"/>
      </rPr>
      <t>0</t>
    </r>
  </si>
  <si>
    <r>
      <t>F</t>
    </r>
    <r>
      <rPr>
        <sz val="8"/>
        <color theme="1"/>
        <rFont val="Aptos Narrow (Body)"/>
      </rPr>
      <t>0</t>
    </r>
    <r>
      <rPr>
        <sz val="12"/>
        <color theme="1"/>
        <rFont val="Aptos Narrow"/>
        <family val="2"/>
        <scheme val="minor"/>
      </rPr>
      <t>=S</t>
    </r>
    <r>
      <rPr>
        <sz val="8"/>
        <color theme="1"/>
        <rFont val="Aptos Narrow (Body)"/>
      </rPr>
      <t>0</t>
    </r>
    <r>
      <rPr>
        <sz val="12"/>
        <color theme="1"/>
        <rFont val="Aptos Narrow"/>
        <family val="2"/>
        <scheme val="minor"/>
      </rPr>
      <t>(1+r</t>
    </r>
    <r>
      <rPr>
        <sz val="8"/>
        <color theme="1"/>
        <rFont val="Aptos Narrow (Body)"/>
      </rPr>
      <t>c,r-f</t>
    </r>
    <r>
      <rPr>
        <sz val="12"/>
        <color theme="1"/>
        <rFont val="Aptos Narrow"/>
        <family val="2"/>
        <scheme val="minor"/>
      </rPr>
      <t xml:space="preserve">)^T = </t>
    </r>
  </si>
  <si>
    <r>
      <t>S</t>
    </r>
    <r>
      <rPr>
        <sz val="8"/>
        <color theme="1"/>
        <rFont val="Aptos Narrow (Body)"/>
      </rPr>
      <t>2</t>
    </r>
  </si>
  <si>
    <t>Buy a stock</t>
  </si>
  <si>
    <t>PV of the forward on T</t>
  </si>
  <si>
    <t>Action\date T (in years)</t>
  </si>
  <si>
    <t>Mini-case 1.6</t>
  </si>
  <si>
    <t>Exchange rate $ to €</t>
  </si>
  <si>
    <t>1 — 0,8</t>
  </si>
  <si>
    <r>
      <t xml:space="preserve">r </t>
    </r>
    <r>
      <rPr>
        <sz val="8"/>
        <color theme="1"/>
        <rFont val="Aptos Narrow (Body)"/>
      </rPr>
      <t>domestic</t>
    </r>
  </si>
  <si>
    <r>
      <t xml:space="preserve">r </t>
    </r>
    <r>
      <rPr>
        <sz val="8"/>
        <color theme="1"/>
        <rFont val="Aptos Narrow (Body)"/>
      </rPr>
      <t>foreign</t>
    </r>
  </si>
  <si>
    <t>Object\date T (in periods)</t>
  </si>
  <si>
    <t>Short FX forward</t>
  </si>
  <si>
    <r>
      <t>F</t>
    </r>
    <r>
      <rPr>
        <sz val="8"/>
        <color theme="1"/>
        <rFont val="Aptos Narrow (Body)"/>
      </rPr>
      <t>0</t>
    </r>
    <r>
      <rPr>
        <sz val="12"/>
        <color theme="1"/>
        <rFont val="Aptos Narrow"/>
        <family val="2"/>
        <scheme val="minor"/>
      </rPr>
      <t>-S</t>
    </r>
    <r>
      <rPr>
        <sz val="8"/>
        <color theme="1"/>
        <rFont val="Aptos Narrow (Body)"/>
      </rPr>
      <t>T</t>
    </r>
  </si>
  <si>
    <t>Forward valuation model</t>
  </si>
  <si>
    <t>Loan USD ($)</t>
  </si>
  <si>
    <t>Sell USD ($)</t>
  </si>
  <si>
    <t>Buy EUR (€)</t>
  </si>
  <si>
    <t>Invest EUR (€)</t>
  </si>
  <si>
    <r>
      <t>F</t>
    </r>
    <r>
      <rPr>
        <sz val="8"/>
        <color theme="1"/>
        <rFont val="Aptos Narrow (Body)"/>
      </rPr>
      <t>0</t>
    </r>
    <r>
      <rPr>
        <sz val="12"/>
        <color theme="1"/>
        <rFont val="Aptos Narrow"/>
        <family val="2"/>
        <scheme val="minor"/>
      </rPr>
      <t>=S</t>
    </r>
    <r>
      <rPr>
        <sz val="8"/>
        <color theme="1"/>
        <rFont val="Aptos Narrow (Body)"/>
      </rPr>
      <t>0</t>
    </r>
    <r>
      <rPr>
        <sz val="12"/>
        <color theme="1"/>
        <rFont val="Aptos Narrow"/>
        <family val="2"/>
        <scheme val="minor"/>
      </rPr>
      <t>*(1+r</t>
    </r>
    <r>
      <rPr>
        <sz val="8"/>
        <color theme="1"/>
        <rFont val="Aptos Narrow (Body)"/>
      </rPr>
      <t>€</t>
    </r>
    <r>
      <rPr>
        <sz val="12"/>
        <color theme="1"/>
        <rFont val="Aptos Narrow"/>
        <family val="2"/>
        <scheme val="minor"/>
      </rPr>
      <t>)/(1+r</t>
    </r>
    <r>
      <rPr>
        <sz val="8"/>
        <color theme="1"/>
        <rFont val="Aptos Narrow (Body)"/>
      </rPr>
      <t>$</t>
    </r>
    <r>
      <rPr>
        <sz val="12"/>
        <color theme="1"/>
        <rFont val="Aptos Narrow"/>
        <family val="2"/>
        <scheme val="minor"/>
      </rPr>
      <t>)</t>
    </r>
  </si>
  <si>
    <r>
      <t>! F</t>
    </r>
    <r>
      <rPr>
        <sz val="8"/>
        <color theme="1"/>
        <rFont val="Aptos Narrow (Body)"/>
      </rPr>
      <t>0</t>
    </r>
    <r>
      <rPr>
        <sz val="12"/>
        <color theme="1"/>
        <rFont val="Aptos Narrow"/>
        <family val="2"/>
        <scheme val="minor"/>
      </rPr>
      <t xml:space="preserve"> is the currency forward rate </t>
    </r>
  </si>
  <si>
    <t>Investment valuation model (Bond)</t>
  </si>
  <si>
    <t>We derive the price on the bond by the 9M maturity spot rate on february 28th 2026. the reason for ths is that the price should prevent an arbitrage opportunity.</t>
  </si>
  <si>
    <t>PV of the bond</t>
  </si>
  <si>
    <t>Price ($)</t>
  </si>
  <si>
    <t>Yes, arbitrage is possible. In order to use the arbitrage opportunity, we short the tracking portfolio and invest $95,5 into the bond. In this way, our profit at date 0 is going to be $0,76</t>
  </si>
  <si>
    <t>PV of the bill on 30.11.2025</t>
  </si>
  <si>
    <t>Deposit investment on Feb. 28th</t>
  </si>
  <si>
    <t>PV of the bill on 28.02.2026</t>
  </si>
  <si>
    <t>Deposit investment on Nov. 30th</t>
  </si>
  <si>
    <t>Borrow the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</si>
</sst>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0"/>
      <name val="Aptos Narrow"/>
      <scheme val="minor"/>
    </font>
    <font>
      <sz val="12"/>
      <color theme="1"/>
      <name val="Aptos Narrow (Body)"/>
    </font>
    <font>
      <sz val="8"/>
      <color theme="1"/>
      <name val="Aptos Narrow (Body)"/>
    </font>
    <font>
      <sz val="12"/>
      <color theme="0"/>
      <name val="Aptos Narrow (Body)"/>
    </font>
  </fonts>
  <fills count="12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0" borderId="0" xfId="0" applyAlignment="1">
      <alignment wrapText="1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16" fontId="0" fillId="3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9" borderId="1" xfId="0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8" xfId="0" applyFont="1" applyBorder="1" applyAlignment="1">
      <alignment vertical="center"/>
    </xf>
    <xf numFmtId="0" fontId="0" fillId="7" borderId="6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BDAD0-A643-6845-B961-64D21BD69ED2}">
  <dimension ref="A1:F46"/>
  <sheetViews>
    <sheetView zoomScale="109" zoomScaleNormal="100" workbookViewId="0">
      <selection activeCell="D6" sqref="D6"/>
    </sheetView>
  </sheetViews>
  <sheetFormatPr baseColWidth="10" defaultRowHeight="16" x14ac:dyDescent="0.2"/>
  <cols>
    <col min="1" max="1" width="22.83203125" customWidth="1"/>
    <col min="2" max="2" width="19.6640625" customWidth="1"/>
    <col min="3" max="3" width="25.6640625" customWidth="1"/>
    <col min="4" max="4" width="10.83203125" customWidth="1"/>
    <col min="5" max="5" width="19.33203125" customWidth="1"/>
    <col min="6" max="6" width="8.1640625" customWidth="1"/>
  </cols>
  <sheetData>
    <row r="1" spans="1:6" x14ac:dyDescent="0.2">
      <c r="A1" s="34" t="s">
        <v>0</v>
      </c>
      <c r="B1" s="34"/>
      <c r="C1" s="34"/>
      <c r="D1" s="34"/>
      <c r="E1" s="34"/>
      <c r="F1" s="34"/>
    </row>
    <row r="2" spans="1:6" x14ac:dyDescent="0.2">
      <c r="A2" s="39" t="s">
        <v>16</v>
      </c>
      <c r="B2" s="39"/>
      <c r="C2" s="39"/>
      <c r="D2" s="6"/>
      <c r="E2" s="36" t="s">
        <v>5</v>
      </c>
      <c r="F2" s="36"/>
    </row>
    <row r="3" spans="1:6" x14ac:dyDescent="0.2">
      <c r="A3" s="2" t="s">
        <v>7</v>
      </c>
      <c r="B3" s="2" t="s">
        <v>6</v>
      </c>
      <c r="C3" s="2" t="s">
        <v>15</v>
      </c>
      <c r="D3" s="1"/>
      <c r="E3" s="2" t="s">
        <v>2</v>
      </c>
      <c r="F3" s="3">
        <v>100</v>
      </c>
    </row>
    <row r="4" spans="1:6" x14ac:dyDescent="0.2">
      <c r="A4" s="3">
        <v>1</v>
      </c>
      <c r="B4" s="3">
        <v>3.5000000000000003E-2</v>
      </c>
      <c r="C4" s="3">
        <f>B4/12</f>
        <v>2.9166666666666668E-3</v>
      </c>
      <c r="D4" s="1"/>
      <c r="E4" s="2" t="s">
        <v>3</v>
      </c>
      <c r="F4" s="3">
        <v>0.03</v>
      </c>
    </row>
    <row r="5" spans="1:6" x14ac:dyDescent="0.2">
      <c r="A5" s="3">
        <v>3</v>
      </c>
      <c r="B5" s="3">
        <v>3.5999999999999997E-2</v>
      </c>
      <c r="C5" s="3">
        <f t="shared" ref="C5:C11" si="0">B5/12</f>
        <v>2.9999999999999996E-3</v>
      </c>
      <c r="D5" s="1"/>
      <c r="E5" s="2" t="s">
        <v>17</v>
      </c>
      <c r="F5" s="3">
        <v>2</v>
      </c>
    </row>
    <row r="6" spans="1:6" x14ac:dyDescent="0.2">
      <c r="A6" s="3">
        <v>6</v>
      </c>
      <c r="B6" s="3">
        <v>3.6999999999999998E-2</v>
      </c>
      <c r="C6" s="3">
        <f t="shared" si="0"/>
        <v>3.0833333333333333E-3</v>
      </c>
      <c r="D6" s="1"/>
      <c r="E6" s="2" t="s">
        <v>4</v>
      </c>
      <c r="F6" s="3">
        <f>F4/2</f>
        <v>1.4999999999999999E-2</v>
      </c>
    </row>
    <row r="7" spans="1:6" x14ac:dyDescent="0.2">
      <c r="A7" s="3">
        <v>9</v>
      </c>
      <c r="B7" s="3">
        <v>3.9E-2</v>
      </c>
      <c r="C7" s="3">
        <f t="shared" si="0"/>
        <v>3.2499999999999999E-3</v>
      </c>
      <c r="D7" s="1"/>
      <c r="E7" s="1"/>
      <c r="F7" s="1"/>
    </row>
    <row r="8" spans="1:6" x14ac:dyDescent="0.2">
      <c r="A8" s="3">
        <v>12</v>
      </c>
      <c r="B8" s="3">
        <v>0.04</v>
      </c>
      <c r="C8" s="3">
        <f>B8/12</f>
        <v>3.3333333333333335E-3</v>
      </c>
      <c r="D8" s="1"/>
      <c r="E8" s="36" t="s">
        <v>19</v>
      </c>
      <c r="F8" s="36"/>
    </row>
    <row r="9" spans="1:6" x14ac:dyDescent="0.2">
      <c r="A9" s="3">
        <v>14</v>
      </c>
      <c r="B9" s="3">
        <v>4.2999999999999997E-2</v>
      </c>
      <c r="C9" s="3">
        <f t="shared" si="0"/>
        <v>3.5833333333333329E-3</v>
      </c>
      <c r="D9" s="1"/>
      <c r="E9" s="2" t="s">
        <v>2</v>
      </c>
      <c r="F9" s="3">
        <v>100</v>
      </c>
    </row>
    <row r="10" spans="1:6" x14ac:dyDescent="0.2">
      <c r="A10" s="3">
        <v>18</v>
      </c>
      <c r="B10" s="3">
        <v>4.4999999999999998E-2</v>
      </c>
      <c r="C10" s="3">
        <f t="shared" si="0"/>
        <v>3.7499999999999999E-3</v>
      </c>
      <c r="D10" s="1"/>
      <c r="E10" s="2" t="s">
        <v>3</v>
      </c>
      <c r="F10" s="3">
        <v>0.03</v>
      </c>
    </row>
    <row r="11" spans="1:6" x14ac:dyDescent="0.2">
      <c r="A11" s="3">
        <v>24</v>
      </c>
      <c r="B11" s="3">
        <v>5.1999999999999998E-2</v>
      </c>
      <c r="C11" s="3">
        <f t="shared" si="0"/>
        <v>4.3333333333333331E-3</v>
      </c>
      <c r="D11" s="1"/>
      <c r="E11" s="2" t="s">
        <v>17</v>
      </c>
      <c r="F11" s="3">
        <v>2</v>
      </c>
    </row>
    <row r="12" spans="1:6" x14ac:dyDescent="0.2">
      <c r="A12" s="1"/>
      <c r="B12" s="1"/>
      <c r="C12" s="1"/>
      <c r="D12" s="1"/>
      <c r="E12" s="2" t="s">
        <v>4</v>
      </c>
      <c r="F12" s="3">
        <f>F10/2</f>
        <v>1.4999999999999999E-2</v>
      </c>
    </row>
    <row r="13" spans="1:6" x14ac:dyDescent="0.2">
      <c r="A13" s="1"/>
      <c r="B13" s="1"/>
      <c r="C13" s="1"/>
      <c r="D13" s="1"/>
      <c r="E13" s="2" t="s">
        <v>110</v>
      </c>
      <c r="F13" s="3">
        <v>95.5</v>
      </c>
    </row>
    <row r="14" spans="1:6" x14ac:dyDescent="0.2">
      <c r="A14" s="1"/>
      <c r="B14" s="1"/>
      <c r="C14" s="1"/>
      <c r="D14" s="1"/>
      <c r="E14" s="1"/>
      <c r="F14" s="1"/>
    </row>
    <row r="15" spans="1:6" x14ac:dyDescent="0.2">
      <c r="A15" s="32" t="s">
        <v>1</v>
      </c>
      <c r="B15" s="35"/>
      <c r="C15" s="35"/>
      <c r="D15" s="35"/>
      <c r="E15" s="35"/>
      <c r="F15" s="33"/>
    </row>
    <row r="16" spans="1:6" x14ac:dyDescent="0.2">
      <c r="A16" s="36" t="s">
        <v>107</v>
      </c>
      <c r="B16" s="36"/>
      <c r="C16" s="36"/>
      <c r="D16" s="36"/>
      <c r="E16" s="36"/>
      <c r="F16" s="36"/>
    </row>
    <row r="17" spans="1:6" x14ac:dyDescent="0.2">
      <c r="A17" s="2" t="s">
        <v>9</v>
      </c>
      <c r="B17" s="2">
        <v>0</v>
      </c>
      <c r="C17" s="2">
        <v>6</v>
      </c>
      <c r="D17" s="2">
        <v>12</v>
      </c>
      <c r="E17" s="2">
        <v>18</v>
      </c>
      <c r="F17" s="2">
        <v>24</v>
      </c>
    </row>
    <row r="18" spans="1:6" x14ac:dyDescent="0.2">
      <c r="A18" s="2" t="s">
        <v>8</v>
      </c>
      <c r="B18" s="26">
        <f>B24</f>
        <v>96.258619764307127</v>
      </c>
      <c r="C18" s="3">
        <f>$F$3*$F$6</f>
        <v>1.5</v>
      </c>
      <c r="D18" s="3">
        <f>$F$3*$F$6</f>
        <v>1.5</v>
      </c>
      <c r="E18" s="3">
        <f>$F$3*$F$6</f>
        <v>1.5</v>
      </c>
      <c r="F18" s="3">
        <f>F3+F3*F6</f>
        <v>101.5</v>
      </c>
    </row>
    <row r="19" spans="1:6" x14ac:dyDescent="0.2">
      <c r="A19" s="37" t="s">
        <v>10</v>
      </c>
      <c r="B19" s="37"/>
      <c r="C19" s="37"/>
      <c r="D19" s="37"/>
      <c r="E19" s="37"/>
      <c r="F19" s="37"/>
    </row>
    <row r="20" spans="1:6" x14ac:dyDescent="0.2">
      <c r="A20" s="2" t="s">
        <v>11</v>
      </c>
      <c r="B20" s="3">
        <f>-C20/(1+C6*A6)</f>
        <v>-1.4727540500736378</v>
      </c>
      <c r="C20" s="3">
        <f>C18</f>
        <v>1.5</v>
      </c>
      <c r="D20" s="3"/>
      <c r="E20" s="3"/>
      <c r="F20" s="3"/>
    </row>
    <row r="21" spans="1:6" x14ac:dyDescent="0.2">
      <c r="A21" s="2" t="s">
        <v>12</v>
      </c>
      <c r="B21" s="3">
        <f>-D21/(1+C8*A8)</f>
        <v>-1.4423076923076923</v>
      </c>
      <c r="C21" s="3"/>
      <c r="D21" s="3">
        <f>D18</f>
        <v>1.5</v>
      </c>
      <c r="E21" s="3"/>
      <c r="F21" s="3"/>
    </row>
    <row r="22" spans="1:6" x14ac:dyDescent="0.2">
      <c r="A22" s="2" t="s">
        <v>13</v>
      </c>
      <c r="B22" s="3">
        <f>-E22/(1+C10*A10)</f>
        <v>-1.4051522248243562</v>
      </c>
      <c r="C22" s="3"/>
      <c r="D22" s="3"/>
      <c r="E22" s="3">
        <f>E18</f>
        <v>1.5</v>
      </c>
      <c r="F22" s="3"/>
    </row>
    <row r="23" spans="1:6" x14ac:dyDescent="0.2">
      <c r="A23" s="2" t="s">
        <v>14</v>
      </c>
      <c r="B23" s="3">
        <f>-F23/(1+C11*A11)</f>
        <v>-91.938405797101439</v>
      </c>
      <c r="C23" s="3"/>
      <c r="D23" s="3"/>
      <c r="E23" s="3"/>
      <c r="F23" s="3">
        <f>F18</f>
        <v>101.5</v>
      </c>
    </row>
    <row r="24" spans="1:6" x14ac:dyDescent="0.2">
      <c r="A24" s="2" t="s">
        <v>109</v>
      </c>
      <c r="B24" s="26">
        <f>-SUM(B20:B23)</f>
        <v>96.258619764307127</v>
      </c>
      <c r="C24" s="1"/>
      <c r="D24" s="1"/>
      <c r="E24" s="1"/>
      <c r="F24" s="1"/>
    </row>
    <row r="25" spans="1:6" x14ac:dyDescent="0.2">
      <c r="A25" s="1"/>
      <c r="B25" s="1"/>
      <c r="C25" s="1"/>
      <c r="D25" s="1"/>
      <c r="E25" s="1"/>
      <c r="F25" s="1"/>
    </row>
    <row r="26" spans="1:6" x14ac:dyDescent="0.2">
      <c r="A26" s="32" t="s">
        <v>18</v>
      </c>
      <c r="B26" s="35"/>
      <c r="C26" s="35"/>
      <c r="D26" s="35"/>
      <c r="E26" s="35"/>
      <c r="F26" s="33"/>
    </row>
    <row r="27" spans="1:6" x14ac:dyDescent="0.2">
      <c r="A27" s="36" t="s">
        <v>107</v>
      </c>
      <c r="B27" s="36"/>
      <c r="C27" s="36"/>
      <c r="D27" s="36"/>
      <c r="E27" s="36"/>
      <c r="F27" s="36"/>
    </row>
    <row r="28" spans="1:6" x14ac:dyDescent="0.2">
      <c r="A28" s="2" t="s">
        <v>9</v>
      </c>
      <c r="B28" s="2">
        <v>0</v>
      </c>
      <c r="C28" s="2">
        <v>6</v>
      </c>
      <c r="D28" s="2">
        <v>12</v>
      </c>
      <c r="E28" s="2">
        <v>18</v>
      </c>
      <c r="F28" s="2">
        <v>24</v>
      </c>
    </row>
    <row r="29" spans="1:6" x14ac:dyDescent="0.2">
      <c r="A29" s="2" t="s">
        <v>8</v>
      </c>
      <c r="B29" s="24">
        <f>-F13</f>
        <v>-95.5</v>
      </c>
      <c r="C29" s="3">
        <f>$F$3*$F$6</f>
        <v>1.5</v>
      </c>
      <c r="D29" s="3">
        <f>$F$3*$F$6</f>
        <v>1.5</v>
      </c>
      <c r="E29" s="3">
        <f>$F$3*$F$6</f>
        <v>1.5</v>
      </c>
      <c r="F29" s="3">
        <f>F9+F9*F12</f>
        <v>101.5</v>
      </c>
    </row>
    <row r="30" spans="1:6" x14ac:dyDescent="0.2">
      <c r="A30" s="37" t="s">
        <v>10</v>
      </c>
      <c r="B30" s="37"/>
      <c r="C30" s="37"/>
      <c r="D30" s="37"/>
      <c r="E30" s="37"/>
      <c r="F30" s="37"/>
    </row>
    <row r="31" spans="1:6" x14ac:dyDescent="0.2">
      <c r="A31" s="2" t="s">
        <v>11</v>
      </c>
      <c r="B31" s="3">
        <f>-C31/(1+C6*A6)</f>
        <v>-1.4727540500736378</v>
      </c>
      <c r="C31" s="3">
        <f>C29</f>
        <v>1.5</v>
      </c>
      <c r="D31" s="3"/>
      <c r="E31" s="3"/>
      <c r="F31" s="3"/>
    </row>
    <row r="32" spans="1:6" x14ac:dyDescent="0.2">
      <c r="A32" s="2" t="s">
        <v>12</v>
      </c>
      <c r="B32" s="3">
        <f>-D32/(1+C8*A8)</f>
        <v>-1.4423076923076923</v>
      </c>
      <c r="C32" s="3"/>
      <c r="D32" s="3">
        <f>D29</f>
        <v>1.5</v>
      </c>
      <c r="E32" s="3"/>
      <c r="F32" s="3"/>
    </row>
    <row r="33" spans="1:6" x14ac:dyDescent="0.2">
      <c r="A33" s="2" t="s">
        <v>13</v>
      </c>
      <c r="B33" s="3">
        <f>-E33/(1+C10*A10)</f>
        <v>-1.4051522248243562</v>
      </c>
      <c r="C33" s="3"/>
      <c r="D33" s="3"/>
      <c r="E33" s="3">
        <f>E29</f>
        <v>1.5</v>
      </c>
      <c r="F33" s="3"/>
    </row>
    <row r="34" spans="1:6" x14ac:dyDescent="0.2">
      <c r="A34" s="2" t="s">
        <v>14</v>
      </c>
      <c r="B34" s="3">
        <f>-F34/(1+C11*A11)</f>
        <v>-91.938405797101439</v>
      </c>
      <c r="C34" s="3"/>
      <c r="D34" s="3"/>
      <c r="E34" s="3"/>
      <c r="F34" s="3">
        <f>F29</f>
        <v>101.5</v>
      </c>
    </row>
    <row r="35" spans="1:6" x14ac:dyDescent="0.2">
      <c r="A35" s="2" t="s">
        <v>109</v>
      </c>
      <c r="B35" s="26">
        <f>-SUM(B31:B34)</f>
        <v>96.258619764307127</v>
      </c>
      <c r="C35" s="1"/>
      <c r="D35" s="1"/>
      <c r="E35" s="1"/>
      <c r="F35" s="1"/>
    </row>
    <row r="36" spans="1:6" x14ac:dyDescent="0.2">
      <c r="A36" s="4" t="s">
        <v>20</v>
      </c>
      <c r="B36" s="7">
        <f>B35+B29</f>
        <v>0.7586197643071273</v>
      </c>
      <c r="C36" s="1"/>
      <c r="D36" s="1"/>
      <c r="E36" s="1"/>
      <c r="F36" s="1"/>
    </row>
    <row r="37" spans="1:6" x14ac:dyDescent="0.2">
      <c r="A37" s="38" t="s">
        <v>111</v>
      </c>
      <c r="B37" s="38"/>
      <c r="C37" s="38"/>
      <c r="D37" s="38"/>
      <c r="E37" s="38"/>
      <c r="F37" s="38"/>
    </row>
    <row r="38" spans="1:6" x14ac:dyDescent="0.2">
      <c r="A38" s="38"/>
      <c r="B38" s="38"/>
      <c r="C38" s="38"/>
      <c r="D38" s="38"/>
      <c r="E38" s="38"/>
      <c r="F38" s="38"/>
    </row>
    <row r="39" spans="1:6" x14ac:dyDescent="0.2">
      <c r="A39" s="1"/>
      <c r="B39" s="1"/>
      <c r="C39" s="1"/>
      <c r="D39" s="1"/>
      <c r="E39" s="1"/>
      <c r="F39" s="1"/>
    </row>
    <row r="40" spans="1:6" x14ac:dyDescent="0.2">
      <c r="A40" s="1"/>
      <c r="B40" s="1"/>
      <c r="C40" s="1"/>
      <c r="D40" s="1"/>
      <c r="E40" s="1"/>
      <c r="F40" s="1"/>
    </row>
    <row r="41" spans="1:6" x14ac:dyDescent="0.2">
      <c r="A41" s="1"/>
      <c r="B41" s="1"/>
      <c r="C41" s="1"/>
      <c r="D41" s="1"/>
      <c r="E41" s="1"/>
      <c r="F41" s="1"/>
    </row>
    <row r="42" spans="1:6" x14ac:dyDescent="0.2">
      <c r="A42" s="1"/>
      <c r="B42" s="1"/>
      <c r="C42" s="1"/>
      <c r="D42" s="1"/>
      <c r="E42" s="1"/>
      <c r="F42" s="1"/>
    </row>
    <row r="43" spans="1:6" x14ac:dyDescent="0.2">
      <c r="A43" s="1"/>
      <c r="B43" s="1"/>
      <c r="C43" s="1"/>
      <c r="D43" s="1"/>
      <c r="E43" s="1"/>
      <c r="F43" s="1"/>
    </row>
    <row r="44" spans="1:6" x14ac:dyDescent="0.2">
      <c r="A44" s="1"/>
      <c r="B44" s="1"/>
      <c r="C44" s="1"/>
      <c r="D44" s="1"/>
      <c r="E44" s="1"/>
      <c r="F44" s="1"/>
    </row>
    <row r="45" spans="1:6" x14ac:dyDescent="0.2">
      <c r="A45" s="1"/>
      <c r="B45" s="1"/>
      <c r="C45" s="1"/>
      <c r="D45" s="1"/>
      <c r="E45" s="1"/>
      <c r="F45" s="1"/>
    </row>
    <row r="46" spans="1:6" x14ac:dyDescent="0.2">
      <c r="A46" s="1"/>
      <c r="B46" s="1"/>
      <c r="C46" s="1"/>
      <c r="D46" s="1"/>
      <c r="E46" s="1"/>
      <c r="F46" s="1"/>
    </row>
  </sheetData>
  <mergeCells count="11">
    <mergeCell ref="A26:F26"/>
    <mergeCell ref="A30:F30"/>
    <mergeCell ref="A37:F38"/>
    <mergeCell ref="A2:C2"/>
    <mergeCell ref="A27:F27"/>
    <mergeCell ref="E8:F8"/>
    <mergeCell ref="A1:F1"/>
    <mergeCell ref="A15:F15"/>
    <mergeCell ref="A16:F16"/>
    <mergeCell ref="E2:F2"/>
    <mergeCell ref="A19:F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25714-DF40-5C4A-8C29-376764C92B1C}">
  <dimension ref="A1:J42"/>
  <sheetViews>
    <sheetView zoomScale="64" zoomScaleNormal="64" workbookViewId="0">
      <selection activeCell="N35" sqref="N35"/>
    </sheetView>
  </sheetViews>
  <sheetFormatPr baseColWidth="10" defaultRowHeight="16" x14ac:dyDescent="0.2"/>
  <cols>
    <col min="1" max="1" width="20" customWidth="1"/>
    <col min="2" max="2" width="11.6640625" bestFit="1" customWidth="1"/>
    <col min="3" max="6" width="11" bestFit="1" customWidth="1"/>
    <col min="8" max="8" width="26.83203125" customWidth="1"/>
    <col min="9" max="9" width="14.83203125" customWidth="1"/>
  </cols>
  <sheetData>
    <row r="1" spans="1:10" x14ac:dyDescent="0.2">
      <c r="A1" s="41" t="s">
        <v>53</v>
      </c>
      <c r="B1" s="41"/>
      <c r="C1" s="41"/>
      <c r="D1" s="41"/>
      <c r="E1" s="41"/>
      <c r="F1" s="41"/>
      <c r="G1" s="1"/>
      <c r="H1" s="1"/>
      <c r="I1" s="1"/>
      <c r="J1" s="1"/>
    </row>
    <row r="2" spans="1:10" x14ac:dyDescent="0.2">
      <c r="A2" s="36" t="s">
        <v>23</v>
      </c>
      <c r="B2" s="36"/>
      <c r="C2" s="36"/>
      <c r="D2" s="36"/>
      <c r="E2" s="36"/>
      <c r="F2" s="36"/>
      <c r="G2" s="1"/>
      <c r="H2" s="1"/>
      <c r="I2" s="1"/>
      <c r="J2" s="1"/>
    </row>
    <row r="3" spans="1:10" x14ac:dyDescent="0.2">
      <c r="A3" s="2" t="s">
        <v>21</v>
      </c>
      <c r="B3" s="9">
        <v>45991</v>
      </c>
      <c r="C3" s="9">
        <v>46022</v>
      </c>
      <c r="D3" s="9">
        <v>46053</v>
      </c>
      <c r="E3" s="9">
        <v>46081</v>
      </c>
      <c r="F3" s="9">
        <v>46112</v>
      </c>
      <c r="G3" s="1"/>
      <c r="H3" s="1"/>
      <c r="I3" s="1"/>
      <c r="J3" s="1"/>
    </row>
    <row r="4" spans="1:10" x14ac:dyDescent="0.2">
      <c r="A4" s="2">
        <v>3</v>
      </c>
      <c r="B4" s="3">
        <v>3.5000000000000003E-2</v>
      </c>
      <c r="C4" s="3">
        <v>3.3000000000000002E-2</v>
      </c>
      <c r="D4" s="3">
        <v>3.6999999999999998E-2</v>
      </c>
      <c r="E4" s="3">
        <v>3.5000000000000003E-2</v>
      </c>
      <c r="F4" s="3">
        <v>3.4000000000000002E-2</v>
      </c>
      <c r="G4" s="1"/>
      <c r="H4" s="1"/>
      <c r="I4" s="1"/>
      <c r="J4" s="1"/>
    </row>
    <row r="5" spans="1:10" x14ac:dyDescent="0.2">
      <c r="A5" s="2">
        <v>6</v>
      </c>
      <c r="B5" s="3">
        <v>3.6999999999999998E-2</v>
      </c>
      <c r="C5" s="3">
        <v>3.5999999999999997E-2</v>
      </c>
      <c r="D5" s="3">
        <v>3.7999999999999999E-2</v>
      </c>
      <c r="E5" s="3">
        <v>3.5999999999999997E-2</v>
      </c>
      <c r="F5" s="3">
        <v>3.3000000000000002E-2</v>
      </c>
      <c r="G5" s="1"/>
      <c r="H5" s="1"/>
      <c r="I5" s="1"/>
      <c r="J5" s="1"/>
    </row>
    <row r="6" spans="1:10" x14ac:dyDescent="0.2">
      <c r="A6" s="2">
        <v>9</v>
      </c>
      <c r="B6" s="3">
        <v>3.9E-2</v>
      </c>
      <c r="C6" s="3">
        <v>3.6999999999999998E-2</v>
      </c>
      <c r="D6" s="3">
        <v>3.9E-2</v>
      </c>
      <c r="E6" s="3">
        <v>3.3000000000000002E-2</v>
      </c>
      <c r="F6" s="3">
        <v>3.1E-2</v>
      </c>
      <c r="G6" s="1"/>
      <c r="H6" s="1"/>
      <c r="I6" s="1"/>
      <c r="J6" s="1"/>
    </row>
    <row r="7" spans="1:10" x14ac:dyDescent="0.2">
      <c r="A7" s="2">
        <v>12</v>
      </c>
      <c r="B7" s="3">
        <v>4.2000000000000003E-2</v>
      </c>
      <c r="C7" s="3">
        <v>3.7999999999999999E-2</v>
      </c>
      <c r="D7" s="3">
        <v>4.1000000000000002E-2</v>
      </c>
      <c r="E7" s="3">
        <v>3.2000000000000001E-2</v>
      </c>
      <c r="F7" s="3">
        <v>2.9000000000000001E-2</v>
      </c>
      <c r="G7" s="1"/>
      <c r="H7" s="1"/>
      <c r="I7" s="1"/>
      <c r="J7" s="1"/>
    </row>
    <row r="8" spans="1:10" x14ac:dyDescent="0.2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">
      <c r="A9" s="42" t="s">
        <v>1</v>
      </c>
      <c r="B9" s="42"/>
      <c r="C9" s="42"/>
      <c r="D9" s="42"/>
      <c r="E9" s="42"/>
      <c r="F9" s="42"/>
      <c r="G9" s="1"/>
      <c r="H9" s="43" t="s">
        <v>107</v>
      </c>
      <c r="I9" s="43"/>
      <c r="J9" s="43"/>
    </row>
    <row r="10" spans="1:10" ht="31" customHeight="1" x14ac:dyDescent="0.2">
      <c r="A10" s="10" t="s">
        <v>24</v>
      </c>
      <c r="B10" s="3">
        <f>B5</f>
        <v>3.6999999999999998E-2</v>
      </c>
      <c r="C10" s="38" t="s">
        <v>22</v>
      </c>
      <c r="D10" s="38"/>
      <c r="E10" s="38"/>
      <c r="F10" s="38"/>
      <c r="G10" s="1"/>
      <c r="H10" s="2"/>
      <c r="I10" s="16" t="s">
        <v>42</v>
      </c>
      <c r="J10" s="2" t="s">
        <v>28</v>
      </c>
    </row>
    <row r="11" spans="1:10" x14ac:dyDescent="0.2">
      <c r="A11" s="2" t="s">
        <v>2</v>
      </c>
      <c r="B11" s="3">
        <v>1000</v>
      </c>
      <c r="C11" s="38"/>
      <c r="D11" s="38"/>
      <c r="E11" s="38"/>
      <c r="F11" s="38"/>
      <c r="G11" s="1"/>
      <c r="H11" s="2" t="s">
        <v>41</v>
      </c>
      <c r="I11" s="26" t="s">
        <v>43</v>
      </c>
      <c r="J11" s="3">
        <v>1000</v>
      </c>
    </row>
    <row r="12" spans="1:10" x14ac:dyDescent="0.2">
      <c r="A12" s="2" t="s">
        <v>25</v>
      </c>
      <c r="B12" s="26">
        <f>1000/SQRT(1+B10)</f>
        <v>981.99804189785687</v>
      </c>
      <c r="C12" s="38"/>
      <c r="D12" s="38"/>
      <c r="E12" s="38"/>
      <c r="F12" s="38"/>
      <c r="G12" s="1"/>
      <c r="H12" s="37" t="s">
        <v>10</v>
      </c>
      <c r="I12" s="37"/>
      <c r="J12" s="37"/>
    </row>
    <row r="13" spans="1:10" x14ac:dyDescent="0.2">
      <c r="A13" s="1"/>
      <c r="B13" s="1"/>
      <c r="C13" s="1"/>
      <c r="D13" s="1"/>
      <c r="E13" s="1"/>
      <c r="F13" s="1"/>
      <c r="G13" s="1"/>
      <c r="H13" s="2" t="s">
        <v>115</v>
      </c>
      <c r="I13" s="3">
        <f>-J13/(1+B5)^(6/12)</f>
        <v>-981.99804189785687</v>
      </c>
      <c r="J13" s="3">
        <v>1000</v>
      </c>
    </row>
    <row r="14" spans="1:10" x14ac:dyDescent="0.2">
      <c r="A14" s="1"/>
      <c r="B14" s="1"/>
      <c r="C14" s="1"/>
      <c r="D14" s="1"/>
      <c r="E14" s="1"/>
      <c r="F14" s="1"/>
      <c r="G14" s="1"/>
      <c r="H14" s="2" t="s">
        <v>112</v>
      </c>
      <c r="I14" s="26">
        <f>-I13</f>
        <v>981.99804189785687</v>
      </c>
      <c r="J14" s="3"/>
    </row>
    <row r="15" spans="1:10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C16" s="1"/>
      <c r="D16" s="1"/>
      <c r="E16" s="1"/>
      <c r="F16" s="1"/>
      <c r="G16" s="1"/>
    </row>
    <row r="17" spans="1:10" x14ac:dyDescent="0.2">
      <c r="A17" s="31" t="s">
        <v>18</v>
      </c>
      <c r="B17" s="31"/>
      <c r="C17" s="31"/>
      <c r="D17" s="31"/>
      <c r="E17" s="31"/>
      <c r="F17" s="31"/>
      <c r="G17" s="1"/>
      <c r="H17" s="44" t="s">
        <v>107</v>
      </c>
      <c r="I17" s="44"/>
      <c r="J17" s="44"/>
    </row>
    <row r="18" spans="1:10" ht="34" x14ac:dyDescent="0.2">
      <c r="A18" s="10"/>
      <c r="B18" s="15" t="s">
        <v>27</v>
      </c>
      <c r="C18" s="10" t="s">
        <v>28</v>
      </c>
      <c r="D18" s="40" t="s">
        <v>35</v>
      </c>
      <c r="E18" s="40"/>
      <c r="F18" s="40"/>
      <c r="G18" s="1"/>
      <c r="H18" s="10"/>
      <c r="I18" s="10" t="s">
        <v>44</v>
      </c>
      <c r="J18" s="10" t="s">
        <v>28</v>
      </c>
    </row>
    <row r="19" spans="1:10" ht="17" x14ac:dyDescent="0.2">
      <c r="A19" s="10" t="s">
        <v>29</v>
      </c>
      <c r="B19" s="14"/>
      <c r="C19" s="5">
        <v>1000</v>
      </c>
      <c r="D19" s="38" t="s">
        <v>32</v>
      </c>
      <c r="E19" s="38"/>
      <c r="F19" s="38"/>
      <c r="G19" s="1"/>
      <c r="H19" s="10" t="s">
        <v>41</v>
      </c>
      <c r="I19" s="25" t="s">
        <v>43</v>
      </c>
      <c r="J19" s="5">
        <v>1000</v>
      </c>
    </row>
    <row r="20" spans="1:10" ht="35" customHeight="1" x14ac:dyDescent="0.2">
      <c r="A20" s="10" t="s">
        <v>45</v>
      </c>
      <c r="B20" s="5">
        <f>B12*(1+B5)^(3/12)</f>
        <v>990.95814336320836</v>
      </c>
      <c r="C20" s="5"/>
      <c r="D20" s="38" t="s">
        <v>46</v>
      </c>
      <c r="E20" s="38"/>
      <c r="F20" s="38"/>
      <c r="G20" s="1"/>
      <c r="H20" s="45" t="s">
        <v>10</v>
      </c>
      <c r="I20" s="46"/>
      <c r="J20" s="47"/>
    </row>
    <row r="21" spans="1:10" ht="102" customHeight="1" x14ac:dyDescent="0.2">
      <c r="A21" s="10" t="s">
        <v>30</v>
      </c>
      <c r="B21" s="25">
        <f>C19/(1+E4)^(3/12)</f>
        <v>991.43652059321516</v>
      </c>
      <c r="C21" s="5"/>
      <c r="D21" s="38" t="s">
        <v>47</v>
      </c>
      <c r="E21" s="38"/>
      <c r="F21" s="38"/>
      <c r="G21" s="13"/>
      <c r="H21" s="10" t="s">
        <v>113</v>
      </c>
      <c r="I21" s="5">
        <f>-J21/(1+E4)^(3/12)</f>
        <v>-991.43652059321516</v>
      </c>
      <c r="J21" s="5">
        <v>1000</v>
      </c>
    </row>
    <row r="22" spans="1:10" ht="35" customHeight="1" x14ac:dyDescent="0.2">
      <c r="A22" s="10" t="s">
        <v>26</v>
      </c>
      <c r="B22" s="5">
        <f>B21-B20</f>
        <v>0.47837723000679944</v>
      </c>
      <c r="C22" s="5"/>
      <c r="D22" s="38" t="s">
        <v>33</v>
      </c>
      <c r="E22" s="38"/>
      <c r="F22" s="38"/>
      <c r="G22" s="1"/>
      <c r="H22" s="10" t="s">
        <v>114</v>
      </c>
      <c r="I22" s="25">
        <f>-I21</f>
        <v>991.43652059321516</v>
      </c>
      <c r="J22" s="5"/>
    </row>
    <row r="23" spans="1:10" ht="65" customHeight="1" x14ac:dyDescent="0.2">
      <c r="A23" s="10" t="s">
        <v>31</v>
      </c>
      <c r="B23" s="17">
        <f>B21-B12</f>
        <v>9.4384786953582989</v>
      </c>
      <c r="C23" s="5"/>
      <c r="D23" s="38" t="s">
        <v>34</v>
      </c>
      <c r="E23" s="38"/>
      <c r="F23" s="38"/>
      <c r="G23" s="1"/>
      <c r="H23" s="1"/>
      <c r="I23" s="1"/>
      <c r="J23" s="1"/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7" customHeight="1" x14ac:dyDescent="0.2">
      <c r="A25" s="31" t="s">
        <v>36</v>
      </c>
      <c r="B25" s="31"/>
      <c r="C25" s="31"/>
      <c r="D25" s="31"/>
      <c r="E25" s="31"/>
      <c r="F25" s="31"/>
      <c r="G25" s="1"/>
      <c r="H25" s="43" t="s">
        <v>107</v>
      </c>
      <c r="I25" s="43"/>
      <c r="J25" s="43"/>
    </row>
    <row r="26" spans="1:10" ht="51" x14ac:dyDescent="0.2">
      <c r="A26" s="10" t="s">
        <v>37</v>
      </c>
      <c r="B26" s="3">
        <f>B7</f>
        <v>4.2000000000000003E-2</v>
      </c>
      <c r="C26" s="38" t="s">
        <v>39</v>
      </c>
      <c r="D26" s="38"/>
      <c r="E26" s="38"/>
      <c r="F26" s="38"/>
      <c r="G26" s="1"/>
      <c r="H26" s="2"/>
      <c r="I26" s="16" t="s">
        <v>42</v>
      </c>
      <c r="J26" s="2" t="s">
        <v>28</v>
      </c>
    </row>
    <row r="27" spans="1:10" x14ac:dyDescent="0.2">
      <c r="A27" s="2" t="s">
        <v>2</v>
      </c>
      <c r="B27" s="3">
        <f>B11</f>
        <v>1000</v>
      </c>
      <c r="C27" s="38"/>
      <c r="D27" s="38"/>
      <c r="E27" s="38"/>
      <c r="F27" s="38"/>
      <c r="G27" s="1"/>
      <c r="H27" s="2" t="s">
        <v>41</v>
      </c>
      <c r="I27" s="26" t="s">
        <v>43</v>
      </c>
      <c r="J27" s="3">
        <v>1000</v>
      </c>
    </row>
    <row r="28" spans="1:10" x14ac:dyDescent="0.2">
      <c r="A28" s="2" t="s">
        <v>25</v>
      </c>
      <c r="B28" s="26">
        <f>B27/(1+B26)</f>
        <v>959.69289827255272</v>
      </c>
      <c r="C28" s="38"/>
      <c r="D28" s="38"/>
      <c r="E28" s="38"/>
      <c r="F28" s="38"/>
      <c r="G28" s="1"/>
      <c r="H28" s="37" t="s">
        <v>10</v>
      </c>
      <c r="I28" s="37"/>
      <c r="J28" s="37"/>
    </row>
    <row r="29" spans="1:10" x14ac:dyDescent="0.2">
      <c r="G29" s="1"/>
      <c r="H29" s="2" t="s">
        <v>115</v>
      </c>
      <c r="I29" s="3">
        <f>-J29/(1+B7)</f>
        <v>-959.69289827255272</v>
      </c>
      <c r="J29" s="3">
        <v>1000</v>
      </c>
    </row>
    <row r="30" spans="1:10" x14ac:dyDescent="0.2">
      <c r="G30" s="1"/>
      <c r="H30" s="2" t="s">
        <v>49</v>
      </c>
      <c r="I30" s="26">
        <f>-I29</f>
        <v>959.69289827255272</v>
      </c>
      <c r="J30" s="3"/>
    </row>
    <row r="31" spans="1:10" ht="17" customHeight="1" x14ac:dyDescent="0.2">
      <c r="G31" s="1"/>
    </row>
    <row r="32" spans="1:10" ht="16" customHeight="1" x14ac:dyDescent="0.2">
      <c r="A32" s="36" t="s">
        <v>38</v>
      </c>
      <c r="B32" s="36"/>
      <c r="C32" s="36"/>
      <c r="D32" s="36"/>
      <c r="E32" s="36"/>
      <c r="F32" s="36"/>
      <c r="G32" s="1"/>
      <c r="H32" s="43" t="s">
        <v>107</v>
      </c>
      <c r="I32" s="43"/>
      <c r="J32" s="43"/>
    </row>
    <row r="33" spans="1:10" ht="32" customHeight="1" x14ac:dyDescent="0.2">
      <c r="A33" s="10"/>
      <c r="B33" s="15" t="s">
        <v>27</v>
      </c>
      <c r="C33" s="10" t="s">
        <v>40</v>
      </c>
      <c r="D33" s="40" t="s">
        <v>35</v>
      </c>
      <c r="E33" s="40"/>
      <c r="F33" s="40"/>
      <c r="G33" s="1"/>
      <c r="H33" s="10"/>
      <c r="I33" s="10" t="s">
        <v>44</v>
      </c>
      <c r="J33" s="10" t="s">
        <v>28</v>
      </c>
    </row>
    <row r="34" spans="1:10" ht="16" customHeight="1" x14ac:dyDescent="0.2">
      <c r="A34" s="10" t="s">
        <v>29</v>
      </c>
      <c r="B34" s="3"/>
      <c r="C34" s="3">
        <v>1000</v>
      </c>
      <c r="D34" s="38" t="s">
        <v>32</v>
      </c>
      <c r="E34" s="38"/>
      <c r="F34" s="38"/>
      <c r="G34" s="1"/>
      <c r="H34" s="10" t="s">
        <v>41</v>
      </c>
      <c r="I34" s="25" t="s">
        <v>43</v>
      </c>
      <c r="J34" s="5">
        <v>1000</v>
      </c>
    </row>
    <row r="35" spans="1:10" ht="98" customHeight="1" x14ac:dyDescent="0.2">
      <c r="A35" s="10" t="s">
        <v>30</v>
      </c>
      <c r="B35" s="3">
        <f>B28*(1+B26)^(3/12)</f>
        <v>969.61474401327655</v>
      </c>
      <c r="C35" s="3"/>
      <c r="D35" s="38" t="s">
        <v>47</v>
      </c>
      <c r="E35" s="38"/>
      <c r="F35" s="38"/>
      <c r="G35" s="1"/>
      <c r="H35" s="37" t="s">
        <v>10</v>
      </c>
      <c r="I35" s="37"/>
      <c r="J35" s="37"/>
    </row>
    <row r="36" spans="1:10" ht="69" customHeight="1" x14ac:dyDescent="0.2">
      <c r="A36" s="10" t="s">
        <v>30</v>
      </c>
      <c r="B36" s="26">
        <f>C34/(1+E6)^(9/12)</f>
        <v>975.94368639140077</v>
      </c>
      <c r="C36" s="3"/>
      <c r="D36" s="38" t="s">
        <v>108</v>
      </c>
      <c r="E36" s="38"/>
      <c r="F36" s="38"/>
      <c r="G36" s="1"/>
      <c r="H36" s="10" t="s">
        <v>50</v>
      </c>
      <c r="I36" s="5">
        <f>-J36/(1+E6)^(9/12)</f>
        <v>-975.94368639140077</v>
      </c>
      <c r="J36" s="5">
        <v>1000</v>
      </c>
    </row>
    <row r="37" spans="1:10" ht="16" customHeight="1" x14ac:dyDescent="0.2">
      <c r="A37" s="10" t="s">
        <v>26</v>
      </c>
      <c r="B37" s="3">
        <f>B36-B35</f>
        <v>6.3289423781242249</v>
      </c>
      <c r="C37" s="3"/>
      <c r="D37" s="38" t="s">
        <v>33</v>
      </c>
      <c r="E37" s="38"/>
      <c r="F37" s="38"/>
      <c r="H37" s="10" t="s">
        <v>48</v>
      </c>
      <c r="I37" s="25">
        <f>-I36</f>
        <v>975.94368639140077</v>
      </c>
      <c r="J37" s="5"/>
    </row>
    <row r="38" spans="1:10" ht="64" customHeight="1" x14ac:dyDescent="0.2">
      <c r="A38" s="10" t="s">
        <v>31</v>
      </c>
      <c r="B38" s="12">
        <f>B36-B28</f>
        <v>16.25078811884805</v>
      </c>
      <c r="C38" s="3"/>
      <c r="D38" s="38" t="s">
        <v>34</v>
      </c>
      <c r="E38" s="38"/>
      <c r="F38" s="38"/>
    </row>
    <row r="40" spans="1:10" ht="16" customHeight="1" x14ac:dyDescent="0.2">
      <c r="A40" s="55" t="s">
        <v>51</v>
      </c>
      <c r="B40" s="55"/>
      <c r="C40" s="55"/>
      <c r="D40" s="55"/>
      <c r="E40" s="55"/>
      <c r="F40" s="55"/>
      <c r="G40" s="55"/>
      <c r="H40" s="55"/>
      <c r="I40" s="55"/>
      <c r="J40" s="55"/>
    </row>
    <row r="41" spans="1:10" x14ac:dyDescent="0.2">
      <c r="A41" s="55"/>
      <c r="B41" s="55"/>
      <c r="C41" s="55"/>
      <c r="D41" s="55"/>
      <c r="E41" s="55"/>
      <c r="F41" s="55"/>
      <c r="G41" s="55"/>
      <c r="H41" s="55"/>
      <c r="I41" s="55"/>
      <c r="J41" s="55"/>
    </row>
    <row r="42" spans="1:10" x14ac:dyDescent="0.2">
      <c r="A42" s="55"/>
      <c r="B42" s="55"/>
      <c r="C42" s="55"/>
      <c r="D42" s="55"/>
      <c r="E42" s="55"/>
      <c r="F42" s="55"/>
      <c r="G42" s="55"/>
      <c r="H42" s="55"/>
      <c r="I42" s="55"/>
      <c r="J42" s="55"/>
    </row>
  </sheetData>
  <mergeCells count="29">
    <mergeCell ref="A40:J42"/>
    <mergeCell ref="D37:F37"/>
    <mergeCell ref="D38:F38"/>
    <mergeCell ref="H9:J9"/>
    <mergeCell ref="H17:J17"/>
    <mergeCell ref="H20:J20"/>
    <mergeCell ref="H28:J28"/>
    <mergeCell ref="H25:J25"/>
    <mergeCell ref="H12:J12"/>
    <mergeCell ref="H35:J35"/>
    <mergeCell ref="H32:J32"/>
    <mergeCell ref="D36:F36"/>
    <mergeCell ref="D35:F35"/>
    <mergeCell ref="D34:F34"/>
    <mergeCell ref="D22:F22"/>
    <mergeCell ref="D23:F23"/>
    <mergeCell ref="D18:F18"/>
    <mergeCell ref="A25:F25"/>
    <mergeCell ref="C26:F28"/>
    <mergeCell ref="D33:F33"/>
    <mergeCell ref="A32:F32"/>
    <mergeCell ref="A1:F1"/>
    <mergeCell ref="A2:F2"/>
    <mergeCell ref="A9:F9"/>
    <mergeCell ref="C10:F12"/>
    <mergeCell ref="A17:F17"/>
    <mergeCell ref="D19:F19"/>
    <mergeCell ref="D21:F21"/>
    <mergeCell ref="D20:F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FC100-F23D-ED49-A248-077400FC99CF}">
  <dimension ref="A1:B14"/>
  <sheetViews>
    <sheetView zoomScale="300" workbookViewId="0">
      <selection activeCell="B4" sqref="B4"/>
    </sheetView>
  </sheetViews>
  <sheetFormatPr baseColWidth="10" defaultRowHeight="16" x14ac:dyDescent="0.2"/>
  <cols>
    <col min="1" max="1" width="18.83203125" customWidth="1"/>
  </cols>
  <sheetData>
    <row r="1" spans="1:2" x14ac:dyDescent="0.2">
      <c r="A1" s="41" t="s">
        <v>54</v>
      </c>
      <c r="B1" s="41"/>
    </row>
    <row r="2" spans="1:2" x14ac:dyDescent="0.2">
      <c r="A2" s="19" t="s">
        <v>52</v>
      </c>
      <c r="B2" s="3">
        <v>0.93500000000000005</v>
      </c>
    </row>
    <row r="3" spans="1:2" x14ac:dyDescent="0.2">
      <c r="A3" s="42" t="s">
        <v>1</v>
      </c>
      <c r="B3" s="42"/>
    </row>
    <row r="4" spans="1:2" x14ac:dyDescent="0.2">
      <c r="A4" s="19" t="s">
        <v>55</v>
      </c>
      <c r="B4" s="3">
        <f>(1/B2-1)/3</f>
        <v>2.3172905525846648E-2</v>
      </c>
    </row>
    <row r="5" spans="1:2" x14ac:dyDescent="0.2">
      <c r="A5" s="42" t="s">
        <v>18</v>
      </c>
      <c r="B5" s="42"/>
    </row>
    <row r="6" spans="1:2" x14ac:dyDescent="0.2">
      <c r="A6" s="19" t="s">
        <v>56</v>
      </c>
      <c r="B6" s="3">
        <f>(1/B2)^(1/3)-1</f>
        <v>2.2655746411713196E-2</v>
      </c>
    </row>
    <row r="7" spans="1:2" x14ac:dyDescent="0.2">
      <c r="A7" s="42" t="s">
        <v>36</v>
      </c>
      <c r="B7" s="42"/>
    </row>
    <row r="8" spans="1:2" x14ac:dyDescent="0.2">
      <c r="A8" s="19" t="s">
        <v>58</v>
      </c>
      <c r="B8" s="3">
        <f>1/B2-1</f>
        <v>6.9518716577539941E-2</v>
      </c>
    </row>
    <row r="9" spans="1:2" x14ac:dyDescent="0.2">
      <c r="A9" s="42" t="s">
        <v>57</v>
      </c>
      <c r="B9" s="42"/>
    </row>
    <row r="10" spans="1:2" ht="16" customHeight="1" x14ac:dyDescent="0.2">
      <c r="A10" s="38" t="s">
        <v>59</v>
      </c>
      <c r="B10" s="38"/>
    </row>
    <row r="11" spans="1:2" x14ac:dyDescent="0.2">
      <c r="A11" s="38"/>
      <c r="B11" s="38"/>
    </row>
    <row r="12" spans="1:2" x14ac:dyDescent="0.2">
      <c r="A12" s="38"/>
      <c r="B12" s="38"/>
    </row>
    <row r="13" spans="1:2" x14ac:dyDescent="0.2">
      <c r="A13" s="8"/>
      <c r="B13" s="8"/>
    </row>
    <row r="14" spans="1:2" x14ac:dyDescent="0.2">
      <c r="A14" s="8"/>
      <c r="B14" s="8"/>
    </row>
  </sheetData>
  <mergeCells count="6">
    <mergeCell ref="A10:B12"/>
    <mergeCell ref="A1:B1"/>
    <mergeCell ref="A3:B3"/>
    <mergeCell ref="A5:B5"/>
    <mergeCell ref="A7:B7"/>
    <mergeCell ref="A9:B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51BC-753D-3744-9E09-5F97EF75CB70}">
  <dimension ref="A1:G21"/>
  <sheetViews>
    <sheetView zoomScale="125" zoomScaleNormal="125" workbookViewId="0">
      <selection activeCell="A13" sqref="A13"/>
    </sheetView>
  </sheetViews>
  <sheetFormatPr baseColWidth="10" defaultRowHeight="16" x14ac:dyDescent="0.2"/>
  <cols>
    <col min="1" max="1" width="21.6640625" customWidth="1"/>
    <col min="3" max="3" width="15.83203125" customWidth="1"/>
    <col min="5" max="5" width="11.5" customWidth="1"/>
  </cols>
  <sheetData>
    <row r="1" spans="1:7" x14ac:dyDescent="0.2">
      <c r="A1" s="53" t="s">
        <v>60</v>
      </c>
      <c r="B1" s="53"/>
      <c r="C1" s="53"/>
      <c r="D1" s="53"/>
      <c r="E1" s="53"/>
    </row>
    <row r="2" spans="1:7" x14ac:dyDescent="0.2">
      <c r="A2" s="31" t="s">
        <v>1</v>
      </c>
      <c r="B2" s="31"/>
      <c r="C2" s="31"/>
      <c r="D2" s="31"/>
      <c r="E2" s="31"/>
    </row>
    <row r="3" spans="1:7" ht="70" customHeight="1" x14ac:dyDescent="0.2">
      <c r="A3" s="10" t="s">
        <v>78</v>
      </c>
      <c r="B3" s="52" t="s">
        <v>79</v>
      </c>
      <c r="C3" s="52"/>
      <c r="D3" s="52"/>
      <c r="E3" s="52"/>
      <c r="F3" s="8"/>
      <c r="G3" s="8"/>
    </row>
    <row r="4" spans="1:7" ht="50" customHeight="1" x14ac:dyDescent="0.2">
      <c r="A4" s="10" t="s">
        <v>74</v>
      </c>
      <c r="B4" s="52" t="s">
        <v>76</v>
      </c>
      <c r="C4" s="52"/>
      <c r="D4" s="52"/>
      <c r="E4" s="52"/>
      <c r="F4" s="8"/>
      <c r="G4" s="8"/>
    </row>
    <row r="5" spans="1:7" ht="65" customHeight="1" x14ac:dyDescent="0.2">
      <c r="A5" s="10" t="s">
        <v>75</v>
      </c>
      <c r="B5" s="52" t="s">
        <v>77</v>
      </c>
      <c r="C5" s="52"/>
      <c r="D5" s="52"/>
      <c r="E5" s="52"/>
      <c r="F5" s="8"/>
      <c r="G5" s="8"/>
    </row>
    <row r="6" spans="1:7" ht="16" customHeight="1" x14ac:dyDescent="0.2">
      <c r="A6" s="13"/>
      <c r="B6" s="13"/>
      <c r="C6" s="13"/>
      <c r="D6" s="13"/>
      <c r="E6" s="13"/>
      <c r="F6" s="8"/>
      <c r="G6" s="8"/>
    </row>
    <row r="7" spans="1:7" ht="16" customHeight="1" x14ac:dyDescent="0.2">
      <c r="A7" s="31" t="s">
        <v>18</v>
      </c>
      <c r="B7" s="31"/>
      <c r="C7" s="31"/>
      <c r="D7" s="13"/>
      <c r="E7" s="13"/>
      <c r="F7" s="8"/>
      <c r="G7" s="8"/>
    </row>
    <row r="8" spans="1:7" ht="16" customHeight="1" x14ac:dyDescent="0.2">
      <c r="A8" s="49" t="s">
        <v>100</v>
      </c>
      <c r="B8" s="50"/>
      <c r="C8" s="51"/>
      <c r="D8" s="13"/>
      <c r="E8" s="13"/>
      <c r="F8" s="8"/>
      <c r="G8" s="8"/>
    </row>
    <row r="9" spans="1:7" ht="16" customHeight="1" x14ac:dyDescent="0.2">
      <c r="A9" s="10" t="s">
        <v>62</v>
      </c>
      <c r="B9" s="10" t="s">
        <v>63</v>
      </c>
      <c r="C9" s="10" t="s">
        <v>64</v>
      </c>
      <c r="D9" s="13"/>
      <c r="E9" s="13"/>
      <c r="F9" s="8"/>
      <c r="G9" s="8"/>
    </row>
    <row r="10" spans="1:7" ht="16" customHeight="1" x14ac:dyDescent="0.2">
      <c r="A10" s="10" t="s">
        <v>65</v>
      </c>
      <c r="B10" s="5">
        <v>0</v>
      </c>
      <c r="C10" s="25" t="s">
        <v>70</v>
      </c>
      <c r="D10" s="13"/>
      <c r="E10" s="13"/>
      <c r="F10" s="8"/>
      <c r="G10" s="8"/>
    </row>
    <row r="11" spans="1:7" ht="16" customHeight="1" x14ac:dyDescent="0.2">
      <c r="A11" s="40" t="s">
        <v>10</v>
      </c>
      <c r="B11" s="40"/>
      <c r="C11" s="40"/>
      <c r="D11" s="13"/>
      <c r="E11" s="13"/>
      <c r="F11" s="8"/>
      <c r="G11" s="8"/>
    </row>
    <row r="12" spans="1:7" ht="17" x14ac:dyDescent="0.2">
      <c r="A12" s="10" t="s">
        <v>116</v>
      </c>
      <c r="B12" s="5" t="s">
        <v>68</v>
      </c>
      <c r="C12" s="5" t="s">
        <v>67</v>
      </c>
      <c r="D12" s="13"/>
      <c r="E12" s="13"/>
    </row>
    <row r="13" spans="1:7" ht="16" customHeight="1" x14ac:dyDescent="0.2">
      <c r="A13" s="10" t="s">
        <v>69</v>
      </c>
      <c r="B13" s="5" t="s">
        <v>66</v>
      </c>
      <c r="C13" s="5" t="s">
        <v>71</v>
      </c>
      <c r="D13" s="13"/>
      <c r="E13" s="13"/>
    </row>
    <row r="14" spans="1:7" ht="16" customHeight="1" x14ac:dyDescent="0.2">
      <c r="A14" s="5"/>
      <c r="B14" s="5"/>
      <c r="C14" s="5"/>
      <c r="D14" s="13"/>
      <c r="E14" s="13"/>
    </row>
    <row r="15" spans="1:7" ht="34" x14ac:dyDescent="0.2">
      <c r="A15" s="10" t="s">
        <v>72</v>
      </c>
      <c r="B15" s="3">
        <v>0</v>
      </c>
      <c r="C15" s="25" t="s">
        <v>73</v>
      </c>
      <c r="D15" s="1"/>
      <c r="E15" s="1"/>
    </row>
    <row r="17" spans="1:5" ht="17" customHeight="1" x14ac:dyDescent="0.2">
      <c r="A17" s="31" t="s">
        <v>36</v>
      </c>
      <c r="B17" s="31"/>
      <c r="C17" s="31"/>
      <c r="D17" s="31"/>
      <c r="E17" s="31"/>
    </row>
    <row r="18" spans="1:5" x14ac:dyDescent="0.2">
      <c r="A18" s="48" t="s">
        <v>80</v>
      </c>
      <c r="B18" s="48"/>
      <c r="C18" s="48"/>
      <c r="D18" s="48"/>
      <c r="E18" s="48"/>
    </row>
    <row r="19" spans="1:5" x14ac:dyDescent="0.2">
      <c r="A19" s="48"/>
      <c r="B19" s="48"/>
      <c r="C19" s="48"/>
      <c r="D19" s="48"/>
      <c r="E19" s="48"/>
    </row>
    <row r="20" spans="1:5" x14ac:dyDescent="0.2">
      <c r="A20" s="48"/>
      <c r="B20" s="48"/>
      <c r="C20" s="48"/>
      <c r="D20" s="48"/>
      <c r="E20" s="48"/>
    </row>
    <row r="21" spans="1:5" x14ac:dyDescent="0.2">
      <c r="A21" s="48"/>
      <c r="B21" s="48"/>
      <c r="C21" s="48"/>
      <c r="D21" s="48"/>
      <c r="E21" s="48"/>
    </row>
  </sheetData>
  <mergeCells count="10">
    <mergeCell ref="A17:E17"/>
    <mergeCell ref="A18:E21"/>
    <mergeCell ref="A8:C8"/>
    <mergeCell ref="B3:E3"/>
    <mergeCell ref="A1:E1"/>
    <mergeCell ref="A2:E2"/>
    <mergeCell ref="A7:C7"/>
    <mergeCell ref="A11:C11"/>
    <mergeCell ref="B4:E4"/>
    <mergeCell ref="B5:E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90CA1-D14A-F948-BF76-03F9CEE47BCD}">
  <dimension ref="A1:E22"/>
  <sheetViews>
    <sheetView zoomScale="150" zoomScaleNormal="150" workbookViewId="0">
      <selection activeCell="F14" sqref="F14"/>
    </sheetView>
  </sheetViews>
  <sheetFormatPr baseColWidth="10" defaultRowHeight="16" x14ac:dyDescent="0.2"/>
  <cols>
    <col min="1" max="1" width="19.83203125" customWidth="1"/>
    <col min="2" max="2" width="31.33203125" customWidth="1"/>
  </cols>
  <sheetData>
    <row r="1" spans="1:5" ht="16" customHeight="1" x14ac:dyDescent="0.2">
      <c r="A1" s="28" t="s">
        <v>81</v>
      </c>
      <c r="B1" s="29"/>
      <c r="C1" s="29"/>
      <c r="D1" s="29"/>
      <c r="E1" s="20"/>
    </row>
    <row r="2" spans="1:5" ht="16" customHeight="1" x14ac:dyDescent="0.2">
      <c r="A2" s="30" t="s">
        <v>16</v>
      </c>
      <c r="B2" s="27"/>
      <c r="C2" s="23"/>
      <c r="D2" s="23"/>
      <c r="E2" s="20"/>
    </row>
    <row r="3" spans="1:5" ht="17" x14ac:dyDescent="0.2">
      <c r="A3" s="10" t="s">
        <v>82</v>
      </c>
      <c r="B3" s="5" t="s">
        <v>83</v>
      </c>
    </row>
    <row r="4" spans="1:5" ht="17" x14ac:dyDescent="0.2">
      <c r="A4" s="10" t="s">
        <v>84</v>
      </c>
      <c r="B4" s="5">
        <v>3</v>
      </c>
    </row>
    <row r="5" spans="1:5" ht="17" x14ac:dyDescent="0.2">
      <c r="A5" s="10" t="s">
        <v>86</v>
      </c>
      <c r="B5" s="5">
        <v>65</v>
      </c>
    </row>
    <row r="6" spans="1:5" x14ac:dyDescent="0.2">
      <c r="A6" s="13"/>
      <c r="B6" s="13"/>
    </row>
    <row r="7" spans="1:5" x14ac:dyDescent="0.2">
      <c r="A7" s="31" t="s">
        <v>1</v>
      </c>
      <c r="B7" s="31"/>
    </row>
    <row r="8" spans="1:5" ht="20" customHeight="1" x14ac:dyDescent="0.2">
      <c r="A8" s="10" t="s">
        <v>85</v>
      </c>
      <c r="B8" s="5">
        <v>0.04</v>
      </c>
    </row>
    <row r="9" spans="1:5" ht="17" x14ac:dyDescent="0.2">
      <c r="A9" s="10" t="s">
        <v>87</v>
      </c>
      <c r="B9" s="25">
        <f>B5*(1+B8)^B4</f>
        <v>73.116160000000008</v>
      </c>
    </row>
    <row r="11" spans="1:5" x14ac:dyDescent="0.2">
      <c r="A11" s="32" t="s">
        <v>18</v>
      </c>
      <c r="B11" s="33"/>
    </row>
    <row r="12" spans="1:5" ht="17" x14ac:dyDescent="0.2">
      <c r="A12" s="10" t="s">
        <v>85</v>
      </c>
      <c r="B12" s="5">
        <v>0.04</v>
      </c>
    </row>
    <row r="13" spans="1:5" ht="17" x14ac:dyDescent="0.2">
      <c r="A13" s="10" t="s">
        <v>88</v>
      </c>
      <c r="B13" s="5">
        <v>90</v>
      </c>
    </row>
    <row r="14" spans="1:5" ht="17" x14ac:dyDescent="0.2">
      <c r="A14" s="10" t="s">
        <v>87</v>
      </c>
      <c r="B14" s="26">
        <f>B13*(1+B12)</f>
        <v>93.600000000000009</v>
      </c>
    </row>
    <row r="16" spans="1:5" ht="17" customHeight="1" x14ac:dyDescent="0.2">
      <c r="A16" s="31" t="s">
        <v>36</v>
      </c>
      <c r="B16" s="31"/>
      <c r="C16" s="31"/>
      <c r="D16" s="31"/>
      <c r="E16" s="20"/>
    </row>
    <row r="17" spans="1:5" ht="17" customHeight="1" x14ac:dyDescent="0.2">
      <c r="A17" s="27" t="s">
        <v>10</v>
      </c>
      <c r="B17" s="27"/>
      <c r="C17" s="27"/>
      <c r="D17" s="27"/>
      <c r="E17" s="18"/>
    </row>
    <row r="18" spans="1:5" ht="17" customHeight="1" x14ac:dyDescent="0.2">
      <c r="A18" s="10" t="s">
        <v>91</v>
      </c>
      <c r="B18" s="10">
        <v>0</v>
      </c>
      <c r="C18" s="10">
        <v>1</v>
      </c>
      <c r="D18" s="2">
        <v>2</v>
      </c>
      <c r="E18" s="13"/>
    </row>
    <row r="19" spans="1:5" x14ac:dyDescent="0.2">
      <c r="A19" s="2" t="s">
        <v>61</v>
      </c>
      <c r="B19" s="3">
        <f>B5</f>
        <v>65</v>
      </c>
      <c r="C19" s="3"/>
      <c r="D19" s="3">
        <f>-B5*(1+B8)^2</f>
        <v>-70.304000000000002</v>
      </c>
    </row>
    <row r="20" spans="1:5" x14ac:dyDescent="0.2">
      <c r="A20" s="2" t="s">
        <v>89</v>
      </c>
      <c r="B20" s="3">
        <f>-B5</f>
        <v>-65</v>
      </c>
      <c r="C20" s="3"/>
      <c r="D20" s="3">
        <f>B13</f>
        <v>90</v>
      </c>
    </row>
    <row r="21" spans="1:5" x14ac:dyDescent="0.2">
      <c r="A21" s="1"/>
      <c r="B21" s="1"/>
      <c r="C21" s="1"/>
      <c r="D21" s="1"/>
    </row>
    <row r="22" spans="1:5" x14ac:dyDescent="0.2">
      <c r="A22" s="2" t="s">
        <v>90</v>
      </c>
      <c r="B22" s="3"/>
      <c r="C22" s="3"/>
      <c r="D22" s="12">
        <f>D20+D19</f>
        <v>19.695999999999998</v>
      </c>
    </row>
  </sheetData>
  <mergeCells count="6">
    <mergeCell ref="A17:D17"/>
    <mergeCell ref="A1:D1"/>
    <mergeCell ref="A2:B2"/>
    <mergeCell ref="A7:B7"/>
    <mergeCell ref="A11:B11"/>
    <mergeCell ref="A16:D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CAE4-963B-3443-9B3E-B5A24ECC3041}">
  <dimension ref="A1:C16"/>
  <sheetViews>
    <sheetView tabSelected="1" zoomScale="244" workbookViewId="0">
      <selection activeCell="E11" sqref="E11"/>
    </sheetView>
  </sheetViews>
  <sheetFormatPr baseColWidth="10" defaultRowHeight="16" x14ac:dyDescent="0.2"/>
  <cols>
    <col min="1" max="1" width="21.33203125" customWidth="1"/>
  </cols>
  <sheetData>
    <row r="1" spans="1:3" x14ac:dyDescent="0.2">
      <c r="A1" s="41" t="s">
        <v>92</v>
      </c>
      <c r="B1" s="41"/>
      <c r="C1" s="41"/>
    </row>
    <row r="2" spans="1:3" x14ac:dyDescent="0.2">
      <c r="A2" s="36" t="s">
        <v>16</v>
      </c>
      <c r="B2" s="36"/>
      <c r="C2" s="21"/>
    </row>
    <row r="3" spans="1:3" x14ac:dyDescent="0.2">
      <c r="A3" s="2" t="s">
        <v>93</v>
      </c>
      <c r="B3" s="3" t="s">
        <v>94</v>
      </c>
      <c r="C3" s="1"/>
    </row>
    <row r="4" spans="1:3" x14ac:dyDescent="0.2">
      <c r="A4" s="2" t="s">
        <v>95</v>
      </c>
      <c r="B4" s="3">
        <v>0.05</v>
      </c>
      <c r="C4" s="1"/>
    </row>
    <row r="5" spans="1:3" x14ac:dyDescent="0.2">
      <c r="A5" s="2" t="s">
        <v>96</v>
      </c>
      <c r="B5" s="3">
        <v>0.02</v>
      </c>
      <c r="C5" s="1"/>
    </row>
    <row r="6" spans="1:3" x14ac:dyDescent="0.2">
      <c r="A6" s="1"/>
      <c r="B6" s="1"/>
      <c r="C6" s="1"/>
    </row>
    <row r="7" spans="1:3" x14ac:dyDescent="0.2">
      <c r="A7" s="36" t="s">
        <v>100</v>
      </c>
      <c r="B7" s="36"/>
      <c r="C7" s="36"/>
    </row>
    <row r="8" spans="1:3" x14ac:dyDescent="0.2">
      <c r="A8" s="2" t="s">
        <v>97</v>
      </c>
      <c r="B8" s="2">
        <v>0</v>
      </c>
      <c r="C8" s="2">
        <v>1</v>
      </c>
    </row>
    <row r="9" spans="1:3" x14ac:dyDescent="0.2">
      <c r="A9" s="2" t="s">
        <v>98</v>
      </c>
      <c r="B9" s="3">
        <v>0</v>
      </c>
      <c r="C9" s="3" t="s">
        <v>99</v>
      </c>
    </row>
    <row r="10" spans="1:3" x14ac:dyDescent="0.2">
      <c r="A10" s="37" t="s">
        <v>10</v>
      </c>
      <c r="B10" s="37"/>
      <c r="C10" s="37"/>
    </row>
    <row r="11" spans="1:3" x14ac:dyDescent="0.2">
      <c r="A11" s="2" t="s">
        <v>101</v>
      </c>
      <c r="B11" s="3">
        <f>1/(1+B4)</f>
        <v>0.95238095238095233</v>
      </c>
      <c r="C11" s="3">
        <f>-1</f>
        <v>-1</v>
      </c>
    </row>
    <row r="12" spans="1:3" x14ac:dyDescent="0.2">
      <c r="A12" s="2" t="s">
        <v>102</v>
      </c>
      <c r="B12" s="3">
        <f>-1/(1+B4)</f>
        <v>-0.95238095238095233</v>
      </c>
      <c r="C12" s="3"/>
    </row>
    <row r="13" spans="1:3" x14ac:dyDescent="0.2">
      <c r="A13" s="2" t="s">
        <v>103</v>
      </c>
      <c r="B13" s="3">
        <f>0.8*B11</f>
        <v>0.76190476190476186</v>
      </c>
      <c r="C13" s="3"/>
    </row>
    <row r="14" spans="1:3" x14ac:dyDescent="0.2">
      <c r="A14" s="2" t="s">
        <v>104</v>
      </c>
      <c r="B14" s="3">
        <f>-B13</f>
        <v>-0.76190476190476186</v>
      </c>
      <c r="C14" s="11">
        <f>-B14*(1+B5)</f>
        <v>0.77714285714285714</v>
      </c>
    </row>
    <row r="15" spans="1:3" x14ac:dyDescent="0.2">
      <c r="A15" s="54" t="s">
        <v>106</v>
      </c>
      <c r="B15" s="54"/>
      <c r="C15" s="54"/>
    </row>
    <row r="16" spans="1:3" x14ac:dyDescent="0.2">
      <c r="A16" s="22" t="s">
        <v>105</v>
      </c>
    </row>
  </sheetData>
  <mergeCells count="5">
    <mergeCell ref="A10:C10"/>
    <mergeCell ref="A1:C1"/>
    <mergeCell ref="A2:B2"/>
    <mergeCell ref="A7:C7"/>
    <mergeCell ref="A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M.C. 1.1</vt:lpstr>
      <vt:lpstr>M.C. 1.2</vt:lpstr>
      <vt:lpstr>M.C. 1.3</vt:lpstr>
      <vt:lpstr>M.C. 1.4</vt:lpstr>
      <vt:lpstr>M.C. 1.5</vt:lpstr>
      <vt:lpstr>M.C. 1.6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Бурдуков</dc:creator>
  <cp:lastModifiedBy>Burdukov, Oleh</cp:lastModifiedBy>
  <dcterms:created xsi:type="dcterms:W3CDTF">2025-12-04T15:26:42Z</dcterms:created>
  <dcterms:modified xsi:type="dcterms:W3CDTF">2026-07-04T15:53:05Z</dcterms:modified>
</cp:coreProperties>
</file>