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Course II Financial Management and Valuation/Interactive part/Unit 4/"/>
    </mc:Choice>
  </mc:AlternateContent>
  <xr:revisionPtr revIDLastSave="0" documentId="13_ncr:1_{62F7BD7E-2903-774C-B968-7786E4129402}" xr6:coauthVersionLast="47" xr6:coauthVersionMax="47" xr10:uidLastSave="{00000000-0000-0000-0000-000000000000}"/>
  <bookViews>
    <workbookView xWindow="0" yWindow="720" windowWidth="14580" windowHeight="18400" activeTab="5" xr2:uid="{93A98864-7C25-1B4B-8666-A2918981BDC6}"/>
  </bookViews>
  <sheets>
    <sheet name="M.C.4.1" sheetId="1" r:id="rId1"/>
    <sheet name="M.C.4.2" sheetId="2" r:id="rId2"/>
    <sheet name="M.C.4.3" sheetId="3" r:id="rId3"/>
    <sheet name="M.C.4.4" sheetId="4" r:id="rId4"/>
    <sheet name="M.C.4.5" sheetId="5" r:id="rId5"/>
    <sheet name="M.C.4.6" sheetId="6" r:id="rId6"/>
  </sheets>
  <definedNames>
    <definedName name="solver_adj" localSheetId="3" hidden="1">'M.C.4.4'!$I$10</definedName>
    <definedName name="solver_eng" localSheetId="3" hidden="1">1</definedName>
    <definedName name="solver_lin" localSheetId="3" hidden="1">2</definedName>
    <definedName name="solver_neg" localSheetId="3" hidden="1">1</definedName>
    <definedName name="solver_num" localSheetId="3" hidden="1">0</definedName>
    <definedName name="solver_opt" localSheetId="3" hidden="1">'M.C.4.4'!$I$10</definedName>
    <definedName name="solver_typ" localSheetId="3" hidden="1">3</definedName>
    <definedName name="solver_val" localSheetId="3" hidden="1">0</definedName>
    <definedName name="solver_ver" localSheetId="3"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6" l="1"/>
  <c r="C13" i="5"/>
  <c r="B35" i="6"/>
  <c r="J14" i="6"/>
  <c r="K19" i="6"/>
  <c r="K18" i="6"/>
  <c r="E22" i="6"/>
  <c r="E18" i="6"/>
  <c r="H37" i="6"/>
  <c r="H39" i="6" s="1"/>
  <c r="E35" i="6"/>
  <c r="E37" i="6" s="1"/>
  <c r="E31" i="6"/>
  <c r="E33" i="6" s="1"/>
  <c r="B33" i="6"/>
  <c r="B10" i="6"/>
  <c r="B9" i="6"/>
  <c r="C9" i="6" s="1"/>
  <c r="C10" i="6" s="1"/>
  <c r="E20" i="6"/>
  <c r="H22" i="6" s="1"/>
  <c r="H24" i="6" s="1"/>
  <c r="E16" i="6"/>
  <c r="H18" i="6" s="1"/>
  <c r="H20" i="6" s="1"/>
  <c r="B18" i="6"/>
  <c r="D14" i="5"/>
  <c r="B14" i="5" s="1"/>
  <c r="B13" i="5"/>
  <c r="B15" i="5" s="1"/>
  <c r="F3" i="5"/>
  <c r="F4" i="5"/>
  <c r="G59" i="4"/>
  <c r="H59" i="4" s="1"/>
  <c r="I59" i="4" s="1"/>
  <c r="G63" i="4"/>
  <c r="G64" i="4"/>
  <c r="G65" i="4"/>
  <c r="G66" i="4"/>
  <c r="H66" i="4" s="1"/>
  <c r="I66" i="4" s="1"/>
  <c r="G67" i="4"/>
  <c r="H67" i="4" s="1"/>
  <c r="I67" i="4" s="1"/>
  <c r="G52" i="4"/>
  <c r="H52" i="4" s="1"/>
  <c r="I52" i="4" s="1"/>
  <c r="G53" i="4"/>
  <c r="H53" i="4" s="1"/>
  <c r="I53" i="4" s="1"/>
  <c r="G54" i="4"/>
  <c r="H54" i="4" s="1"/>
  <c r="I54" i="4" s="1"/>
  <c r="G61" i="4"/>
  <c r="H61" i="4" s="1"/>
  <c r="I61" i="4" s="1"/>
  <c r="G62" i="4"/>
  <c r="H62" i="4" s="1"/>
  <c r="I62" i="4" s="1"/>
  <c r="G51" i="4"/>
  <c r="F52" i="4"/>
  <c r="F53" i="4"/>
  <c r="F54" i="4"/>
  <c r="F55" i="4"/>
  <c r="G55" i="4" s="1"/>
  <c r="H55" i="4" s="1"/>
  <c r="I55" i="4" s="1"/>
  <c r="F56" i="4"/>
  <c r="G56" i="4" s="1"/>
  <c r="H56" i="4" s="1"/>
  <c r="I56" i="4" s="1"/>
  <c r="F57" i="4"/>
  <c r="G57" i="4" s="1"/>
  <c r="H57" i="4" s="1"/>
  <c r="I57" i="4" s="1"/>
  <c r="F58" i="4"/>
  <c r="G58" i="4" s="1"/>
  <c r="H58" i="4" s="1"/>
  <c r="I58" i="4" s="1"/>
  <c r="F60" i="4"/>
  <c r="G60" i="4" s="1"/>
  <c r="H60" i="4" s="1"/>
  <c r="I60" i="4" s="1"/>
  <c r="F61" i="4"/>
  <c r="F62" i="4"/>
  <c r="F51" i="4"/>
  <c r="E10" i="4"/>
  <c r="G10" i="4" s="1"/>
  <c r="F4" i="4"/>
  <c r="F5" i="4"/>
  <c r="F6" i="4"/>
  <c r="F7" i="4"/>
  <c r="F8" i="4"/>
  <c r="F9" i="4"/>
  <c r="F11" i="4"/>
  <c r="F12" i="4"/>
  <c r="F13" i="4"/>
  <c r="F14" i="4"/>
  <c r="F15" i="4"/>
  <c r="F16" i="4"/>
  <c r="F17" i="4"/>
  <c r="F18" i="4"/>
  <c r="F19" i="4"/>
  <c r="G3" i="4"/>
  <c r="G4" i="4"/>
  <c r="G5" i="4"/>
  <c r="G6" i="4"/>
  <c r="G7" i="4"/>
  <c r="G8" i="4"/>
  <c r="G9" i="4"/>
  <c r="G11" i="4"/>
  <c r="G12" i="4"/>
  <c r="G13" i="4"/>
  <c r="G14" i="4"/>
  <c r="H63" i="4" s="1"/>
  <c r="I63" i="4" s="1"/>
  <c r="G15" i="4"/>
  <c r="H64" i="4" s="1"/>
  <c r="I64" i="4" s="1"/>
  <c r="G16" i="4"/>
  <c r="H65" i="4" s="1"/>
  <c r="I65" i="4" s="1"/>
  <c r="G17" i="4"/>
  <c r="H17" i="4" s="1"/>
  <c r="I17" i="4" s="1"/>
  <c r="G18" i="4"/>
  <c r="G19" i="4"/>
  <c r="F3" i="4"/>
  <c r="H3" i="4" s="1"/>
  <c r="I3" i="4" s="1"/>
  <c r="G8" i="2"/>
  <c r="E8" i="2"/>
  <c r="C9" i="2"/>
  <c r="C8" i="2"/>
  <c r="C19" i="3"/>
  <c r="B19" i="3"/>
  <c r="I10" i="3"/>
  <c r="B10" i="3"/>
  <c r="J4" i="3"/>
  <c r="K4" i="3" s="1"/>
  <c r="I4" i="3"/>
  <c r="L8" i="3" s="1"/>
  <c r="L10" i="3" s="1"/>
  <c r="H8" i="1"/>
  <c r="J8" i="1" s="1"/>
  <c r="I8" i="1"/>
  <c r="H9" i="1"/>
  <c r="J9" i="1" s="1"/>
  <c r="I9" i="1"/>
  <c r="I3" i="1"/>
  <c r="I4" i="1"/>
  <c r="I5" i="1"/>
  <c r="I6" i="1"/>
  <c r="I7" i="1"/>
  <c r="I10" i="1"/>
  <c r="I11" i="1"/>
  <c r="I12" i="1"/>
  <c r="J12" i="1" s="1"/>
  <c r="I13" i="1"/>
  <c r="I14" i="1"/>
  <c r="I15" i="1"/>
  <c r="I16" i="1"/>
  <c r="I17" i="1"/>
  <c r="I18" i="1"/>
  <c r="I19" i="1"/>
  <c r="I20" i="1"/>
  <c r="J20" i="1" s="1"/>
  <c r="I21" i="1"/>
  <c r="I22" i="1"/>
  <c r="I23" i="1"/>
  <c r="I24" i="1"/>
  <c r="H3" i="1"/>
  <c r="H4" i="1"/>
  <c r="H5" i="1"/>
  <c r="H6" i="1"/>
  <c r="J6" i="1" s="1"/>
  <c r="H7" i="1"/>
  <c r="H10" i="1"/>
  <c r="H11" i="1"/>
  <c r="H12" i="1"/>
  <c r="H13" i="1"/>
  <c r="H14" i="1"/>
  <c r="H15" i="1"/>
  <c r="H16" i="1"/>
  <c r="J16" i="1" s="1"/>
  <c r="H17" i="1"/>
  <c r="H18" i="1"/>
  <c r="H19" i="1"/>
  <c r="H20" i="1"/>
  <c r="H21" i="1"/>
  <c r="H22" i="1"/>
  <c r="H23" i="1"/>
  <c r="H24" i="1"/>
  <c r="J24" i="1" s="1"/>
  <c r="I2" i="1"/>
  <c r="H2" i="1"/>
  <c r="B36" i="6" l="1"/>
  <c r="H33" i="6"/>
  <c r="H35" i="6" s="1"/>
  <c r="H14" i="6"/>
  <c r="H51" i="4"/>
  <c r="I51" i="4" s="1"/>
  <c r="F10" i="4"/>
  <c r="H10" i="4" s="1"/>
  <c r="I10" i="4" s="1"/>
  <c r="H12" i="4"/>
  <c r="I12" i="4" s="1"/>
  <c r="H15" i="4"/>
  <c r="I15" i="4" s="1"/>
  <c r="H18" i="4"/>
  <c r="I18" i="4" s="1"/>
  <c r="H19" i="4"/>
  <c r="I19" i="4" s="1"/>
  <c r="H9" i="4"/>
  <c r="I9" i="4" s="1"/>
  <c r="H16" i="4"/>
  <c r="I16" i="4" s="1"/>
  <c r="H6" i="4"/>
  <c r="I6" i="4" s="1"/>
  <c r="H13" i="4"/>
  <c r="I13" i="4" s="1"/>
  <c r="H4" i="4"/>
  <c r="I4" i="4" s="1"/>
  <c r="H5" i="4"/>
  <c r="I5" i="4" s="1"/>
  <c r="H11" i="4"/>
  <c r="I11" i="4" s="1"/>
  <c r="H8" i="4"/>
  <c r="I8" i="4" s="1"/>
  <c r="H7" i="4"/>
  <c r="I7" i="4" s="1"/>
  <c r="H14" i="4"/>
  <c r="I14" i="4" s="1"/>
  <c r="E12" i="3"/>
  <c r="E14" i="3" s="1"/>
  <c r="L12" i="3"/>
  <c r="L14" i="3" s="1"/>
  <c r="L4" i="3"/>
  <c r="I12" i="3"/>
  <c r="E8" i="3"/>
  <c r="E10" i="3" s="1"/>
  <c r="B12" i="3" s="1"/>
  <c r="J2" i="1"/>
  <c r="J19" i="1"/>
  <c r="J11" i="1"/>
  <c r="J18" i="1"/>
  <c r="J10" i="1"/>
  <c r="J17" i="1"/>
  <c r="J7" i="1"/>
  <c r="J5" i="1"/>
  <c r="J22" i="1"/>
  <c r="J14" i="1"/>
  <c r="J4" i="1"/>
  <c r="J15" i="1"/>
  <c r="J21" i="1"/>
  <c r="J13" i="1"/>
  <c r="J3" i="1"/>
  <c r="J23" i="1"/>
  <c r="H16" i="6" l="1"/>
  <c r="H29" i="6"/>
  <c r="H31" i="6" s="1"/>
</calcChain>
</file>

<file path=xl/sharedStrings.xml><?xml version="1.0" encoding="utf-8"?>
<sst xmlns="http://schemas.openxmlformats.org/spreadsheetml/2006/main" count="204" uniqueCount="133">
  <si>
    <t>Mini-case 4.1</t>
  </si>
  <si>
    <t>TASK A</t>
  </si>
  <si>
    <t>Portfolio data</t>
  </si>
  <si>
    <t>Option type</t>
  </si>
  <si>
    <t>Quantity</t>
  </si>
  <si>
    <t>Strike (K)</t>
  </si>
  <si>
    <t>TASK B</t>
  </si>
  <si>
    <t>Graph for the short call</t>
  </si>
  <si>
    <t>Position</t>
  </si>
  <si>
    <t>Short</t>
  </si>
  <si>
    <t>European put</t>
  </si>
  <si>
    <t>European call</t>
  </si>
  <si>
    <t>∑ Payoff of the portfolio</t>
  </si>
  <si>
    <t>Graph for the short put</t>
  </si>
  <si>
    <t>Payoff of the portfolio</t>
  </si>
  <si>
    <t>Mini-case 4.2</t>
  </si>
  <si>
    <r>
      <t>S</t>
    </r>
    <r>
      <rPr>
        <sz val="8"/>
        <color theme="1"/>
        <rFont val="Aptos Narrow (Body)"/>
      </rPr>
      <t>t</t>
    </r>
  </si>
  <si>
    <r>
      <t>C</t>
    </r>
    <r>
      <rPr>
        <sz val="8"/>
        <color theme="1"/>
        <rFont val="Aptos Narrow (Body)"/>
      </rPr>
      <t>t</t>
    </r>
    <r>
      <rPr>
        <sz val="12"/>
        <color theme="1"/>
        <rFont val="Aptos Narrow"/>
        <family val="2"/>
        <scheme val="minor"/>
      </rPr>
      <t xml:space="preserve"> (short)</t>
    </r>
  </si>
  <si>
    <r>
      <t>P</t>
    </r>
    <r>
      <rPr>
        <sz val="8"/>
        <color theme="1"/>
        <rFont val="Aptos Narrow (Body)"/>
      </rPr>
      <t>t</t>
    </r>
    <r>
      <rPr>
        <sz val="12"/>
        <color theme="1"/>
        <rFont val="Aptos Narrow"/>
        <family val="2"/>
        <scheme val="minor"/>
      </rPr>
      <t xml:space="preserve"> (short)</t>
    </r>
  </si>
  <si>
    <r>
      <t>Price [C</t>
    </r>
    <r>
      <rPr>
        <sz val="8"/>
        <color theme="1"/>
        <rFont val="Aptos Narrow (Body)"/>
      </rPr>
      <t>0</t>
    </r>
    <r>
      <rPr>
        <sz val="12"/>
        <color theme="1"/>
        <rFont val="Aptos Narrow"/>
        <family val="2"/>
        <scheme val="minor"/>
      </rPr>
      <t>, P</t>
    </r>
    <r>
      <rPr>
        <sz val="8"/>
        <color theme="1"/>
        <rFont val="Aptos Narrow (Body)"/>
      </rPr>
      <t>0</t>
    </r>
    <r>
      <rPr>
        <sz val="12"/>
        <color theme="1"/>
        <rFont val="Aptos Narrow"/>
        <family val="2"/>
        <scheme val="minor"/>
      </rPr>
      <t>]</t>
    </r>
  </si>
  <si>
    <t>Assumptions</t>
  </si>
  <si>
    <t>Type of the contract</t>
  </si>
  <si>
    <t>FX forward</t>
  </si>
  <si>
    <t>Home Currency</t>
  </si>
  <si>
    <t>€</t>
  </si>
  <si>
    <t>£</t>
  </si>
  <si>
    <t>Foreign currency</t>
  </si>
  <si>
    <t>Quotes</t>
  </si>
  <si>
    <t>FX price</t>
  </si>
  <si>
    <t>Current rate</t>
  </si>
  <si>
    <t>domestic rate</t>
  </si>
  <si>
    <t>foreign rate</t>
  </si>
  <si>
    <t>Direct quote (€ to £)</t>
  </si>
  <si>
    <t>Indirect quote (£ to €)</t>
  </si>
  <si>
    <t>Mini-case 4.3</t>
  </si>
  <si>
    <t>HC in both options</t>
  </si>
  <si>
    <t>$</t>
  </si>
  <si>
    <t>FC in both options</t>
  </si>
  <si>
    <t>Strike ($)</t>
  </si>
  <si>
    <t>Maturity date (in years)</t>
  </si>
  <si>
    <t>Direct quote (mid-value of bid- and ask-quotes of the composite spot)</t>
  </si>
  <si>
    <t>σ</t>
  </si>
  <si>
    <t>1-π</t>
  </si>
  <si>
    <t>Put-Call-Parity</t>
  </si>
  <si>
    <t>General formula</t>
  </si>
  <si>
    <r>
      <t xml:space="preserve">r </t>
    </r>
    <r>
      <rPr>
        <sz val="8"/>
        <color theme="1"/>
        <rFont val="Aptos Narrow (Body)"/>
      </rPr>
      <t>domestic</t>
    </r>
    <r>
      <rPr>
        <sz val="12"/>
        <color theme="1"/>
        <rFont val="Aptos Narrow"/>
        <family val="2"/>
        <scheme val="minor"/>
      </rPr>
      <t xml:space="preserve"> ($)</t>
    </r>
  </si>
  <si>
    <r>
      <t xml:space="preserve">r </t>
    </r>
    <r>
      <rPr>
        <sz val="8"/>
        <color theme="1"/>
        <rFont val="Aptos Narrow (Body)"/>
      </rPr>
      <t>foreign</t>
    </r>
    <r>
      <rPr>
        <sz val="12"/>
        <color theme="1"/>
        <rFont val="Aptos Narrow"/>
        <family val="2"/>
        <scheme val="minor"/>
      </rPr>
      <t xml:space="preserve"> (£)</t>
    </r>
  </si>
  <si>
    <r>
      <t>T</t>
    </r>
    <r>
      <rPr>
        <sz val="8"/>
        <color theme="1"/>
        <rFont val="Aptos Narrow (Body)"/>
      </rPr>
      <t>0</t>
    </r>
  </si>
  <si>
    <r>
      <t>T</t>
    </r>
    <r>
      <rPr>
        <sz val="8"/>
        <color theme="1"/>
        <rFont val="Aptos Narrow (Body)"/>
      </rPr>
      <t>0,25u</t>
    </r>
  </si>
  <si>
    <r>
      <t>T</t>
    </r>
    <r>
      <rPr>
        <sz val="8"/>
        <color theme="1"/>
        <rFont val="Aptos Narrow (Body)"/>
      </rPr>
      <t>0,25d</t>
    </r>
  </si>
  <si>
    <r>
      <t>C</t>
    </r>
    <r>
      <rPr>
        <sz val="8"/>
        <color theme="1"/>
        <rFont val="Aptos Narrow (Body)"/>
      </rPr>
      <t>0</t>
    </r>
    <r>
      <rPr>
        <sz val="12"/>
        <color theme="1"/>
        <rFont val="Aptos Narrow"/>
        <family val="2"/>
        <scheme val="minor"/>
      </rPr>
      <t>-P</t>
    </r>
    <r>
      <rPr>
        <sz val="8"/>
        <color theme="1"/>
        <rFont val="Aptos Narrow (Body)"/>
      </rPr>
      <t xml:space="preserve">0 </t>
    </r>
    <r>
      <rPr>
        <sz val="12"/>
        <color theme="1"/>
        <rFont val="Aptos Narrow"/>
        <family val="2"/>
        <scheme val="minor"/>
      </rPr>
      <t>= S</t>
    </r>
    <r>
      <rPr>
        <sz val="8"/>
        <color theme="1"/>
        <rFont val="Aptos Narrow (Body)"/>
      </rPr>
      <t>0</t>
    </r>
    <r>
      <rPr>
        <sz val="12"/>
        <color theme="1"/>
        <rFont val="Aptos Narrow"/>
        <family val="2"/>
        <scheme val="minor"/>
      </rPr>
      <t>-PV[K]</t>
    </r>
  </si>
  <si>
    <r>
      <t>C</t>
    </r>
    <r>
      <rPr>
        <sz val="8"/>
        <color theme="1"/>
        <rFont val="Aptos Narrow (Body)"/>
      </rPr>
      <t>0</t>
    </r>
    <r>
      <rPr>
        <sz val="12"/>
        <color theme="1"/>
        <rFont val="Aptos Narrow"/>
        <family val="2"/>
        <scheme val="minor"/>
      </rPr>
      <t>-P</t>
    </r>
    <r>
      <rPr>
        <sz val="8"/>
        <color theme="1"/>
        <rFont val="Aptos Narrow (Body)"/>
      </rPr>
      <t>0</t>
    </r>
  </si>
  <si>
    <r>
      <t>S</t>
    </r>
    <r>
      <rPr>
        <sz val="8"/>
        <color theme="1"/>
        <rFont val="Aptos Narrow (Body)"/>
      </rPr>
      <t>0</t>
    </r>
    <r>
      <rPr>
        <sz val="12"/>
        <color theme="1"/>
        <rFont val="Aptos Narrow"/>
        <family val="2"/>
        <scheme val="minor"/>
      </rPr>
      <t>-PV[K]</t>
    </r>
  </si>
  <si>
    <r>
      <t>S</t>
    </r>
    <r>
      <rPr>
        <sz val="8"/>
        <color theme="1"/>
        <rFont val="Aptos Narrow (Body)"/>
      </rPr>
      <t xml:space="preserve">0 </t>
    </r>
    <r>
      <rPr>
        <sz val="12"/>
        <color theme="1"/>
        <rFont val="Aptos Narrow"/>
        <family val="2"/>
        <scheme val="minor"/>
      </rPr>
      <t>=</t>
    </r>
  </si>
  <si>
    <r>
      <t>P</t>
    </r>
    <r>
      <rPr>
        <sz val="8"/>
        <color theme="1"/>
        <rFont val="Aptos Narrow (Body)"/>
      </rPr>
      <t xml:space="preserve">0 </t>
    </r>
    <r>
      <rPr>
        <sz val="12"/>
        <color theme="1"/>
        <rFont val="Aptos Narrow"/>
        <family val="2"/>
        <scheme val="minor"/>
      </rPr>
      <t>=</t>
    </r>
  </si>
  <si>
    <r>
      <t>P</t>
    </r>
    <r>
      <rPr>
        <sz val="8"/>
        <color theme="1"/>
        <rFont val="Aptos Narrow (Body)"/>
      </rPr>
      <t xml:space="preserve">tu </t>
    </r>
    <r>
      <rPr>
        <sz val="12"/>
        <color theme="1"/>
        <rFont val="Aptos Narrow"/>
        <family val="2"/>
        <scheme val="minor"/>
      </rPr>
      <t>=</t>
    </r>
  </si>
  <si>
    <r>
      <t>S</t>
    </r>
    <r>
      <rPr>
        <sz val="8"/>
        <color theme="1"/>
        <rFont val="Aptos Narrow (Body)"/>
      </rPr>
      <t xml:space="preserve">u </t>
    </r>
    <r>
      <rPr>
        <sz val="12"/>
        <color theme="1"/>
        <rFont val="Aptos Narrow"/>
        <family val="2"/>
        <scheme val="minor"/>
      </rPr>
      <t>=</t>
    </r>
  </si>
  <si>
    <r>
      <t>S</t>
    </r>
    <r>
      <rPr>
        <sz val="8"/>
        <color theme="1"/>
        <rFont val="Aptos Narrow (Body)"/>
      </rPr>
      <t xml:space="preserve">d </t>
    </r>
    <r>
      <rPr>
        <sz val="12"/>
        <color theme="1"/>
        <rFont val="Aptos Narrow"/>
        <family val="2"/>
        <scheme val="minor"/>
      </rPr>
      <t>=</t>
    </r>
  </si>
  <si>
    <r>
      <t>P</t>
    </r>
    <r>
      <rPr>
        <sz val="8"/>
        <color theme="1"/>
        <rFont val="Aptos Narrow (Body)"/>
      </rPr>
      <t xml:space="preserve">td </t>
    </r>
    <r>
      <rPr>
        <sz val="12"/>
        <color theme="1"/>
        <rFont val="Aptos Narrow"/>
        <family val="2"/>
        <scheme val="minor"/>
      </rPr>
      <t>=</t>
    </r>
  </si>
  <si>
    <r>
      <t>C</t>
    </r>
    <r>
      <rPr>
        <sz val="8"/>
        <color theme="1"/>
        <rFont val="Aptos Narrow (Body)"/>
      </rPr>
      <t xml:space="preserve">tu </t>
    </r>
    <r>
      <rPr>
        <sz val="12"/>
        <color theme="1"/>
        <rFont val="Aptos Narrow"/>
        <family val="2"/>
        <scheme val="minor"/>
      </rPr>
      <t>=</t>
    </r>
  </si>
  <si>
    <r>
      <t>C</t>
    </r>
    <r>
      <rPr>
        <sz val="8"/>
        <color theme="1"/>
        <rFont val="Aptos Narrow (Body)"/>
      </rPr>
      <t xml:space="preserve">td </t>
    </r>
    <r>
      <rPr>
        <sz val="12"/>
        <color theme="1"/>
        <rFont val="Aptos Narrow"/>
        <family val="2"/>
        <scheme val="minor"/>
      </rPr>
      <t>=</t>
    </r>
  </si>
  <si>
    <r>
      <t>C</t>
    </r>
    <r>
      <rPr>
        <sz val="8"/>
        <color theme="1"/>
        <rFont val="Aptos Narrow (Body)"/>
      </rPr>
      <t xml:space="preserve">0 </t>
    </r>
    <r>
      <rPr>
        <sz val="12"/>
        <color theme="1"/>
        <rFont val="Aptos Narrow"/>
        <family val="2"/>
        <scheme val="minor"/>
      </rPr>
      <t>=</t>
    </r>
  </si>
  <si>
    <t>Up-state coefficient</t>
  </si>
  <si>
    <t>Down-state coefficient</t>
  </si>
  <si>
    <t>Risk-neutral coefficient (π)</t>
  </si>
  <si>
    <t>Maturity in years</t>
  </si>
  <si>
    <t>Current FX (€/£) Forward price</t>
  </si>
  <si>
    <t>Contract size</t>
  </si>
  <si>
    <t xml:space="preserve">Market value: Forward sale </t>
  </si>
  <si>
    <t>Mini-case 4.4</t>
  </si>
  <si>
    <t>Long</t>
  </si>
  <si>
    <t>The payoff diagrams</t>
  </si>
  <si>
    <t>∑ of the strategy</t>
  </si>
  <si>
    <t>Implementation costs in pips</t>
  </si>
  <si>
    <t>∑ of the strategy payoff including the implementation costs</t>
  </si>
  <si>
    <t>Strike price</t>
  </si>
  <si>
    <t>The price is obviously between 0,6 and 0,8 according to the last graph. In this range, the short put is OTM or at least ATM so the payoff from this position is 0. Thus, we should consider only the computations regarding the long put and employ this position in order to calculate the break even point. The break even point is St = 0,6745</t>
  </si>
  <si>
    <t>TASK C</t>
  </si>
  <si>
    <t>New assumptions</t>
  </si>
  <si>
    <t>The strike of the long put</t>
  </si>
  <si>
    <t>Mini-case 4.5</t>
  </si>
  <si>
    <r>
      <t>P</t>
    </r>
    <r>
      <rPr>
        <sz val="8"/>
        <color theme="1"/>
        <rFont val="Aptos Narrow (Body)"/>
      </rPr>
      <t>0</t>
    </r>
    <r>
      <rPr>
        <sz val="12"/>
        <color theme="1"/>
        <rFont val="Aptos Narrow"/>
        <family val="2"/>
        <scheme val="minor"/>
      </rPr>
      <t xml:space="preserve"> of the long put</t>
    </r>
  </si>
  <si>
    <r>
      <t>P</t>
    </r>
    <r>
      <rPr>
        <sz val="8"/>
        <color theme="1"/>
        <rFont val="Aptos Narrow (Body)"/>
      </rPr>
      <t>0</t>
    </r>
    <r>
      <rPr>
        <sz val="12"/>
        <color theme="1"/>
        <rFont val="Aptos Narrow"/>
        <family val="2"/>
        <scheme val="minor"/>
      </rPr>
      <t xml:space="preserve"> of the short put</t>
    </r>
  </si>
  <si>
    <t>Period</t>
  </si>
  <si>
    <t>Units mined per year</t>
  </si>
  <si>
    <t>CF at period 2</t>
  </si>
  <si>
    <t>CF at period 1</t>
  </si>
  <si>
    <t>The costs for currency per unit</t>
  </si>
  <si>
    <t>Tracking portfolio</t>
  </si>
  <si>
    <t>Action\date</t>
  </si>
  <si>
    <t>T = 1</t>
  </si>
  <si>
    <t>T = 2</t>
  </si>
  <si>
    <t>T = 0</t>
  </si>
  <si>
    <t>Mini-case 4.6</t>
  </si>
  <si>
    <r>
      <t>r</t>
    </r>
    <r>
      <rPr>
        <sz val="8"/>
        <color theme="1"/>
        <rFont val="Aptos Narrow (Body)"/>
      </rPr>
      <t>f</t>
    </r>
    <r>
      <rPr>
        <sz val="12"/>
        <color theme="1"/>
        <rFont val="Aptos Narrow"/>
        <family val="2"/>
        <scheme val="minor"/>
      </rPr>
      <t xml:space="preserve"> (p.a.)</t>
    </r>
  </si>
  <si>
    <t>Long forwards</t>
  </si>
  <si>
    <t>F: Current forward prices with maturity at date _</t>
  </si>
  <si>
    <t>_</t>
  </si>
  <si>
    <t>Investment (T = 1)</t>
  </si>
  <si>
    <t>Investment (T = 2)</t>
  </si>
  <si>
    <t>∑ of the TP</t>
  </si>
  <si>
    <t>TASK B &amp; C</t>
  </si>
  <si>
    <t>LEGEND</t>
  </si>
  <si>
    <t xml:space="preserve">The PV of the CFs </t>
  </si>
  <si>
    <t>The value of the firm</t>
  </si>
  <si>
    <t>The CFs from a)</t>
  </si>
  <si>
    <r>
      <t>[Q</t>
    </r>
    <r>
      <rPr>
        <sz val="8"/>
        <color theme="1"/>
        <rFont val="Aptos Narrow (Body)"/>
      </rPr>
      <t>1</t>
    </r>
    <r>
      <rPr>
        <sz val="12"/>
        <color theme="1"/>
        <rFont val="Aptos Narrow"/>
        <family val="2"/>
        <scheme val="minor"/>
      </rPr>
      <t>*(p</t>
    </r>
    <r>
      <rPr>
        <sz val="8"/>
        <color theme="1"/>
        <rFont val="Aptos Narrow (Body)"/>
      </rPr>
      <t>1</t>
    </r>
    <r>
      <rPr>
        <sz val="12"/>
        <color theme="1"/>
        <rFont val="Aptos Narrow"/>
        <family val="2"/>
        <scheme val="minor"/>
      </rPr>
      <t>-F</t>
    </r>
    <r>
      <rPr>
        <sz val="8"/>
        <color theme="1"/>
        <rFont val="Aptos Narrow (Body)"/>
      </rPr>
      <t>1</t>
    </r>
    <r>
      <rPr>
        <sz val="12"/>
        <color theme="1"/>
        <rFont val="Aptos Narrow"/>
        <family val="2"/>
        <scheme val="minor"/>
      </rPr>
      <t>)]</t>
    </r>
  </si>
  <si>
    <r>
      <t>[Q</t>
    </r>
    <r>
      <rPr>
        <sz val="8"/>
        <color theme="1"/>
        <rFont val="Aptos Narrow (Body)"/>
      </rPr>
      <t>2</t>
    </r>
    <r>
      <rPr>
        <sz val="12"/>
        <color theme="1"/>
        <rFont val="Aptos Narrow"/>
        <family val="2"/>
        <scheme val="minor"/>
      </rPr>
      <t>*(p</t>
    </r>
    <r>
      <rPr>
        <sz val="8"/>
        <color theme="1"/>
        <rFont val="Aptos Narrow (Body)"/>
      </rPr>
      <t>2</t>
    </r>
    <r>
      <rPr>
        <sz val="12"/>
        <color theme="1"/>
        <rFont val="Aptos Narrow"/>
        <family val="2"/>
        <scheme val="minor"/>
      </rPr>
      <t>-F</t>
    </r>
    <r>
      <rPr>
        <sz val="8"/>
        <color theme="1"/>
        <rFont val="Aptos Narrow (Body)"/>
      </rPr>
      <t>2</t>
    </r>
    <r>
      <rPr>
        <sz val="12"/>
        <color theme="1"/>
        <rFont val="Aptos Narrow"/>
        <family val="2"/>
        <scheme val="minor"/>
      </rPr>
      <t>)]</t>
    </r>
  </si>
  <si>
    <r>
      <t>[p</t>
    </r>
    <r>
      <rPr>
        <sz val="8"/>
        <color theme="1"/>
        <rFont val="Aptos Narrow (Body)"/>
      </rPr>
      <t>1</t>
    </r>
    <r>
      <rPr>
        <sz val="12"/>
        <color theme="1"/>
        <rFont val="Aptos Narrow"/>
        <family val="2"/>
        <scheme val="minor"/>
      </rPr>
      <t>*Q</t>
    </r>
    <r>
      <rPr>
        <sz val="8"/>
        <color theme="1"/>
        <rFont val="Aptos Narrow (Body)"/>
      </rPr>
      <t>1</t>
    </r>
    <r>
      <rPr>
        <sz val="12"/>
        <color theme="1"/>
        <rFont val="Aptos Narrow"/>
        <family val="2"/>
        <scheme val="minor"/>
      </rPr>
      <t>-K</t>
    </r>
    <r>
      <rPr>
        <sz val="8"/>
        <color theme="1"/>
        <rFont val="Aptos Narrow (Body)"/>
      </rPr>
      <t>1</t>
    </r>
    <r>
      <rPr>
        <sz val="12"/>
        <color theme="1"/>
        <rFont val="Aptos Narrow"/>
        <family val="2"/>
        <scheme val="minor"/>
      </rPr>
      <t>]</t>
    </r>
  </si>
  <si>
    <r>
      <t>[p</t>
    </r>
    <r>
      <rPr>
        <sz val="8"/>
        <color theme="1"/>
        <rFont val="Aptos Narrow (Body)"/>
      </rPr>
      <t>2</t>
    </r>
    <r>
      <rPr>
        <sz val="12"/>
        <color theme="1"/>
        <rFont val="Aptos Narrow"/>
        <family val="2"/>
        <scheme val="minor"/>
      </rPr>
      <t>*Q</t>
    </r>
    <r>
      <rPr>
        <sz val="8"/>
        <color theme="1"/>
        <rFont val="Aptos Narrow (Body)"/>
      </rPr>
      <t>2</t>
    </r>
    <r>
      <rPr>
        <sz val="12"/>
        <color theme="1"/>
        <rFont val="Aptos Narrow"/>
        <family val="2"/>
        <scheme val="minor"/>
      </rPr>
      <t>-K</t>
    </r>
    <r>
      <rPr>
        <sz val="8"/>
        <color theme="1"/>
        <rFont val="Aptos Narrow (Body)"/>
      </rPr>
      <t>2</t>
    </r>
    <r>
      <rPr>
        <sz val="12"/>
        <color theme="1"/>
        <rFont val="Aptos Narrow"/>
        <family val="2"/>
        <scheme val="minor"/>
      </rPr>
      <t>]</t>
    </r>
  </si>
  <si>
    <t>Capacity in possession</t>
  </si>
  <si>
    <t>Sale price</t>
  </si>
  <si>
    <t>Costs of production per unit</t>
  </si>
  <si>
    <t>The risk free return</t>
  </si>
  <si>
    <t>Up-state coefficient of the market portfolio (in case the production costs decrease)</t>
  </si>
  <si>
    <t>D</t>
  </si>
  <si>
    <t>Down-state coefficient of the market portfolio (in case the production costs increase)</t>
  </si>
  <si>
    <t>Down-state coeffcient for the production costs</t>
  </si>
  <si>
    <t>Up-state coefficient for the production costs</t>
  </si>
  <si>
    <t>Binomial tree (Entry option)</t>
  </si>
  <si>
    <t>U</t>
  </si>
  <si>
    <t>UU</t>
  </si>
  <si>
    <t>UD</t>
  </si>
  <si>
    <t>Production cost =</t>
  </si>
  <si>
    <t>DD</t>
  </si>
  <si>
    <t>π coefficient for market portfolio</t>
  </si>
  <si>
    <t>1-π for market portfolio</t>
  </si>
  <si>
    <t>CF =</t>
  </si>
  <si>
    <t>Market portfolio =</t>
  </si>
  <si>
    <t>Value of additional capacity</t>
  </si>
  <si>
    <t>Additional capacity value =</t>
  </si>
  <si>
    <t>Arbitrage opportunity</t>
  </si>
  <si>
    <t>The strategy in the Task C possesses positive payoffs and profits. Profits are non negative if the value of underlying is less than 0,745.  On the other hand, the payoff of the strategy is 0 if the underlying is worth more than 0,9. The reason is that if St ≥ 0,9 , the long put is worthless. So, it's not going to be exercised. Consequently, there is no payoff that can cover the spendings for implementation of the strategy. It would lead to the losses of 0,1255. Thus, as the profit from the strategy isn't non-negative in every state, there is no arbitrage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</si>
</sst>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8" formatCode="&quot;€&quot;\ #,##0.00;[Red]&quot;€&quot;\ \-#,##0.00"/>
    <numFmt numFmtId="164" formatCode="0.000"/>
    <numFmt numFmtId="165" formatCode="0.00000"/>
    <numFmt numFmtId="166" formatCode="0.0000"/>
    <numFmt numFmtId="167" formatCode="&quot;€&quot;\ #,##0.000;[Red]&quot;€&quot;\ \-#,##0.000"/>
  </numFmts>
  <fonts count="5" x14ac:knownFonts="1">
    <font>
      <sz val="12"/>
      <color theme="1"/>
      <name val="Aptos Narrow"/>
      <family val="2"/>
      <scheme val="minor"/>
    </font>
    <font>
      <sz val="12"/>
      <color theme="0"/>
      <name val="Aptos Narrow"/>
      <family val="2"/>
      <scheme val="minor"/>
    </font>
    <font>
      <sz val="8"/>
      <color theme="1"/>
      <name val="Aptos Narrow (Body)"/>
    </font>
    <font>
      <sz val="12"/>
      <color theme="1"/>
      <name val="Aptos Narrow"/>
      <scheme val="minor"/>
    </font>
    <font>
      <sz val="12"/>
      <color rgb="FF000000"/>
      <name val="Aptos Narrow"/>
      <family val="2"/>
      <scheme val="minor"/>
    </font>
  </fonts>
  <fills count="11">
    <fill>
      <patternFill patternType="none"/>
    </fill>
    <fill>
      <patternFill patternType="gray125"/>
    </fill>
    <fill>
      <patternFill patternType="solid">
        <fgColor theme="2" tint="-0.749992370372631"/>
        <bgColor indexed="64"/>
      </patternFill>
    </fill>
    <fill>
      <patternFill patternType="solid">
        <fgColor theme="2" tint="-0.499984740745262"/>
        <bgColor indexed="64"/>
      </patternFill>
    </fill>
    <fill>
      <patternFill patternType="solid">
        <fgColor theme="3" tint="0.499984740745262"/>
        <bgColor indexed="64"/>
      </patternFill>
    </fill>
    <fill>
      <patternFill patternType="solid">
        <fgColor theme="2"/>
        <bgColor indexed="64"/>
      </patternFill>
    </fill>
    <fill>
      <patternFill patternType="solid">
        <fgColor theme="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4" tint="0.79998168889431442"/>
        <bgColor indexed="64"/>
      </patternFill>
    </fill>
    <fill>
      <patternFill patternType="solid">
        <fgColor theme="9"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84">
    <xf numFmtId="0" fontId="0" fillId="0" borderId="0" xfId="0"/>
    <xf numFmtId="0" fontId="0" fillId="5" borderId="1"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1" fillId="3" borderId="1" xfId="0" applyFont="1" applyFill="1" applyBorder="1" applyAlignment="1">
      <alignment horizontal="center" vertical="center"/>
    </xf>
    <xf numFmtId="0" fontId="0" fillId="6" borderId="10" xfId="0" applyFill="1" applyBorder="1"/>
    <xf numFmtId="0" fontId="0" fillId="6" borderId="0" xfId="0" applyFill="1"/>
    <xf numFmtId="0" fontId="0" fillId="6" borderId="11" xfId="0" applyFill="1" applyBorder="1" applyAlignment="1">
      <alignment horizontal="left"/>
    </xf>
    <xf numFmtId="0" fontId="0" fillId="6" borderId="10" xfId="0" applyFill="1" applyBorder="1" applyAlignment="1">
      <alignment horizontal="right"/>
    </xf>
    <xf numFmtId="0" fontId="0" fillId="6" borderId="0" xfId="0" applyFill="1" applyAlignment="1">
      <alignment horizontal="left"/>
    </xf>
    <xf numFmtId="0" fontId="0" fillId="6" borderId="0" xfId="0" applyFill="1" applyAlignment="1">
      <alignment horizontal="right"/>
    </xf>
    <xf numFmtId="0" fontId="0" fillId="6" borderId="11" xfId="0" applyFill="1" applyBorder="1"/>
    <xf numFmtId="0" fontId="0" fillId="6" borderId="4" xfId="0" applyFill="1" applyBorder="1"/>
    <xf numFmtId="0" fontId="0" fillId="6" borderId="12" xfId="0" applyFill="1" applyBorder="1"/>
    <xf numFmtId="0" fontId="0" fillId="6" borderId="12" xfId="0" applyFill="1" applyBorder="1" applyAlignment="1">
      <alignment horizontal="right"/>
    </xf>
    <xf numFmtId="0" fontId="0" fillId="6" borderId="2" xfId="0" applyFill="1" applyBorder="1" applyAlignment="1">
      <alignment horizontal="left"/>
    </xf>
    <xf numFmtId="0" fontId="0" fillId="7" borderId="0" xfId="0" applyFill="1" applyAlignment="1">
      <alignment horizontal="left"/>
    </xf>
    <xf numFmtId="0" fontId="0" fillId="5" borderId="1" xfId="0" applyFill="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center"/>
    </xf>
    <xf numFmtId="164" fontId="0" fillId="0" borderId="1" xfId="0" applyNumberFormat="1" applyBorder="1" applyAlignment="1">
      <alignment horizontal="center"/>
    </xf>
    <xf numFmtId="0" fontId="0" fillId="5" borderId="1" xfId="0" applyFill="1" applyBorder="1" applyAlignment="1">
      <alignment horizontal="center"/>
    </xf>
    <xf numFmtId="0" fontId="0" fillId="0" borderId="0" xfId="0" applyAlignment="1">
      <alignment horizontal="center" vertical="center"/>
    </xf>
    <xf numFmtId="165"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0" borderId="0" xfId="0" applyAlignment="1">
      <alignment wrapText="1"/>
    </xf>
    <xf numFmtId="166" fontId="0" fillId="0" borderId="1" xfId="0" applyNumberForma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166" fontId="0" fillId="0" borderId="6" xfId="0" applyNumberFormat="1" applyBorder="1" applyAlignment="1">
      <alignment horizontal="center" vertical="center"/>
    </xf>
    <xf numFmtId="0" fontId="0" fillId="8" borderId="5" xfId="0" applyFill="1" applyBorder="1" applyAlignment="1">
      <alignment horizontal="center" vertical="center"/>
    </xf>
    <xf numFmtId="166" fontId="0" fillId="8" borderId="1" xfId="0" applyNumberFormat="1" applyFill="1" applyBorder="1" applyAlignment="1">
      <alignment horizontal="center" vertical="center"/>
    </xf>
    <xf numFmtId="1" fontId="0" fillId="8" borderId="1" xfId="0" applyNumberFormat="1" applyFill="1" applyBorder="1" applyAlignment="1">
      <alignment horizontal="center" vertical="center"/>
    </xf>
    <xf numFmtId="1" fontId="0" fillId="8" borderId="6" xfId="0" applyNumberFormat="1" applyFill="1" applyBorder="1" applyAlignment="1">
      <alignment horizontal="center" vertical="center"/>
    </xf>
    <xf numFmtId="1" fontId="0" fillId="0" borderId="8" xfId="0" applyNumberFormat="1" applyBorder="1" applyAlignment="1">
      <alignment horizontal="center" vertical="center"/>
    </xf>
    <xf numFmtId="166" fontId="0" fillId="0" borderId="9" xfId="0" applyNumberFormat="1" applyBorder="1" applyAlignment="1">
      <alignment horizontal="center" vertical="center"/>
    </xf>
    <xf numFmtId="166" fontId="0" fillId="0" borderId="8" xfId="0" applyNumberFormat="1" applyBorder="1" applyAlignment="1">
      <alignment horizontal="center" vertical="center"/>
    </xf>
    <xf numFmtId="0" fontId="0" fillId="7" borderId="1" xfId="0" applyFill="1" applyBorder="1" applyAlignment="1">
      <alignment horizontal="center" vertical="center"/>
    </xf>
    <xf numFmtId="0" fontId="4" fillId="0" borderId="1" xfId="0" applyFont="1" applyBorder="1" applyAlignment="1">
      <alignment horizontal="center" vertical="center"/>
    </xf>
    <xf numFmtId="0" fontId="4" fillId="7" borderId="1" xfId="0" applyFont="1" applyFill="1" applyBorder="1" applyAlignment="1">
      <alignment horizontal="center" vertical="center"/>
    </xf>
    <xf numFmtId="0" fontId="4" fillId="5" borderId="1" xfId="0" applyFont="1" applyFill="1" applyBorder="1" applyAlignment="1">
      <alignment horizontal="center" vertical="center"/>
    </xf>
    <xf numFmtId="2" fontId="4" fillId="10" borderId="1" xfId="0" applyNumberFormat="1" applyFont="1" applyFill="1" applyBorder="1" applyAlignment="1">
      <alignment horizontal="center" vertical="center"/>
    </xf>
    <xf numFmtId="0" fontId="0" fillId="10" borderId="1" xfId="0" applyFill="1" applyBorder="1" applyAlignment="1">
      <alignment horizontal="center" vertical="center"/>
    </xf>
    <xf numFmtId="0" fontId="0" fillId="9" borderId="1" xfId="0" applyFill="1" applyBorder="1" applyAlignment="1">
      <alignment horizontal="center" vertical="center"/>
    </xf>
    <xf numFmtId="8" fontId="0" fillId="0" borderId="0" xfId="0" applyNumberFormat="1"/>
    <xf numFmtId="0" fontId="0" fillId="0" borderId="0" xfId="0" applyAlignment="1">
      <alignment horizontal="center" vertical="center" wrapText="1"/>
    </xf>
    <xf numFmtId="0" fontId="0" fillId="0" borderId="10" xfId="0" applyBorder="1"/>
    <xf numFmtId="167" fontId="1" fillId="0" borderId="0" xfId="0" applyNumberFormat="1" applyFont="1"/>
    <xf numFmtId="0" fontId="1" fillId="0" borderId="0" xfId="0" applyFont="1"/>
    <xf numFmtId="8" fontId="0" fillId="0" borderId="1" xfId="0" applyNumberFormat="1" applyBorder="1" applyAlignment="1">
      <alignment horizontal="center" vertical="center"/>
    </xf>
    <xf numFmtId="0" fontId="0" fillId="6" borderId="9" xfId="0" applyFill="1" applyBorder="1" applyAlignment="1">
      <alignment wrapText="1"/>
    </xf>
    <xf numFmtId="0" fontId="0" fillId="6" borderId="13" xfId="0" applyFill="1" applyBorder="1"/>
    <xf numFmtId="0" fontId="4" fillId="6" borderId="13" xfId="0" applyFont="1" applyFill="1" applyBorder="1" applyAlignment="1">
      <alignment horizontal="right"/>
    </xf>
    <xf numFmtId="8" fontId="0" fillId="6" borderId="7" xfId="0" applyNumberFormat="1" applyFill="1" applyBorder="1" applyAlignment="1">
      <alignment horizontal="left"/>
    </xf>
    <xf numFmtId="164" fontId="0" fillId="6" borderId="0" xfId="0" applyNumberFormat="1" applyFill="1"/>
    <xf numFmtId="8" fontId="0" fillId="6" borderId="0" xfId="0" applyNumberFormat="1" applyFill="1" applyAlignment="1">
      <alignment horizontal="left"/>
    </xf>
    <xf numFmtId="8" fontId="0" fillId="6" borderId="11" xfId="0" applyNumberFormat="1" applyFill="1" applyBorder="1" applyAlignment="1">
      <alignment horizontal="left"/>
    </xf>
    <xf numFmtId="0" fontId="4" fillId="6" borderId="0" xfId="0" applyFont="1" applyFill="1" applyAlignment="1">
      <alignment horizontal="right"/>
    </xf>
    <xf numFmtId="8" fontId="0" fillId="6" borderId="2" xfId="0" applyNumberFormat="1" applyFill="1" applyBorder="1" applyAlignment="1">
      <alignment horizontal="left"/>
    </xf>
    <xf numFmtId="167" fontId="0" fillId="7" borderId="0" xfId="0" applyNumberFormat="1" applyFill="1"/>
    <xf numFmtId="6" fontId="0" fillId="7" borderId="0" xfId="0" applyNumberFormat="1" applyFill="1" applyAlignment="1">
      <alignment horizontal="left"/>
    </xf>
    <xf numFmtId="6" fontId="0" fillId="0" borderId="0" xfId="0" applyNumberFormat="1" applyAlignment="1">
      <alignment horizontal="left"/>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164" fontId="0" fillId="0" borderId="1" xfId="0" applyNumberFormat="1" applyBorder="1" applyAlignment="1">
      <alignment horizontal="center" vertical="center"/>
    </xf>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6" xfId="0" applyFont="1" applyFill="1" applyBorder="1" applyAlignment="1">
      <alignment horizontal="center" vertical="center"/>
    </xf>
    <xf numFmtId="0" fontId="1" fillId="4" borderId="14" xfId="0" applyFont="1" applyFill="1" applyBorder="1" applyAlignment="1">
      <alignment horizontal="center" vertical="center"/>
    </xf>
    <xf numFmtId="0" fontId="1" fillId="4" borderId="5" xfId="0" applyFont="1" applyFill="1" applyBorder="1" applyAlignment="1">
      <alignment horizontal="center" vertic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 fillId="3" borderId="1" xfId="0" applyFont="1" applyFill="1" applyBorder="1" applyAlignment="1">
      <alignment horizontal="center" vertical="center" wrapText="1"/>
    </xf>
  </cellXfs>
  <cellStyles count="1">
    <cellStyle name="Normal" xfId="0" builtinId="0"/>
  </cellStyles>
  <dxfs count="26">
    <dxf>
      <numFmt numFmtId="166" formatCode="0.0000"/>
      <alignment horizontal="center" vertical="center" textRotation="0" wrapText="0" indent="0" justifyLastLine="0" shrinkToFit="0" readingOrder="0"/>
    </dxf>
    <dxf>
      <numFmt numFmtId="166" formatCode="0.0000"/>
      <alignment horizontal="center" vertical="center" textRotation="0" wrapText="0" indent="0" justifyLastLine="0" shrinkToFit="0" readingOrder="0"/>
    </dxf>
    <dxf>
      <numFmt numFmtId="166" formatCode="0.0000"/>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1" indent="0" justifyLastLine="0" shrinkToFit="0" readingOrder="0"/>
    </dxf>
    <dxf>
      <numFmt numFmtId="166" formatCode="0.0000"/>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6" formatCode="0.0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966B3B"/>
      <color rgb="FFAB7942"/>
      <color rgb="FF889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European</a:t>
            </a:r>
            <a:r>
              <a:rPr lang="en-GB" baseline="0"/>
              <a:t> short call payoff</a:t>
            </a:r>
            <a:endParaRPr lang="en-GB"/>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lotArea>
      <c:layout/>
      <c:scatterChart>
        <c:scatterStyle val="smoothMarker"/>
        <c:varyColors val="0"/>
        <c:ser>
          <c:idx val="1"/>
          <c:order val="0"/>
          <c:tx>
            <c:v>Strike (K)</c:v>
          </c:tx>
          <c:spPr>
            <a:ln w="22225" cap="rnd">
              <a:solidFill>
                <a:srgbClr val="FF0000"/>
              </a:solidFill>
            </a:ln>
            <a:effectLst>
              <a:glow rad="139700">
                <a:schemeClr val="accent4">
                  <a:shade val="76000"/>
                  <a:satMod val="175000"/>
                  <a:alpha val="14000"/>
                </a:schemeClr>
              </a:glow>
            </a:effectLst>
          </c:spPr>
          <c:marker>
            <c:symbol val="none"/>
          </c:marker>
          <c:xVal>
            <c:numRef>
              <c:f>'M.C.4.1'!$D$5</c:f>
              <c:numCache>
                <c:formatCode>General</c:formatCode>
                <c:ptCount val="1"/>
                <c:pt idx="0">
                  <c:v>60</c:v>
                </c:pt>
              </c:numCache>
            </c:numRef>
          </c:xVal>
          <c:yVal>
            <c:numRef>
              <c:f>'M.C.4.1'!$E$5</c:f>
              <c:numCache>
                <c:formatCode>General</c:formatCode>
                <c:ptCount val="1"/>
                <c:pt idx="0">
                  <c:v>5</c:v>
                </c:pt>
              </c:numCache>
            </c:numRef>
          </c:yVal>
          <c:smooth val="1"/>
          <c:extLst>
            <c:ext xmlns:c16="http://schemas.microsoft.com/office/drawing/2014/chart" uri="{C3380CC4-5D6E-409C-BE32-E72D297353CC}">
              <c16:uniqueId val="{00000003-8094-7C4D-9DC7-95D7B37339E1}"/>
            </c:ext>
          </c:extLst>
        </c:ser>
        <c:ser>
          <c:idx val="0"/>
          <c:order val="1"/>
          <c:tx>
            <c:v>European short call payoff</c:v>
          </c:tx>
          <c:spPr>
            <a:ln w="22225" cap="rnd">
              <a:solidFill>
                <a:schemeClr val="accent4">
                  <a:tint val="77000"/>
                </a:schemeClr>
              </a:solidFill>
            </a:ln>
            <a:effectLst>
              <a:glow rad="139700">
                <a:schemeClr val="accent4">
                  <a:tint val="77000"/>
                  <a:satMod val="175000"/>
                  <a:alpha val="14000"/>
                </a:schemeClr>
              </a:glow>
            </a:effectLst>
          </c:spPr>
          <c:marker>
            <c:symbol val="none"/>
          </c:marker>
          <c:dPt>
            <c:idx val="12"/>
            <c:marker>
              <c:symbol val="square"/>
              <c:size val="7"/>
              <c:spPr>
                <a:solidFill>
                  <a:srgbClr val="FF0000"/>
                </a:solidFill>
                <a:ln>
                  <a:noFill/>
                </a:ln>
                <a:effectLst>
                  <a:glow rad="63500">
                    <a:schemeClr val="accent4">
                      <a:tint val="77000"/>
                      <a:satMod val="175000"/>
                      <a:alpha val="25000"/>
                    </a:schemeClr>
                  </a:glow>
                </a:effectLst>
              </c:spPr>
            </c:marker>
            <c:bubble3D val="0"/>
            <c:extLst>
              <c:ext xmlns:c16="http://schemas.microsoft.com/office/drawing/2014/chart" uri="{C3380CC4-5D6E-409C-BE32-E72D297353CC}">
                <c16:uniqueId val="{00000005-8094-7C4D-9DC7-95D7B37339E1}"/>
              </c:ext>
            </c:extLst>
          </c:dPt>
          <c:xVal>
            <c:numRef>
              <c:f>'M.C.4.1'!$G$2:$G$24</c:f>
              <c:numCache>
                <c:formatCode>General</c:formatCode>
                <c:ptCount val="23"/>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numCache>
            </c:numRef>
          </c:xVal>
          <c:yVal>
            <c:numRef>
              <c:f>'M.C.4.1'!$H$2:$H$24</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5</c:v>
                </c:pt>
                <c:pt idx="12">
                  <c:v>5</c:v>
                </c:pt>
                <c:pt idx="13">
                  <c:v>0</c:v>
                </c:pt>
                <c:pt idx="14">
                  <c:v>-5</c:v>
                </c:pt>
                <c:pt idx="15">
                  <c:v>-10</c:v>
                </c:pt>
                <c:pt idx="16">
                  <c:v>-15</c:v>
                </c:pt>
                <c:pt idx="17">
                  <c:v>-20</c:v>
                </c:pt>
                <c:pt idx="18">
                  <c:v>-25</c:v>
                </c:pt>
                <c:pt idx="19">
                  <c:v>-30</c:v>
                </c:pt>
                <c:pt idx="20">
                  <c:v>-35</c:v>
                </c:pt>
                <c:pt idx="21">
                  <c:v>-40</c:v>
                </c:pt>
                <c:pt idx="22">
                  <c:v>-45</c:v>
                </c:pt>
              </c:numCache>
            </c:numRef>
          </c:yVal>
          <c:smooth val="1"/>
          <c:extLst>
            <c:ext xmlns:c16="http://schemas.microsoft.com/office/drawing/2014/chart" uri="{C3380CC4-5D6E-409C-BE32-E72D297353CC}">
              <c16:uniqueId val="{00000000-8094-7C4D-9DC7-95D7B37339E1}"/>
            </c:ext>
          </c:extLst>
        </c:ser>
        <c:dLbls>
          <c:showLegendKey val="0"/>
          <c:showVal val="0"/>
          <c:showCatName val="0"/>
          <c:showSerName val="0"/>
          <c:showPercent val="0"/>
          <c:showBubbleSize val="0"/>
        </c:dLbls>
        <c:axId val="1633617936"/>
        <c:axId val="1633401328"/>
      </c:scatterChart>
      <c:valAx>
        <c:axId val="163361793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crossAx val="1633401328"/>
        <c:crosses val="autoZero"/>
        <c:crossBetween val="midCat"/>
      </c:valAx>
      <c:valAx>
        <c:axId val="163340132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crossAx val="163361793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sz="1400" b="1" i="0" u="none" strike="noStrike" kern="1200" cap="none" baseline="0">
                <a:solidFill>
                  <a:sysClr val="window" lastClr="FFFFFF">
                    <a:lumMod val="85000"/>
                  </a:sysClr>
                </a:solidFill>
              </a:rPr>
              <a:t>European short put payoff</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AT"/>
        </a:p>
      </c:txPr>
    </c:title>
    <c:autoTitleDeleted val="0"/>
    <c:plotArea>
      <c:layout/>
      <c:scatterChart>
        <c:scatterStyle val="smoothMarker"/>
        <c:varyColors val="0"/>
        <c:ser>
          <c:idx val="0"/>
          <c:order val="0"/>
          <c:tx>
            <c:v>Payoff</c:v>
          </c:tx>
          <c:spPr>
            <a:ln w="22225" cap="rnd">
              <a:solidFill>
                <a:schemeClr val="accent6">
                  <a:shade val="76000"/>
                </a:schemeClr>
              </a:solidFill>
            </a:ln>
            <a:effectLst>
              <a:glow rad="139700">
                <a:schemeClr val="accent6">
                  <a:shade val="76000"/>
                  <a:satMod val="175000"/>
                  <a:alpha val="14000"/>
                </a:schemeClr>
              </a:glow>
            </a:effectLst>
          </c:spPr>
          <c:marker>
            <c:symbol val="none"/>
          </c:marker>
          <c:dPt>
            <c:idx val="10"/>
            <c:marker>
              <c:symbol val="square"/>
              <c:size val="7"/>
              <c:spPr>
                <a:solidFill>
                  <a:schemeClr val="accent5">
                    <a:lumMod val="60000"/>
                    <a:lumOff val="40000"/>
                  </a:schemeClr>
                </a:solidFill>
                <a:ln>
                  <a:noFill/>
                </a:ln>
                <a:effectLst>
                  <a:glow rad="63500">
                    <a:schemeClr val="accent6">
                      <a:shade val="76000"/>
                      <a:satMod val="175000"/>
                      <a:alpha val="25000"/>
                    </a:schemeClr>
                  </a:glow>
                </a:effectLst>
              </c:spPr>
            </c:marker>
            <c:bubble3D val="0"/>
            <c:extLst>
              <c:ext xmlns:c16="http://schemas.microsoft.com/office/drawing/2014/chart" uri="{C3380CC4-5D6E-409C-BE32-E72D297353CC}">
                <c16:uniqueId val="{00000003-1347-DE42-91E2-7989416BAAFF}"/>
              </c:ext>
            </c:extLst>
          </c:dPt>
          <c:xVal>
            <c:numRef>
              <c:f>'M.C.4.1'!$G$2:$G$24</c:f>
              <c:numCache>
                <c:formatCode>General</c:formatCode>
                <c:ptCount val="23"/>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numCache>
            </c:numRef>
          </c:xVal>
          <c:yVal>
            <c:numRef>
              <c:f>'M.C.4.1'!$I$2:$I$24</c:f>
              <c:numCache>
                <c:formatCode>General</c:formatCode>
                <c:ptCount val="23"/>
                <c:pt idx="0">
                  <c:v>-45</c:v>
                </c:pt>
                <c:pt idx="1">
                  <c:v>-40</c:v>
                </c:pt>
                <c:pt idx="2">
                  <c:v>-35</c:v>
                </c:pt>
                <c:pt idx="3">
                  <c:v>-30</c:v>
                </c:pt>
                <c:pt idx="4">
                  <c:v>-25</c:v>
                </c:pt>
                <c:pt idx="5">
                  <c:v>-20</c:v>
                </c:pt>
                <c:pt idx="6">
                  <c:v>-15</c:v>
                </c:pt>
                <c:pt idx="7">
                  <c:v>-10</c:v>
                </c:pt>
                <c:pt idx="8">
                  <c:v>-5</c:v>
                </c:pt>
                <c:pt idx="9">
                  <c:v>0</c:v>
                </c:pt>
                <c:pt idx="10">
                  <c:v>5</c:v>
                </c:pt>
                <c:pt idx="11">
                  <c:v>5</c:v>
                </c:pt>
                <c:pt idx="12">
                  <c:v>5</c:v>
                </c:pt>
                <c:pt idx="13">
                  <c:v>5</c:v>
                </c:pt>
                <c:pt idx="14">
                  <c:v>5</c:v>
                </c:pt>
                <c:pt idx="15">
                  <c:v>5</c:v>
                </c:pt>
                <c:pt idx="16">
                  <c:v>5</c:v>
                </c:pt>
                <c:pt idx="17">
                  <c:v>5</c:v>
                </c:pt>
                <c:pt idx="18">
                  <c:v>5</c:v>
                </c:pt>
                <c:pt idx="19">
                  <c:v>5</c:v>
                </c:pt>
                <c:pt idx="20">
                  <c:v>5</c:v>
                </c:pt>
                <c:pt idx="21">
                  <c:v>5</c:v>
                </c:pt>
                <c:pt idx="22">
                  <c:v>5</c:v>
                </c:pt>
              </c:numCache>
            </c:numRef>
          </c:yVal>
          <c:smooth val="1"/>
          <c:extLst>
            <c:ext xmlns:c16="http://schemas.microsoft.com/office/drawing/2014/chart" uri="{C3380CC4-5D6E-409C-BE32-E72D297353CC}">
              <c16:uniqueId val="{00000000-1347-DE42-91E2-7989416BAAFF}"/>
            </c:ext>
          </c:extLst>
        </c:ser>
        <c:ser>
          <c:idx val="1"/>
          <c:order val="1"/>
          <c:tx>
            <c:v>Strike</c:v>
          </c:tx>
          <c:spPr>
            <a:ln w="22225" cap="rnd">
              <a:solidFill>
                <a:schemeClr val="accent5">
                  <a:lumMod val="60000"/>
                  <a:lumOff val="40000"/>
                </a:schemeClr>
              </a:solidFill>
            </a:ln>
            <a:effectLst>
              <a:glow rad="139700">
                <a:schemeClr val="accent6">
                  <a:tint val="77000"/>
                  <a:satMod val="175000"/>
                  <a:alpha val="14000"/>
                </a:schemeClr>
              </a:glow>
            </a:effectLst>
          </c:spPr>
          <c:marker>
            <c:symbol val="none"/>
          </c:marker>
          <c:xVal>
            <c:numRef>
              <c:f>'M.C.4.1'!$D$6</c:f>
              <c:numCache>
                <c:formatCode>General</c:formatCode>
                <c:ptCount val="1"/>
                <c:pt idx="0">
                  <c:v>50</c:v>
                </c:pt>
              </c:numCache>
            </c:numRef>
          </c:xVal>
          <c:yVal>
            <c:numLit>
              <c:formatCode>General</c:formatCode>
              <c:ptCount val="1"/>
              <c:pt idx="0">
                <c:v>1</c:v>
              </c:pt>
            </c:numLit>
          </c:yVal>
          <c:smooth val="1"/>
          <c:extLst>
            <c:ext xmlns:c16="http://schemas.microsoft.com/office/drawing/2014/chart" uri="{C3380CC4-5D6E-409C-BE32-E72D297353CC}">
              <c16:uniqueId val="{00000002-1347-DE42-91E2-7989416BAAFF}"/>
            </c:ext>
          </c:extLst>
        </c:ser>
        <c:dLbls>
          <c:showLegendKey val="0"/>
          <c:showVal val="0"/>
          <c:showCatName val="0"/>
          <c:showSerName val="0"/>
          <c:showPercent val="0"/>
          <c:showBubbleSize val="0"/>
        </c:dLbls>
        <c:axId val="1283406640"/>
        <c:axId val="598174799"/>
      </c:scatterChart>
      <c:valAx>
        <c:axId val="128340664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crossAx val="598174799"/>
        <c:crosses val="autoZero"/>
        <c:crossBetween val="midCat"/>
      </c:valAx>
      <c:valAx>
        <c:axId val="59817479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crossAx val="128340664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Payoff of the portfolio</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AT"/>
        </a:p>
      </c:txPr>
    </c:title>
    <c:autoTitleDeleted val="0"/>
    <c:plotArea>
      <c:layout/>
      <c:scatterChart>
        <c:scatterStyle val="lineMarker"/>
        <c:varyColors val="0"/>
        <c:ser>
          <c:idx val="0"/>
          <c:order val="0"/>
          <c:tx>
            <c:v>Total payoff</c:v>
          </c:tx>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'M.C.4.1'!$G$2:$G$24</c:f>
              <c:numCache>
                <c:formatCode>General</c:formatCode>
                <c:ptCount val="23"/>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numCache>
            </c:numRef>
          </c:xVal>
          <c:yVal>
            <c:numRef>
              <c:f>'M.C.4.1'!$J$2:$J$24</c:f>
              <c:numCache>
                <c:formatCode>General</c:formatCode>
                <c:ptCount val="23"/>
                <c:pt idx="0">
                  <c:v>-80</c:v>
                </c:pt>
                <c:pt idx="1">
                  <c:v>-70</c:v>
                </c:pt>
                <c:pt idx="2">
                  <c:v>-60</c:v>
                </c:pt>
                <c:pt idx="3">
                  <c:v>-50</c:v>
                </c:pt>
                <c:pt idx="4">
                  <c:v>-40</c:v>
                </c:pt>
                <c:pt idx="5">
                  <c:v>-30</c:v>
                </c:pt>
                <c:pt idx="6">
                  <c:v>-20</c:v>
                </c:pt>
                <c:pt idx="7">
                  <c:v>-10</c:v>
                </c:pt>
                <c:pt idx="8">
                  <c:v>0</c:v>
                </c:pt>
                <c:pt idx="9">
                  <c:v>10</c:v>
                </c:pt>
                <c:pt idx="10">
                  <c:v>20</c:v>
                </c:pt>
                <c:pt idx="11">
                  <c:v>20</c:v>
                </c:pt>
                <c:pt idx="12">
                  <c:v>20</c:v>
                </c:pt>
                <c:pt idx="13">
                  <c:v>10</c:v>
                </c:pt>
                <c:pt idx="14">
                  <c:v>0</c:v>
                </c:pt>
                <c:pt idx="15">
                  <c:v>-10</c:v>
                </c:pt>
                <c:pt idx="16">
                  <c:v>-20</c:v>
                </c:pt>
                <c:pt idx="17">
                  <c:v>-30</c:v>
                </c:pt>
                <c:pt idx="18">
                  <c:v>-40</c:v>
                </c:pt>
                <c:pt idx="19">
                  <c:v>-50</c:v>
                </c:pt>
                <c:pt idx="20">
                  <c:v>-60</c:v>
                </c:pt>
                <c:pt idx="21">
                  <c:v>-70</c:v>
                </c:pt>
                <c:pt idx="22">
                  <c:v>-80</c:v>
                </c:pt>
              </c:numCache>
            </c:numRef>
          </c:yVal>
          <c:smooth val="0"/>
          <c:extLst>
            <c:ext xmlns:c16="http://schemas.microsoft.com/office/drawing/2014/chart" uri="{C3380CC4-5D6E-409C-BE32-E72D297353CC}">
              <c16:uniqueId val="{00000000-8735-2942-A22E-A2993A8691F9}"/>
            </c:ext>
          </c:extLst>
        </c:ser>
        <c:dLbls>
          <c:showLegendKey val="0"/>
          <c:showVal val="0"/>
          <c:showCatName val="0"/>
          <c:showSerName val="0"/>
          <c:showPercent val="0"/>
          <c:showBubbleSize val="0"/>
        </c:dLbls>
        <c:axId val="780930351"/>
        <c:axId val="780932063"/>
      </c:scatterChart>
      <c:valAx>
        <c:axId val="78093035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crossAx val="780932063"/>
        <c:crosses val="autoZero"/>
        <c:crossBetween val="midCat"/>
      </c:valAx>
      <c:valAx>
        <c:axId val="78093206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crossAx val="78093035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GB" sz="1200"/>
              <a:t>The payoff diagram for the long put</a:t>
            </a:r>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Payoff of the long put</c:v>
          </c:tx>
          <c:spPr>
            <a:ln w="38100" cap="flat" cmpd="dbl" algn="ctr">
              <a:solidFill>
                <a:schemeClr val="accent1">
                  <a:lumMod val="75000"/>
                </a:schemeClr>
              </a:solidFill>
              <a:round/>
            </a:ln>
            <a:effectLst/>
          </c:spPr>
          <c:marker>
            <c:symbol val="none"/>
          </c:marker>
          <c:xVal>
            <c:numRef>
              <c:f>'M.C.4.4'!$E$3:$E$19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'M.C.4.4'!$F$3:$F$19</c:f>
              <c:numCache>
                <c:formatCode>0.0000</c:formatCode>
                <c:ptCount val="17"/>
                <c:pt idx="0">
                  <c:v>0.8</c:v>
                </c:pt>
                <c:pt idx="1">
                  <c:v>0.70000000000000007</c:v>
                </c:pt>
                <c:pt idx="2">
                  <c:v>0.60000000000000009</c:v>
                </c:pt>
                <c:pt idx="3">
                  <c:v>0.5</c:v>
                </c:pt>
                <c:pt idx="4">
                  <c:v>0.4</c:v>
                </c:pt>
                <c:pt idx="5">
                  <c:v>0.30000000000000004</c:v>
                </c:pt>
                <c:pt idx="6">
                  <c:v>0.20000000000000007</c:v>
                </c:pt>
                <c:pt idx="7">
                  <c:v>0.12550000000000006</c:v>
                </c:pt>
                <c:pt idx="8">
                  <c:v>0.10000000000000009</c:v>
                </c:pt>
                <c:pt idx="9" formatCode="0">
                  <c:v>0</c:v>
                </c:pt>
                <c:pt idx="10" formatCode="0">
                  <c:v>0</c:v>
                </c:pt>
                <c:pt idx="11" formatCode="0">
                  <c:v>0</c:v>
                </c:pt>
                <c:pt idx="12" formatCode="0">
                  <c:v>0</c:v>
                </c:pt>
                <c:pt idx="13" formatCode="0">
                  <c:v>0</c:v>
                </c:pt>
                <c:pt idx="14" formatCode="0">
                  <c:v>0</c:v>
                </c:pt>
                <c:pt idx="15" formatCode="0">
                  <c:v>0</c:v>
                </c:pt>
                <c:pt idx="16" formatCode="0">
                  <c:v>0</c:v>
                </c:pt>
              </c:numCache>
            </c:numRef>
          </c:yVal>
          <c:smooth val="0"/>
          <c:extLst>
            <c:ext xmlns:c16="http://schemas.microsoft.com/office/drawing/2014/chart" uri="{C3380CC4-5D6E-409C-BE32-E72D297353CC}">
              <c16:uniqueId val="{00000000-4DBD-3F48-81F7-D819E4C55CDE}"/>
            </c:ext>
          </c:extLst>
        </c:ser>
        <c:ser>
          <c:idx val="1"/>
          <c:order val="1"/>
          <c:tx>
            <c:v>Strike price</c:v>
          </c:tx>
          <c:spPr>
            <a:ln w="25400" cap="flat" cmpd="dbl" algn="ctr">
              <a:solidFill>
                <a:schemeClr val="accent2">
                  <a:alpha val="50000"/>
                </a:schemeClr>
              </a:solidFill>
              <a:round/>
            </a:ln>
            <a:effectLst/>
          </c:spPr>
          <c:marker>
            <c:symbol val="circle"/>
            <c:size val="7"/>
            <c:spPr>
              <a:noFill/>
              <a:ln w="34925" cap="flat" cmpd="dbl" algn="ctr">
                <a:solidFill>
                  <a:schemeClr val="accent2">
                    <a:lumMod val="75000"/>
                    <a:alpha val="70000"/>
                  </a:schemeClr>
                </a:solidFill>
                <a:round/>
              </a:ln>
              <a:effectLst/>
            </c:spPr>
          </c:marker>
          <c:xVal>
            <c:numRef>
              <c:f>'M.C.4.4'!$B$5</c:f>
              <c:numCache>
                <c:formatCode>0.0000</c:formatCode>
                <c:ptCount val="1"/>
                <c:pt idx="0">
                  <c:v>0.8</c:v>
                </c:pt>
              </c:numCache>
            </c:numRef>
          </c:xVal>
          <c:yVal>
            <c:numLit>
              <c:formatCode>General</c:formatCode>
              <c:ptCount val="1"/>
              <c:pt idx="0">
                <c:v>0</c:v>
              </c:pt>
            </c:numLit>
          </c:yVal>
          <c:smooth val="0"/>
          <c:extLst>
            <c:ext xmlns:c16="http://schemas.microsoft.com/office/drawing/2014/chart" uri="{C3380CC4-5D6E-409C-BE32-E72D297353CC}">
              <c16:uniqueId val="{00000001-4DBD-3F48-81F7-D819E4C55CDE}"/>
            </c:ext>
          </c:extLst>
        </c:ser>
        <c:dLbls>
          <c:showLegendKey val="0"/>
          <c:showVal val="0"/>
          <c:showCatName val="0"/>
          <c:showSerName val="0"/>
          <c:showPercent val="0"/>
          <c:showBubbleSize val="0"/>
        </c:dLbls>
        <c:axId val="1749539135"/>
        <c:axId val="1749989439"/>
      </c:scatterChart>
      <c:valAx>
        <c:axId val="1749539135"/>
        <c:scaling>
          <c:orientation val="minMax"/>
          <c:max val="1.6"/>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749989439"/>
        <c:crosses val="autoZero"/>
        <c:crossBetween val="midCat"/>
        <c:majorUnit val="0.2"/>
      </c:valAx>
      <c:valAx>
        <c:axId val="1749989439"/>
        <c:scaling>
          <c:orientation val="minMax"/>
          <c:max val="0.8"/>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74953913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GB" sz="1200"/>
              <a:t>The payoff diagram for the short put</a:t>
            </a:r>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Payoff of the short put</c:v>
          </c:tx>
          <c:spPr>
            <a:ln w="38100" cap="flat" cmpd="dbl" algn="ctr">
              <a:solidFill>
                <a:schemeClr val="accent1">
                  <a:lumMod val="75000"/>
                </a:schemeClr>
              </a:solidFill>
              <a:round/>
            </a:ln>
            <a:effectLst/>
          </c:spPr>
          <c:marker>
            <c:symbol val="none"/>
          </c:marker>
          <c:dPt>
            <c:idx val="6"/>
            <c:marker>
              <c:symbol val="circle"/>
              <c:size val="7"/>
              <c:spPr>
                <a:noFill/>
                <a:ln w="34925" cap="flat" cmpd="dbl" algn="ctr">
                  <a:solidFill>
                    <a:schemeClr val="accent2">
                      <a:alpha val="70000"/>
                    </a:schemeClr>
                  </a:solidFill>
                  <a:round/>
                </a:ln>
                <a:effectLst/>
              </c:spPr>
            </c:marker>
            <c:bubble3D val="0"/>
            <c:extLst>
              <c:ext xmlns:c16="http://schemas.microsoft.com/office/drawing/2014/chart" uri="{C3380CC4-5D6E-409C-BE32-E72D297353CC}">
                <c16:uniqueId val="{00000002-51EB-F441-9A1C-7BD3A80C1AE5}"/>
              </c:ext>
            </c:extLst>
          </c:dPt>
          <c:xVal>
            <c:numRef>
              <c:f>'M.C.4.4'!$E$3:$E$19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'M.C.4.4'!$G$3:$G$19</c:f>
              <c:numCache>
                <c:formatCode>0.0000</c:formatCode>
                <c:ptCount val="17"/>
                <c:pt idx="0">
                  <c:v>-0.6</c:v>
                </c:pt>
                <c:pt idx="1">
                  <c:v>-0.5</c:v>
                </c:pt>
                <c:pt idx="2">
                  <c:v>-0.39999999999999997</c:v>
                </c:pt>
                <c:pt idx="3">
                  <c:v>-0.3</c:v>
                </c:pt>
                <c:pt idx="4">
                  <c:v>-0.19999999999999996</c:v>
                </c:pt>
                <c:pt idx="5">
                  <c:v>-9.9999999999999978E-2</c:v>
                </c:pt>
                <c:pt idx="6">
                  <c:v>0</c:v>
                </c:pt>
                <c:pt idx="7" formatCode="0">
                  <c:v>0</c:v>
                </c:pt>
                <c:pt idx="8">
                  <c:v>0</c:v>
                </c:pt>
                <c:pt idx="9" formatCode="0">
                  <c:v>0</c:v>
                </c:pt>
                <c:pt idx="10" formatCode="0">
                  <c:v>0</c:v>
                </c:pt>
                <c:pt idx="11" formatCode="0">
                  <c:v>0</c:v>
                </c:pt>
                <c:pt idx="12" formatCode="0">
                  <c:v>0</c:v>
                </c:pt>
                <c:pt idx="13" formatCode="0">
                  <c:v>0</c:v>
                </c:pt>
                <c:pt idx="14" formatCode="0">
                  <c:v>0</c:v>
                </c:pt>
                <c:pt idx="15" formatCode="0">
                  <c:v>0</c:v>
                </c:pt>
                <c:pt idx="16" formatCode="0">
                  <c:v>0</c:v>
                </c:pt>
              </c:numCache>
            </c:numRef>
          </c:yVal>
          <c:smooth val="0"/>
          <c:extLst>
            <c:ext xmlns:c16="http://schemas.microsoft.com/office/drawing/2014/chart" uri="{C3380CC4-5D6E-409C-BE32-E72D297353CC}">
              <c16:uniqueId val="{00000000-51EB-F441-9A1C-7BD3A80C1AE5}"/>
            </c:ext>
          </c:extLst>
        </c:ser>
        <c:ser>
          <c:idx val="1"/>
          <c:order val="1"/>
          <c:tx>
            <c:v>Strike price</c:v>
          </c:tx>
          <c:spPr>
            <a:ln w="25400" cap="flat" cmpd="dbl" algn="ctr">
              <a:solidFill>
                <a:schemeClr val="accent2">
                  <a:alpha val="50000"/>
                </a:schemeClr>
              </a:solidFill>
              <a:round/>
            </a:ln>
            <a:effectLst/>
          </c:spPr>
          <c:marker>
            <c:symbol val="none"/>
          </c:marker>
          <c:xVal>
            <c:numRef>
              <c:f>'M.C.4.4'!$C$5</c:f>
              <c:numCache>
                <c:formatCode>0.0000</c:formatCode>
                <c:ptCount val="1"/>
                <c:pt idx="0">
                  <c:v>0.6</c:v>
                </c:pt>
              </c:numCache>
            </c:numRef>
          </c:xVal>
          <c:yVal>
            <c:numLit>
              <c:formatCode>General</c:formatCode>
              <c:ptCount val="1"/>
              <c:pt idx="0">
                <c:v>0</c:v>
              </c:pt>
            </c:numLit>
          </c:yVal>
          <c:smooth val="0"/>
          <c:extLst>
            <c:ext xmlns:c16="http://schemas.microsoft.com/office/drawing/2014/chart" uri="{C3380CC4-5D6E-409C-BE32-E72D297353CC}">
              <c16:uniqueId val="{00000001-51EB-F441-9A1C-7BD3A80C1AE5}"/>
            </c:ext>
          </c:extLst>
        </c:ser>
        <c:dLbls>
          <c:showLegendKey val="0"/>
          <c:showVal val="0"/>
          <c:showCatName val="0"/>
          <c:showSerName val="0"/>
          <c:showPercent val="0"/>
          <c:showBubbleSize val="0"/>
        </c:dLbls>
        <c:axId val="775696287"/>
        <c:axId val="775560815"/>
      </c:scatterChart>
      <c:valAx>
        <c:axId val="775696287"/>
        <c:scaling>
          <c:orientation val="minMax"/>
          <c:max val="1.6"/>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775560815"/>
        <c:crosses val="autoZero"/>
        <c:crossBetween val="midCat"/>
        <c:majorUnit val="0.2"/>
        <c:minorUnit val="0.1"/>
      </c:valAx>
      <c:valAx>
        <c:axId val="775560815"/>
        <c:scaling>
          <c:orientation val="minMax"/>
          <c:max val="0"/>
          <c:min val="-0.6"/>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77569628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US" sz="1200"/>
              <a:t>The</a:t>
            </a:r>
            <a:r>
              <a:rPr lang="en-US" sz="1200" baseline="0"/>
              <a:t> s</a:t>
            </a:r>
            <a:r>
              <a:rPr lang="en-US" sz="1200"/>
              <a:t>trategy payoff</a:t>
            </a:r>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Strategy payoff</c:v>
          </c:tx>
          <c:spPr>
            <a:ln w="38100" cap="flat" cmpd="dbl" algn="ctr">
              <a:solidFill>
                <a:schemeClr val="accent1"/>
              </a:solidFill>
              <a:round/>
            </a:ln>
            <a:effectLst/>
          </c:spPr>
          <c:marker>
            <c:symbol val="none"/>
          </c:marker>
          <c:xVal>
            <c:numRef>
              <c:f>'M.C.4.4'!$E$3:$E$19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'M.C.4.4'!$H$3:$H$19</c:f>
              <c:numCache>
                <c:formatCode>0.0000</c:formatCode>
                <c:ptCount val="17"/>
                <c:pt idx="0">
                  <c:v>0.20000000000000007</c:v>
                </c:pt>
                <c:pt idx="1">
                  <c:v>0.20000000000000007</c:v>
                </c:pt>
                <c:pt idx="2">
                  <c:v>0.20000000000000012</c:v>
                </c:pt>
                <c:pt idx="3">
                  <c:v>0.2</c:v>
                </c:pt>
                <c:pt idx="4">
                  <c:v>0.20000000000000007</c:v>
                </c:pt>
                <c:pt idx="5">
                  <c:v>0.20000000000000007</c:v>
                </c:pt>
                <c:pt idx="6">
                  <c:v>0.20000000000000007</c:v>
                </c:pt>
                <c:pt idx="7">
                  <c:v>0.12550000000000006</c:v>
                </c:pt>
                <c:pt idx="8">
                  <c:v>0.10000000000000009</c:v>
                </c:pt>
                <c:pt idx="9" formatCode="0">
                  <c:v>0</c:v>
                </c:pt>
                <c:pt idx="10" formatCode="0">
                  <c:v>0</c:v>
                </c:pt>
                <c:pt idx="11" formatCode="0">
                  <c:v>0</c:v>
                </c:pt>
                <c:pt idx="12" formatCode="0">
                  <c:v>0</c:v>
                </c:pt>
                <c:pt idx="13" formatCode="0">
                  <c:v>0</c:v>
                </c:pt>
                <c:pt idx="14" formatCode="0">
                  <c:v>0</c:v>
                </c:pt>
                <c:pt idx="15" formatCode="0">
                  <c:v>0</c:v>
                </c:pt>
                <c:pt idx="16" formatCode="0">
                  <c:v>0</c:v>
                </c:pt>
              </c:numCache>
            </c:numRef>
          </c:yVal>
          <c:smooth val="0"/>
          <c:extLst>
            <c:ext xmlns:c16="http://schemas.microsoft.com/office/drawing/2014/chart" uri="{C3380CC4-5D6E-409C-BE32-E72D297353CC}">
              <c16:uniqueId val="{00000000-4360-204B-997C-9D43F7A4AB26}"/>
            </c:ext>
          </c:extLst>
        </c:ser>
        <c:dLbls>
          <c:showLegendKey val="0"/>
          <c:showVal val="0"/>
          <c:showCatName val="0"/>
          <c:showSerName val="0"/>
          <c:showPercent val="0"/>
          <c:showBubbleSize val="0"/>
        </c:dLbls>
        <c:axId val="1953831391"/>
        <c:axId val="1953746895"/>
      </c:scatterChart>
      <c:valAx>
        <c:axId val="195383139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953746895"/>
        <c:crossesAt val="0"/>
        <c:crossBetween val="midCat"/>
      </c:valAx>
      <c:valAx>
        <c:axId val="1953746895"/>
        <c:scaling>
          <c:orientation val="minMax"/>
          <c:max val="0.25"/>
          <c:min val="-0.0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953831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US"/>
              <a:t>The strategy payoff including the implementation</a:t>
            </a:r>
            <a:r>
              <a:rPr lang="en-US" baseline="0"/>
              <a:t> costs (Task B)</a:t>
            </a:r>
            <a:endParaRPr lang="en-US"/>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v>The strategy payoff</c:v>
          </c:tx>
          <c:spPr>
            <a:ln w="38100" cap="flat" cmpd="dbl" algn="ctr">
              <a:solidFill>
                <a:schemeClr val="accent1">
                  <a:lumMod val="75000"/>
                </a:schemeClr>
              </a:solidFill>
              <a:round/>
            </a:ln>
            <a:effectLst/>
          </c:spPr>
          <c:marker>
            <c:symbol val="none"/>
          </c:marker>
          <c:xVal>
            <c:numRef>
              <c:f>'M.C.4.4'!$E$3:$E$19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'M.C.4.4'!$I$3:$I$19</c:f>
              <c:numCache>
                <c:formatCode>0.0000</c:formatCode>
                <c:ptCount val="17"/>
                <c:pt idx="0">
                  <c:v>7.4500000000000066E-2</c:v>
                </c:pt>
                <c:pt idx="1">
                  <c:v>7.4500000000000066E-2</c:v>
                </c:pt>
                <c:pt idx="2">
                  <c:v>7.4500000000000122E-2</c:v>
                </c:pt>
                <c:pt idx="3">
                  <c:v>7.4500000000000011E-2</c:v>
                </c:pt>
                <c:pt idx="4">
                  <c:v>7.4500000000000066E-2</c:v>
                </c:pt>
                <c:pt idx="5">
                  <c:v>7.4500000000000066E-2</c:v>
                </c:pt>
                <c:pt idx="6">
                  <c:v>7.4500000000000066E-2</c:v>
                </c:pt>
                <c:pt idx="7" formatCode="0">
                  <c:v>0</c:v>
                </c:pt>
                <c:pt idx="8">
                  <c:v>-2.5499999999999912E-2</c:v>
                </c:pt>
                <c:pt idx="9">
                  <c:v>-0.1255</c:v>
                </c:pt>
                <c:pt idx="10">
                  <c:v>-0.1255</c:v>
                </c:pt>
                <c:pt idx="11">
                  <c:v>-0.1255</c:v>
                </c:pt>
                <c:pt idx="12">
                  <c:v>-0.1255</c:v>
                </c:pt>
                <c:pt idx="13">
                  <c:v>-0.1255</c:v>
                </c:pt>
                <c:pt idx="14">
                  <c:v>-0.1255</c:v>
                </c:pt>
                <c:pt idx="15">
                  <c:v>-0.1255</c:v>
                </c:pt>
                <c:pt idx="16">
                  <c:v>-0.1255</c:v>
                </c:pt>
              </c:numCache>
            </c:numRef>
          </c:yVal>
          <c:smooth val="0"/>
          <c:extLst>
            <c:ext xmlns:c16="http://schemas.microsoft.com/office/drawing/2014/chart" uri="{C3380CC4-5D6E-409C-BE32-E72D297353CC}">
              <c16:uniqueId val="{00000000-0B15-7F4B-8E6C-E0A65D499F4E}"/>
            </c:ext>
          </c:extLst>
        </c:ser>
        <c:ser>
          <c:idx val="1"/>
          <c:order val="1"/>
          <c:tx>
            <c:v>The break even point</c:v>
          </c:tx>
          <c:spPr>
            <a:ln w="25400" cap="flat" cmpd="dbl" algn="ctr">
              <a:solidFill>
                <a:schemeClr val="accent2">
                  <a:alpha val="50000"/>
                </a:schemeClr>
              </a:solidFill>
              <a:round/>
            </a:ln>
            <a:effectLst/>
          </c:spPr>
          <c:marker>
            <c:symbol val="circle"/>
            <c:size val="7"/>
            <c:spPr>
              <a:noFill/>
              <a:ln w="34925" cap="flat" cmpd="dbl" algn="ctr">
                <a:solidFill>
                  <a:schemeClr val="accent2">
                    <a:lumMod val="75000"/>
                    <a:alpha val="70000"/>
                  </a:schemeClr>
                </a:solidFill>
                <a:round/>
              </a:ln>
              <a:effectLst/>
            </c:spPr>
          </c:marker>
          <c:xVal>
            <c:numRef>
              <c:f>'M.C.4.4'!$E$10</c:f>
              <c:numCache>
                <c:formatCode>General</c:formatCode>
                <c:ptCount val="1"/>
                <c:pt idx="0">
                  <c:v>0.67449999999999999</c:v>
                </c:pt>
              </c:numCache>
            </c:numRef>
          </c:xVal>
          <c:yVal>
            <c:numRef>
              <c:f>'M.C.4.4'!$I$10</c:f>
              <c:numCache>
                <c:formatCode>0</c:formatCode>
                <c:ptCount val="1"/>
                <c:pt idx="0">
                  <c:v>0</c:v>
                </c:pt>
              </c:numCache>
            </c:numRef>
          </c:yVal>
          <c:smooth val="0"/>
          <c:extLst>
            <c:ext xmlns:c16="http://schemas.microsoft.com/office/drawing/2014/chart" uri="{C3380CC4-5D6E-409C-BE32-E72D297353CC}">
              <c16:uniqueId val="{00000000-82C4-7241-86B8-7F18847CC537}"/>
            </c:ext>
          </c:extLst>
        </c:ser>
        <c:dLbls>
          <c:showLegendKey val="0"/>
          <c:showVal val="0"/>
          <c:showCatName val="0"/>
          <c:showSerName val="0"/>
          <c:showPercent val="0"/>
          <c:showBubbleSize val="0"/>
        </c:dLbls>
        <c:axId val="1772790975"/>
        <c:axId val="1877073839"/>
      </c:scatterChart>
      <c:valAx>
        <c:axId val="177279097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877073839"/>
        <c:crosses val="autoZero"/>
        <c:crossBetween val="midCat"/>
      </c:valAx>
      <c:valAx>
        <c:axId val="1877073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77279097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sz="1200" b="0" i="0" u="none" strike="noStrike" kern="1200" spc="0" normalizeH="0" baseline="0">
                <a:solidFill>
                  <a:sysClr val="windowText" lastClr="000000">
                    <a:lumMod val="65000"/>
                    <a:lumOff val="35000"/>
                  </a:sysClr>
                </a:solidFill>
              </a:rPr>
              <a:t>The strategy payoff including the implementation costs</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The strategy payoff </c:v>
          </c:tx>
          <c:spPr>
            <a:ln w="38100" cap="flat" cmpd="dbl" algn="ctr">
              <a:solidFill>
                <a:schemeClr val="accent1">
                  <a:lumMod val="75000"/>
                </a:schemeClr>
              </a:solidFill>
              <a:round/>
            </a:ln>
            <a:effectLst/>
          </c:spPr>
          <c:marker>
            <c:symbol val="none"/>
          </c:marker>
          <c:xVal>
            <c:numRef>
              <c:f>'M.C.4.4'!$F$51:$F$67</c:f>
              <c:numCache>
                <c:formatCode>General</c:formatCode>
                <c:ptCount val="17"/>
                <c:pt idx="0">
                  <c:v>0</c:v>
                </c:pt>
                <c:pt idx="1">
                  <c:v>0.1</c:v>
                </c:pt>
                <c:pt idx="2">
                  <c:v>0.2</c:v>
                </c:pt>
                <c:pt idx="3">
                  <c:v>0.3</c:v>
                </c:pt>
                <c:pt idx="4">
                  <c:v>0.4</c:v>
                </c:pt>
                <c:pt idx="5">
                  <c:v>0.5</c:v>
                </c:pt>
                <c:pt idx="6">
                  <c:v>0.6</c:v>
                </c:pt>
                <c:pt idx="7">
                  <c:v>0.7</c:v>
                </c:pt>
                <c:pt idx="8">
                  <c:v>0.77449999999999997</c:v>
                </c:pt>
                <c:pt idx="9">
                  <c:v>0.8</c:v>
                </c:pt>
                <c:pt idx="10">
                  <c:v>0.9</c:v>
                </c:pt>
                <c:pt idx="11">
                  <c:v>1</c:v>
                </c:pt>
                <c:pt idx="12">
                  <c:v>1.1000000000000001</c:v>
                </c:pt>
                <c:pt idx="13">
                  <c:v>1.2</c:v>
                </c:pt>
                <c:pt idx="14">
                  <c:v>1.3</c:v>
                </c:pt>
                <c:pt idx="15">
                  <c:v>1.4</c:v>
                </c:pt>
                <c:pt idx="16">
                  <c:v>1.5</c:v>
                </c:pt>
              </c:numCache>
            </c:numRef>
          </c:xVal>
          <c:yVal>
            <c:numRef>
              <c:f>'M.C.4.4'!$I$51:$I$67</c:f>
              <c:numCache>
                <c:formatCode>0.0000</c:formatCode>
                <c:ptCount val="17"/>
                <c:pt idx="0">
                  <c:v>0.17450000000000004</c:v>
                </c:pt>
                <c:pt idx="1">
                  <c:v>0.17450000000000004</c:v>
                </c:pt>
                <c:pt idx="2">
                  <c:v>0.17449999999999999</c:v>
                </c:pt>
                <c:pt idx="3">
                  <c:v>0.1745000000000001</c:v>
                </c:pt>
                <c:pt idx="4">
                  <c:v>0.17450000000000004</c:v>
                </c:pt>
                <c:pt idx="5">
                  <c:v>0.17450000000000004</c:v>
                </c:pt>
                <c:pt idx="6">
                  <c:v>0.17450000000000004</c:v>
                </c:pt>
                <c:pt idx="7">
                  <c:v>7.4500000000000066E-2</c:v>
                </c:pt>
                <c:pt idx="8">
                  <c:v>0</c:v>
                </c:pt>
                <c:pt idx="9">
                  <c:v>-2.5500000000000023E-2</c:v>
                </c:pt>
                <c:pt idx="10">
                  <c:v>-0.1255</c:v>
                </c:pt>
                <c:pt idx="11">
                  <c:v>-0.1255</c:v>
                </c:pt>
                <c:pt idx="12">
                  <c:v>-0.1255</c:v>
                </c:pt>
                <c:pt idx="13">
                  <c:v>-0.1255</c:v>
                </c:pt>
                <c:pt idx="14">
                  <c:v>-0.1255</c:v>
                </c:pt>
                <c:pt idx="15">
                  <c:v>-0.1255</c:v>
                </c:pt>
                <c:pt idx="16">
                  <c:v>-0.1255</c:v>
                </c:pt>
              </c:numCache>
            </c:numRef>
          </c:yVal>
          <c:smooth val="0"/>
          <c:extLst>
            <c:ext xmlns:c16="http://schemas.microsoft.com/office/drawing/2014/chart" uri="{C3380CC4-5D6E-409C-BE32-E72D297353CC}">
              <c16:uniqueId val="{00000002-1C91-B748-BAD5-A5D7020A5C86}"/>
            </c:ext>
          </c:extLst>
        </c:ser>
        <c:ser>
          <c:idx val="1"/>
          <c:order val="1"/>
          <c:tx>
            <c:v>The break even point</c:v>
          </c:tx>
          <c:spPr>
            <a:ln w="25400" cap="flat" cmpd="dbl" algn="ctr">
              <a:solidFill>
                <a:schemeClr val="accent2">
                  <a:alpha val="50000"/>
                </a:schemeClr>
              </a:solidFill>
              <a:round/>
            </a:ln>
            <a:effectLst/>
          </c:spPr>
          <c:marker>
            <c:symbol val="circle"/>
            <c:size val="7"/>
            <c:spPr>
              <a:noFill/>
              <a:ln w="34925" cap="flat" cmpd="dbl" algn="ctr">
                <a:solidFill>
                  <a:schemeClr val="accent2">
                    <a:alpha val="70000"/>
                  </a:schemeClr>
                </a:solidFill>
                <a:round/>
              </a:ln>
              <a:effectLst/>
            </c:spPr>
          </c:marker>
          <c:xVal>
            <c:numRef>
              <c:f>'M.C.4.4'!$F$59</c:f>
              <c:numCache>
                <c:formatCode>General</c:formatCode>
                <c:ptCount val="1"/>
                <c:pt idx="0">
                  <c:v>0.77449999999999997</c:v>
                </c:pt>
              </c:numCache>
            </c:numRef>
          </c:xVal>
          <c:yVal>
            <c:numLit>
              <c:formatCode>General</c:formatCode>
              <c:ptCount val="1"/>
              <c:pt idx="0">
                <c:v>0</c:v>
              </c:pt>
            </c:numLit>
          </c:yVal>
          <c:smooth val="0"/>
          <c:extLst>
            <c:ext xmlns:c16="http://schemas.microsoft.com/office/drawing/2014/chart" uri="{C3380CC4-5D6E-409C-BE32-E72D297353CC}">
              <c16:uniqueId val="{00000004-1C91-B748-BAD5-A5D7020A5C86}"/>
            </c:ext>
          </c:extLst>
        </c:ser>
        <c:dLbls>
          <c:showLegendKey val="0"/>
          <c:showVal val="0"/>
          <c:showCatName val="0"/>
          <c:showSerName val="0"/>
          <c:showPercent val="0"/>
          <c:showBubbleSize val="0"/>
        </c:dLbls>
        <c:axId val="1954045183"/>
        <c:axId val="1954046895"/>
      </c:scatterChart>
      <c:valAx>
        <c:axId val="195404518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954046895"/>
        <c:crosses val="autoZero"/>
        <c:crossBetween val="midCat"/>
        <c:majorUnit val="0.1"/>
      </c:valAx>
      <c:valAx>
        <c:axId val="19540468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95404518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25399</xdr:rowOff>
    </xdr:from>
    <xdr:to>
      <xdr:col>4</xdr:col>
      <xdr:colOff>808182</xdr:colOff>
      <xdr:row>22</xdr:row>
      <xdr:rowOff>169332</xdr:rowOff>
    </xdr:to>
    <xdr:graphicFrame macro="">
      <xdr:nvGraphicFramePr>
        <xdr:cNvPr id="2" name="Chart 1">
          <a:extLst>
            <a:ext uri="{FF2B5EF4-FFF2-40B4-BE49-F238E27FC236}">
              <a16:creationId xmlns:a16="http://schemas.microsoft.com/office/drawing/2014/main" id="{6EA5B473-9897-DB78-7EA0-CDC2CA193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22321</xdr:rowOff>
    </xdr:from>
    <xdr:to>
      <xdr:col>4</xdr:col>
      <xdr:colOff>808182</xdr:colOff>
      <xdr:row>40</xdr:row>
      <xdr:rowOff>65425</xdr:rowOff>
    </xdr:to>
    <xdr:graphicFrame macro="">
      <xdr:nvGraphicFramePr>
        <xdr:cNvPr id="3" name="Chart 2">
          <a:extLst>
            <a:ext uri="{FF2B5EF4-FFF2-40B4-BE49-F238E27FC236}">
              <a16:creationId xmlns:a16="http://schemas.microsoft.com/office/drawing/2014/main" id="{11FDBA4C-3F3C-2CFA-ABDC-F111658C4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26</xdr:row>
      <xdr:rowOff>0</xdr:rowOff>
    </xdr:from>
    <xdr:to>
      <xdr:col>10</xdr:col>
      <xdr:colOff>812800</xdr:colOff>
      <xdr:row>41</xdr:row>
      <xdr:rowOff>186267</xdr:rowOff>
    </xdr:to>
    <xdr:graphicFrame macro="">
      <xdr:nvGraphicFramePr>
        <xdr:cNvPr id="4" name="Chart 3">
          <a:extLst>
            <a:ext uri="{FF2B5EF4-FFF2-40B4-BE49-F238E27FC236}">
              <a16:creationId xmlns:a16="http://schemas.microsoft.com/office/drawing/2014/main" id="{6B9B0BAA-49CC-D5A9-C956-6B3A0E226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227039</xdr:colOff>
      <xdr:row>8</xdr:row>
      <xdr:rowOff>127709</xdr:rowOff>
    </xdr:from>
    <xdr:to>
      <xdr:col>4</xdr:col>
      <xdr:colOff>7095</xdr:colOff>
      <xdr:row>10</xdr:row>
      <xdr:rowOff>106425</xdr:rowOff>
    </xdr:to>
    <xdr:cxnSp macro="">
      <xdr:nvCxnSpPr>
        <xdr:cNvPr id="3" name="Straight Connector 2">
          <a:extLst>
            <a:ext uri="{FF2B5EF4-FFF2-40B4-BE49-F238E27FC236}">
              <a16:creationId xmlns:a16="http://schemas.microsoft.com/office/drawing/2014/main" id="{B90BF8B8-9313-7DB7-70B2-72344736DF32}"/>
            </a:ext>
          </a:extLst>
        </xdr:cNvPr>
        <xdr:cNvCxnSpPr/>
      </xdr:nvCxnSpPr>
      <xdr:spPr>
        <a:xfrm flipV="1">
          <a:off x="1050056" y="1986592"/>
          <a:ext cx="2376816" cy="39022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212849</xdr:colOff>
      <xdr:row>10</xdr:row>
      <xdr:rowOff>127710</xdr:rowOff>
    </xdr:from>
    <xdr:to>
      <xdr:col>3</xdr:col>
      <xdr:colOff>936537</xdr:colOff>
      <xdr:row>12</xdr:row>
      <xdr:rowOff>120615</xdr:rowOff>
    </xdr:to>
    <xdr:cxnSp macro="">
      <xdr:nvCxnSpPr>
        <xdr:cNvPr id="5" name="Straight Connector 4">
          <a:extLst>
            <a:ext uri="{FF2B5EF4-FFF2-40B4-BE49-F238E27FC236}">
              <a16:creationId xmlns:a16="http://schemas.microsoft.com/office/drawing/2014/main" id="{A0D71A4B-75C6-4509-F1AF-919C0544A53A}"/>
            </a:ext>
          </a:extLst>
        </xdr:cNvPr>
        <xdr:cNvCxnSpPr/>
      </xdr:nvCxnSpPr>
      <xdr:spPr>
        <a:xfrm flipH="1" flipV="1">
          <a:off x="1035866" y="2398101"/>
          <a:ext cx="2369721" cy="40441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205755</xdr:colOff>
      <xdr:row>8</xdr:row>
      <xdr:rowOff>99329</xdr:rowOff>
    </xdr:from>
    <xdr:to>
      <xdr:col>11</xdr:col>
      <xdr:colOff>0</xdr:colOff>
      <xdr:row>10</xdr:row>
      <xdr:rowOff>113520</xdr:rowOff>
    </xdr:to>
    <xdr:cxnSp macro="">
      <xdr:nvCxnSpPr>
        <xdr:cNvPr id="7" name="Straight Connector 6">
          <a:extLst>
            <a:ext uri="{FF2B5EF4-FFF2-40B4-BE49-F238E27FC236}">
              <a16:creationId xmlns:a16="http://schemas.microsoft.com/office/drawing/2014/main" id="{B21D0BED-7D1B-7C7C-C07A-E05A84893D31}"/>
            </a:ext>
          </a:extLst>
        </xdr:cNvPr>
        <xdr:cNvCxnSpPr/>
      </xdr:nvCxnSpPr>
      <xdr:spPr>
        <a:xfrm flipV="1">
          <a:off x="8215978" y="1958212"/>
          <a:ext cx="2433575" cy="4256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212850</xdr:colOff>
      <xdr:row>10</xdr:row>
      <xdr:rowOff>120615</xdr:rowOff>
    </xdr:from>
    <xdr:to>
      <xdr:col>10</xdr:col>
      <xdr:colOff>979106</xdr:colOff>
      <xdr:row>12</xdr:row>
      <xdr:rowOff>120615</xdr:rowOff>
    </xdr:to>
    <xdr:cxnSp macro="">
      <xdr:nvCxnSpPr>
        <xdr:cNvPr id="9" name="Straight Connector 8">
          <a:extLst>
            <a:ext uri="{FF2B5EF4-FFF2-40B4-BE49-F238E27FC236}">
              <a16:creationId xmlns:a16="http://schemas.microsoft.com/office/drawing/2014/main" id="{ECB18B50-B571-5C9B-EE68-9082C043E14A}"/>
            </a:ext>
          </a:extLst>
        </xdr:cNvPr>
        <xdr:cNvCxnSpPr/>
      </xdr:nvCxnSpPr>
      <xdr:spPr>
        <a:xfrm flipH="1" flipV="1">
          <a:off x="8223073" y="2391006"/>
          <a:ext cx="2412290" cy="41150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9477</xdr:colOff>
      <xdr:row>22</xdr:row>
      <xdr:rowOff>5613</xdr:rowOff>
    </xdr:from>
    <xdr:to>
      <xdr:col>3</xdr:col>
      <xdr:colOff>862462</xdr:colOff>
      <xdr:row>35</xdr:row>
      <xdr:rowOff>0</xdr:rowOff>
    </xdr:to>
    <xdr:graphicFrame macro="">
      <xdr:nvGraphicFramePr>
        <xdr:cNvPr id="2" name="Chart 1">
          <a:extLst>
            <a:ext uri="{FF2B5EF4-FFF2-40B4-BE49-F238E27FC236}">
              <a16:creationId xmlns:a16="http://schemas.microsoft.com/office/drawing/2014/main" id="{3928B759-4E75-1AB3-3D71-75E72A7BD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9477</xdr:colOff>
      <xdr:row>22</xdr:row>
      <xdr:rowOff>21375</xdr:rowOff>
    </xdr:from>
    <xdr:to>
      <xdr:col>9</xdr:col>
      <xdr:colOff>9477</xdr:colOff>
      <xdr:row>35</xdr:row>
      <xdr:rowOff>0</xdr:rowOff>
    </xdr:to>
    <xdr:graphicFrame macro="">
      <xdr:nvGraphicFramePr>
        <xdr:cNvPr id="4" name="Chart 3">
          <a:extLst>
            <a:ext uri="{FF2B5EF4-FFF2-40B4-BE49-F238E27FC236}">
              <a16:creationId xmlns:a16="http://schemas.microsoft.com/office/drawing/2014/main" id="{618AFD09-4626-F8AB-AC79-9E2192FBE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133</xdr:rowOff>
    </xdr:from>
    <xdr:to>
      <xdr:col>4</xdr:col>
      <xdr:colOff>9478</xdr:colOff>
      <xdr:row>47</xdr:row>
      <xdr:rowOff>193675</xdr:rowOff>
    </xdr:to>
    <xdr:graphicFrame macro="">
      <xdr:nvGraphicFramePr>
        <xdr:cNvPr id="5" name="Chart 4">
          <a:extLst>
            <a:ext uri="{FF2B5EF4-FFF2-40B4-BE49-F238E27FC236}">
              <a16:creationId xmlns:a16="http://schemas.microsoft.com/office/drawing/2014/main" id="{EF24F017-8813-E2F8-B2C6-FA98A9D98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2842</xdr:colOff>
      <xdr:row>36</xdr:row>
      <xdr:rowOff>7391</xdr:rowOff>
    </xdr:from>
    <xdr:to>
      <xdr:col>8</xdr:col>
      <xdr:colOff>2151418</xdr:colOff>
      <xdr:row>47</xdr:row>
      <xdr:rowOff>161119</xdr:rowOff>
    </xdr:to>
    <xdr:graphicFrame macro="">
      <xdr:nvGraphicFramePr>
        <xdr:cNvPr id="6" name="Chart 5">
          <a:extLst>
            <a:ext uri="{FF2B5EF4-FFF2-40B4-BE49-F238E27FC236}">
              <a16:creationId xmlns:a16="http://schemas.microsoft.com/office/drawing/2014/main" id="{5B0252DD-85B6-C78B-70E5-6FC17A837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52</xdr:row>
      <xdr:rowOff>9045</xdr:rowOff>
    </xdr:from>
    <xdr:to>
      <xdr:col>4</xdr:col>
      <xdr:colOff>21167</xdr:colOff>
      <xdr:row>65</xdr:row>
      <xdr:rowOff>125654</xdr:rowOff>
    </xdr:to>
    <xdr:graphicFrame macro="">
      <xdr:nvGraphicFramePr>
        <xdr:cNvPr id="3" name="Chart 2">
          <a:extLst>
            <a:ext uri="{FF2B5EF4-FFF2-40B4-BE49-F238E27FC236}">
              <a16:creationId xmlns:a16="http://schemas.microsoft.com/office/drawing/2014/main" id="{EAAEED79-72F1-03FC-B011-03A4AB898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63500</xdr:colOff>
      <xdr:row>16</xdr:row>
      <xdr:rowOff>127000</xdr:rowOff>
    </xdr:from>
    <xdr:to>
      <xdr:col>3</xdr:col>
      <xdr:colOff>1041400</xdr:colOff>
      <xdr:row>18</xdr:row>
      <xdr:rowOff>114300</xdr:rowOff>
    </xdr:to>
    <xdr:cxnSp macro="">
      <xdr:nvCxnSpPr>
        <xdr:cNvPr id="3" name="Straight Connector 2">
          <a:extLst>
            <a:ext uri="{FF2B5EF4-FFF2-40B4-BE49-F238E27FC236}">
              <a16:creationId xmlns:a16="http://schemas.microsoft.com/office/drawing/2014/main" id="{3A7867EC-5003-F666-F362-86201ACD41CB}"/>
            </a:ext>
          </a:extLst>
        </xdr:cNvPr>
        <xdr:cNvCxnSpPr/>
      </xdr:nvCxnSpPr>
      <xdr:spPr>
        <a:xfrm flipV="1">
          <a:off x="1765300" y="3987800"/>
          <a:ext cx="2984500" cy="3937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101600</xdr:colOff>
      <xdr:row>18</xdr:row>
      <xdr:rowOff>127000</xdr:rowOff>
    </xdr:from>
    <xdr:to>
      <xdr:col>3</xdr:col>
      <xdr:colOff>990600</xdr:colOff>
      <xdr:row>20</xdr:row>
      <xdr:rowOff>127000</xdr:rowOff>
    </xdr:to>
    <xdr:cxnSp macro="">
      <xdr:nvCxnSpPr>
        <xdr:cNvPr id="5" name="Straight Connector 4">
          <a:extLst>
            <a:ext uri="{FF2B5EF4-FFF2-40B4-BE49-F238E27FC236}">
              <a16:creationId xmlns:a16="http://schemas.microsoft.com/office/drawing/2014/main" id="{A8EDD88A-5816-2CC8-080A-4CD1D4A6068A}"/>
            </a:ext>
          </a:extLst>
        </xdr:cNvPr>
        <xdr:cNvCxnSpPr/>
      </xdr:nvCxnSpPr>
      <xdr:spPr>
        <a:xfrm flipH="1" flipV="1">
          <a:off x="1803400" y="4394200"/>
          <a:ext cx="2895600" cy="406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12700</xdr:colOff>
      <xdr:row>14</xdr:row>
      <xdr:rowOff>114300</xdr:rowOff>
    </xdr:from>
    <xdr:to>
      <xdr:col>6</xdr:col>
      <xdr:colOff>1638300</xdr:colOff>
      <xdr:row>16</xdr:row>
      <xdr:rowOff>101600</xdr:rowOff>
    </xdr:to>
    <xdr:cxnSp macro="">
      <xdr:nvCxnSpPr>
        <xdr:cNvPr id="7" name="Straight Connector 6">
          <a:extLst>
            <a:ext uri="{FF2B5EF4-FFF2-40B4-BE49-F238E27FC236}">
              <a16:creationId xmlns:a16="http://schemas.microsoft.com/office/drawing/2014/main" id="{D68E23E7-4F39-A314-7A49-DE956E1C1B30}"/>
            </a:ext>
          </a:extLst>
        </xdr:cNvPr>
        <xdr:cNvCxnSpPr/>
      </xdr:nvCxnSpPr>
      <xdr:spPr>
        <a:xfrm flipH="1">
          <a:off x="4876800" y="3568700"/>
          <a:ext cx="4000500" cy="3937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25400</xdr:colOff>
      <xdr:row>16</xdr:row>
      <xdr:rowOff>114300</xdr:rowOff>
    </xdr:from>
    <xdr:to>
      <xdr:col>6</xdr:col>
      <xdr:colOff>1612900</xdr:colOff>
      <xdr:row>18</xdr:row>
      <xdr:rowOff>139700</xdr:rowOff>
    </xdr:to>
    <xdr:cxnSp macro="">
      <xdr:nvCxnSpPr>
        <xdr:cNvPr id="9" name="Straight Connector 8">
          <a:extLst>
            <a:ext uri="{FF2B5EF4-FFF2-40B4-BE49-F238E27FC236}">
              <a16:creationId xmlns:a16="http://schemas.microsoft.com/office/drawing/2014/main" id="{78A889C7-E9C1-A8B6-7966-5A8ECC0CB7F0}"/>
            </a:ext>
          </a:extLst>
        </xdr:cNvPr>
        <xdr:cNvCxnSpPr/>
      </xdr:nvCxnSpPr>
      <xdr:spPr>
        <a:xfrm flipH="1" flipV="1">
          <a:off x="4889500" y="3975100"/>
          <a:ext cx="3962400" cy="431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0</xdr:colOff>
      <xdr:row>18</xdr:row>
      <xdr:rowOff>139700</xdr:rowOff>
    </xdr:from>
    <xdr:to>
      <xdr:col>6</xdr:col>
      <xdr:colOff>1600200</xdr:colOff>
      <xdr:row>20</xdr:row>
      <xdr:rowOff>114300</xdr:rowOff>
    </xdr:to>
    <xdr:cxnSp macro="">
      <xdr:nvCxnSpPr>
        <xdr:cNvPr id="11" name="Straight Connector 10">
          <a:extLst>
            <a:ext uri="{FF2B5EF4-FFF2-40B4-BE49-F238E27FC236}">
              <a16:creationId xmlns:a16="http://schemas.microsoft.com/office/drawing/2014/main" id="{7A440E66-8E7B-EB8B-1D7A-B0E0589E55EE}"/>
            </a:ext>
          </a:extLst>
        </xdr:cNvPr>
        <xdr:cNvCxnSpPr/>
      </xdr:nvCxnSpPr>
      <xdr:spPr>
        <a:xfrm flipV="1">
          <a:off x="4864100" y="4406900"/>
          <a:ext cx="3975100" cy="381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1130300</xdr:colOff>
      <xdr:row>20</xdr:row>
      <xdr:rowOff>114300</xdr:rowOff>
    </xdr:from>
    <xdr:to>
      <xdr:col>6</xdr:col>
      <xdr:colOff>1600200</xdr:colOff>
      <xdr:row>22</xdr:row>
      <xdr:rowOff>114300</xdr:rowOff>
    </xdr:to>
    <xdr:cxnSp macro="">
      <xdr:nvCxnSpPr>
        <xdr:cNvPr id="13" name="Straight Connector 12">
          <a:extLst>
            <a:ext uri="{FF2B5EF4-FFF2-40B4-BE49-F238E27FC236}">
              <a16:creationId xmlns:a16="http://schemas.microsoft.com/office/drawing/2014/main" id="{49BE1B29-9AC1-AAD1-9CEF-19E497395B55}"/>
            </a:ext>
          </a:extLst>
        </xdr:cNvPr>
        <xdr:cNvCxnSpPr/>
      </xdr:nvCxnSpPr>
      <xdr:spPr>
        <a:xfrm flipH="1" flipV="1">
          <a:off x="4838700" y="4787900"/>
          <a:ext cx="4000500" cy="406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0</xdr:colOff>
      <xdr:row>31</xdr:row>
      <xdr:rowOff>114300</xdr:rowOff>
    </xdr:from>
    <xdr:to>
      <xdr:col>3</xdr:col>
      <xdr:colOff>1041400</xdr:colOff>
      <xdr:row>33</xdr:row>
      <xdr:rowOff>114300</xdr:rowOff>
    </xdr:to>
    <xdr:cxnSp macro="">
      <xdr:nvCxnSpPr>
        <xdr:cNvPr id="15" name="Straight Connector 14">
          <a:extLst>
            <a:ext uri="{FF2B5EF4-FFF2-40B4-BE49-F238E27FC236}">
              <a16:creationId xmlns:a16="http://schemas.microsoft.com/office/drawing/2014/main" id="{A9DB0DCF-FF04-B3FB-8F6B-33ACE867F1BA}"/>
            </a:ext>
          </a:extLst>
        </xdr:cNvPr>
        <xdr:cNvCxnSpPr/>
      </xdr:nvCxnSpPr>
      <xdr:spPr>
        <a:xfrm flipV="1">
          <a:off x="1701800" y="7023100"/>
          <a:ext cx="3048000" cy="406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38100</xdr:colOff>
      <xdr:row>33</xdr:row>
      <xdr:rowOff>152400</xdr:rowOff>
    </xdr:from>
    <xdr:to>
      <xdr:col>3</xdr:col>
      <xdr:colOff>977900</xdr:colOff>
      <xdr:row>35</xdr:row>
      <xdr:rowOff>101600</xdr:rowOff>
    </xdr:to>
    <xdr:cxnSp macro="">
      <xdr:nvCxnSpPr>
        <xdr:cNvPr id="17" name="Straight Connector 16">
          <a:extLst>
            <a:ext uri="{FF2B5EF4-FFF2-40B4-BE49-F238E27FC236}">
              <a16:creationId xmlns:a16="http://schemas.microsoft.com/office/drawing/2014/main" id="{C6573031-EA48-243F-8C44-5E417413A44A}"/>
            </a:ext>
          </a:extLst>
        </xdr:cNvPr>
        <xdr:cNvCxnSpPr/>
      </xdr:nvCxnSpPr>
      <xdr:spPr>
        <a:xfrm flipH="1" flipV="1">
          <a:off x="1739900" y="7467600"/>
          <a:ext cx="2946400" cy="3556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50800</xdr:colOff>
      <xdr:row>29</xdr:row>
      <xdr:rowOff>114300</xdr:rowOff>
    </xdr:from>
    <xdr:to>
      <xdr:col>6</xdr:col>
      <xdr:colOff>1638300</xdr:colOff>
      <xdr:row>31</xdr:row>
      <xdr:rowOff>101600</xdr:rowOff>
    </xdr:to>
    <xdr:cxnSp macro="">
      <xdr:nvCxnSpPr>
        <xdr:cNvPr id="19" name="Straight Connector 18">
          <a:extLst>
            <a:ext uri="{FF2B5EF4-FFF2-40B4-BE49-F238E27FC236}">
              <a16:creationId xmlns:a16="http://schemas.microsoft.com/office/drawing/2014/main" id="{57D0EE97-9B95-0861-7327-46F9D53810A7}"/>
            </a:ext>
          </a:extLst>
        </xdr:cNvPr>
        <xdr:cNvCxnSpPr/>
      </xdr:nvCxnSpPr>
      <xdr:spPr>
        <a:xfrm flipH="1">
          <a:off x="4914900" y="6616700"/>
          <a:ext cx="3962400" cy="3937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38100</xdr:colOff>
      <xdr:row>31</xdr:row>
      <xdr:rowOff>139700</xdr:rowOff>
    </xdr:from>
    <xdr:to>
      <xdr:col>6</xdr:col>
      <xdr:colOff>1612900</xdr:colOff>
      <xdr:row>33</xdr:row>
      <xdr:rowOff>114300</xdr:rowOff>
    </xdr:to>
    <xdr:cxnSp macro="">
      <xdr:nvCxnSpPr>
        <xdr:cNvPr id="21" name="Straight Connector 20">
          <a:extLst>
            <a:ext uri="{FF2B5EF4-FFF2-40B4-BE49-F238E27FC236}">
              <a16:creationId xmlns:a16="http://schemas.microsoft.com/office/drawing/2014/main" id="{D3FA6D85-3A3A-E5F2-10DA-F525E5AB56CF}"/>
            </a:ext>
          </a:extLst>
        </xdr:cNvPr>
        <xdr:cNvCxnSpPr/>
      </xdr:nvCxnSpPr>
      <xdr:spPr>
        <a:xfrm flipH="1" flipV="1">
          <a:off x="4902200" y="7048500"/>
          <a:ext cx="3949700" cy="381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25400</xdr:colOff>
      <xdr:row>33</xdr:row>
      <xdr:rowOff>165100</xdr:rowOff>
    </xdr:from>
    <xdr:to>
      <xdr:col>6</xdr:col>
      <xdr:colOff>1587500</xdr:colOff>
      <xdr:row>35</xdr:row>
      <xdr:rowOff>101600</xdr:rowOff>
    </xdr:to>
    <xdr:cxnSp macro="">
      <xdr:nvCxnSpPr>
        <xdr:cNvPr id="23" name="Straight Connector 22">
          <a:extLst>
            <a:ext uri="{FF2B5EF4-FFF2-40B4-BE49-F238E27FC236}">
              <a16:creationId xmlns:a16="http://schemas.microsoft.com/office/drawing/2014/main" id="{A086ACA1-1371-3834-709D-8399DF669B8D}"/>
            </a:ext>
          </a:extLst>
        </xdr:cNvPr>
        <xdr:cNvCxnSpPr/>
      </xdr:nvCxnSpPr>
      <xdr:spPr>
        <a:xfrm flipV="1">
          <a:off x="4889500" y="7480300"/>
          <a:ext cx="3937000" cy="3429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38100</xdr:colOff>
      <xdr:row>35</xdr:row>
      <xdr:rowOff>127000</xdr:rowOff>
    </xdr:from>
    <xdr:to>
      <xdr:col>6</xdr:col>
      <xdr:colOff>1536700</xdr:colOff>
      <xdr:row>37</xdr:row>
      <xdr:rowOff>127000</xdr:rowOff>
    </xdr:to>
    <xdr:cxnSp macro="">
      <xdr:nvCxnSpPr>
        <xdr:cNvPr id="25" name="Straight Connector 24">
          <a:extLst>
            <a:ext uri="{FF2B5EF4-FFF2-40B4-BE49-F238E27FC236}">
              <a16:creationId xmlns:a16="http://schemas.microsoft.com/office/drawing/2014/main" id="{E280CD2B-5504-9D5E-6115-FF09D9B082DD}"/>
            </a:ext>
          </a:extLst>
        </xdr:cNvPr>
        <xdr:cNvCxnSpPr/>
      </xdr:nvCxnSpPr>
      <xdr:spPr>
        <a:xfrm flipH="1" flipV="1">
          <a:off x="4902200" y="7848600"/>
          <a:ext cx="3873500" cy="406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E23491-5670-E649-8433-BF5F5859F17B}" name="Table2" displayName="Table2" ref="G1:J24" totalsRowShown="0" headerRowDxfId="25" dataDxfId="23" headerRowBorderDxfId="24" tableBorderDxfId="22" totalsRowBorderDxfId="21">
  <autoFilter ref="G1:J24" xr:uid="{5CE23491-5670-E649-8433-BF5F5859F17B}"/>
  <tableColumns count="4">
    <tableColumn id="1" xr3:uid="{C9EB04C6-DF17-D948-9433-D824CCE1C355}" name="St" dataDxfId="20"/>
    <tableColumn id="2" xr3:uid="{7695CBAC-EBB4-1242-A706-ED6BB561A020}" name="Ct (short)" dataDxfId="19">
      <calculatedColumnFormula>5-MAX($G2-$D$5,0)</calculatedColumnFormula>
    </tableColumn>
    <tableColumn id="3" xr3:uid="{8DB8AF8B-4D21-7A45-9F25-679E7B72EDB5}" name="Pt (short)" dataDxfId="18">
      <calculatedColumnFormula>5-MAX($D$6-$G2,0)</calculatedColumnFormula>
    </tableColumn>
    <tableColumn id="4" xr3:uid="{8FF552BD-7897-EB4B-A834-FE711E4F3FEB}" name="∑ Payoff of the portfolio" dataDxfId="17">
      <calculatedColumnFormula>2*$H2+2*$I2</calculatedColumnFormula>
    </tableColumn>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1EE953-7A4F-DD44-B85A-32DD7F97489D}" name="Table1" displayName="Table1" ref="E2:I19" totalsRowShown="0" headerRowDxfId="16" dataDxfId="14" headerRowBorderDxfId="15" tableBorderDxfId="13" totalsRowBorderDxfId="12">
  <autoFilter ref="E2:I19" xr:uid="{A51EE953-7A4F-DD44-B85A-32DD7F97489D}"/>
  <tableColumns count="5">
    <tableColumn id="1" xr3:uid="{B9B979B2-0326-294D-B735-EBB958C94E4E}" name="St" dataDxfId="11"/>
    <tableColumn id="2" xr3:uid="{BB50DC28-0395-DD41-95D1-868E05EFDA50}" name="P0 of the long put" dataDxfId="10">
      <calculatedColumnFormula>MAX($B$5-$E3,0)</calculatedColumnFormula>
    </tableColumn>
    <tableColumn id="3" xr3:uid="{8B3404E6-EC44-404C-8D2A-853022BCAF06}" name="P0 of the short put" dataDxfId="9">
      <calculatedColumnFormula>-MAX($C$5-$E3,0)</calculatedColumnFormula>
    </tableColumn>
    <tableColumn id="4" xr3:uid="{9AC28613-0553-B246-9461-220D1294117D}" name="∑ of the strategy" dataDxfId="8">
      <calculatedColumnFormula>Table1[[#This Row],[P0 of the long put]]+Table1[[#This Row],[P0 of the short put]]</calculatedColumnFormula>
    </tableColumn>
    <tableColumn id="5" xr3:uid="{7EB93F63-6680-3F4C-AE88-EA45E1274745}" name="∑ of the strategy payoff including the implementation costs" dataDxfId="7">
      <calculatedColumnFormula>Table1[[#This Row],[∑ of the strategy]]-$B$6</calculatedColumnFormula>
    </tableColumn>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36FF84-8616-6040-9C9C-4D9ED3F5C10F}" name="Table3" displayName="Table3" ref="F50:I67" totalsRowShown="0" headerRowDxfId="6" dataDxfId="5" tableBorderDxfId="4">
  <autoFilter ref="F50:I67" xr:uid="{2B36FF84-8616-6040-9C9C-4D9ED3F5C10F}"/>
  <tableColumns count="4">
    <tableColumn id="1" xr3:uid="{22847165-0FE8-3E46-8B4E-AFBB88E904B7}" name="St" dataDxfId="3"/>
    <tableColumn id="2" xr3:uid="{71A602D7-D48D-C546-872C-2A3D30F31F31}" name="P0 of the long put" dataDxfId="2">
      <calculatedColumnFormula>MAX($B$51-F51,0)</calculatedColumnFormula>
    </tableColumn>
    <tableColumn id="3" xr3:uid="{2BAF9C93-D51E-2C45-A2DD-43C07220178A}" name="∑ of the strategy" dataDxfId="1">
      <calculatedColumnFormula>$G51+$G2</calculatedColumnFormula>
    </tableColumn>
    <tableColumn id="4" xr3:uid="{F60BCCAE-FFC4-1B47-A3BF-F6832F314058}" name="∑ of the strategy payoff including the implementation costs" dataDxfId="0">
      <calculatedColumnFormula>$H51-$B$6</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CE592-B0A9-AB41-9DC3-449D449EE738}">
  <sheetPr>
    <tabColor theme="4"/>
  </sheetPr>
  <dimension ref="A1:K26"/>
  <sheetViews>
    <sheetView zoomScale="80" zoomScaleNormal="80" workbookViewId="0">
      <pane ySplit="1" topLeftCell="A2" activePane="bottomLeft" state="frozen"/>
      <selection pane="bottomLeft" activeCell="H5" sqref="H5"/>
    </sheetView>
  </sheetViews>
  <sheetFormatPr baseColWidth="10" defaultRowHeight="16" x14ac:dyDescent="0.2"/>
  <cols>
    <col min="1" max="1" width="19.6640625" bestFit="1" customWidth="1"/>
    <col min="3" max="3" width="11.5" bestFit="1" customWidth="1"/>
    <col min="6" max="6" width="4.33203125" customWidth="1"/>
    <col min="8" max="8" width="11.5" customWidth="1"/>
    <col min="9" max="9" width="11.33203125" customWidth="1"/>
    <col min="10" max="10" width="23.1640625" customWidth="1"/>
  </cols>
  <sheetData>
    <row r="1" spans="1:10" x14ac:dyDescent="0.2">
      <c r="A1" s="73" t="s">
        <v>0</v>
      </c>
      <c r="B1" s="73"/>
      <c r="C1" s="73"/>
      <c r="D1" s="73"/>
      <c r="E1" s="73"/>
      <c r="G1" s="3" t="s">
        <v>16</v>
      </c>
      <c r="H1" s="4" t="s">
        <v>17</v>
      </c>
      <c r="I1" s="4" t="s">
        <v>18</v>
      </c>
      <c r="J1" s="5" t="s">
        <v>12</v>
      </c>
    </row>
    <row r="2" spans="1:10" x14ac:dyDescent="0.2">
      <c r="A2" s="70" t="s">
        <v>1</v>
      </c>
      <c r="B2" s="70"/>
      <c r="C2" s="70"/>
      <c r="D2" s="70"/>
      <c r="E2" s="70"/>
      <c r="G2" s="6">
        <v>0</v>
      </c>
      <c r="H2" s="2">
        <f t="shared" ref="H2:H24" si="0">5-MAX($G2-$D$5,0)</f>
        <v>5</v>
      </c>
      <c r="I2" s="2">
        <f t="shared" ref="I2:I24" si="1">5-MAX($D$6-$G2,0)</f>
        <v>-45</v>
      </c>
      <c r="J2" s="7">
        <f t="shared" ref="J2:J24" si="2">2*$H2+2*$I2</f>
        <v>-80</v>
      </c>
    </row>
    <row r="3" spans="1:10" x14ac:dyDescent="0.2">
      <c r="A3" s="71" t="s">
        <v>2</v>
      </c>
      <c r="B3" s="71"/>
      <c r="C3" s="71"/>
      <c r="D3" s="71"/>
      <c r="E3" s="71"/>
      <c r="G3" s="6">
        <v>5</v>
      </c>
      <c r="H3" s="2">
        <f t="shared" si="0"/>
        <v>5</v>
      </c>
      <c r="I3" s="2">
        <f t="shared" si="1"/>
        <v>-40</v>
      </c>
      <c r="J3" s="7">
        <f t="shared" si="2"/>
        <v>-70</v>
      </c>
    </row>
    <row r="4" spans="1:10" x14ac:dyDescent="0.2">
      <c r="A4" s="1" t="s">
        <v>3</v>
      </c>
      <c r="B4" s="1" t="s">
        <v>8</v>
      </c>
      <c r="C4" s="1" t="s">
        <v>4</v>
      </c>
      <c r="D4" s="1" t="s">
        <v>5</v>
      </c>
      <c r="E4" s="1" t="s">
        <v>19</v>
      </c>
      <c r="G4" s="6">
        <v>10</v>
      </c>
      <c r="H4" s="2">
        <f t="shared" si="0"/>
        <v>5</v>
      </c>
      <c r="I4" s="2">
        <f t="shared" si="1"/>
        <v>-35</v>
      </c>
      <c r="J4" s="7">
        <f t="shared" si="2"/>
        <v>-60</v>
      </c>
    </row>
    <row r="5" spans="1:10" x14ac:dyDescent="0.2">
      <c r="A5" s="2" t="s">
        <v>11</v>
      </c>
      <c r="B5" s="2" t="s">
        <v>9</v>
      </c>
      <c r="C5" s="2">
        <v>2</v>
      </c>
      <c r="D5" s="2">
        <v>60</v>
      </c>
      <c r="E5" s="2">
        <v>5</v>
      </c>
      <c r="G5" s="6">
        <v>15</v>
      </c>
      <c r="H5" s="2">
        <f t="shared" si="0"/>
        <v>5</v>
      </c>
      <c r="I5" s="2">
        <f t="shared" si="1"/>
        <v>-30</v>
      </c>
      <c r="J5" s="7">
        <f t="shared" si="2"/>
        <v>-50</v>
      </c>
    </row>
    <row r="6" spans="1:10" x14ac:dyDescent="0.2">
      <c r="A6" s="2" t="s">
        <v>10</v>
      </c>
      <c r="B6" s="2" t="s">
        <v>9</v>
      </c>
      <c r="C6" s="2">
        <v>2</v>
      </c>
      <c r="D6" s="2">
        <v>50</v>
      </c>
      <c r="E6" s="2">
        <v>5</v>
      </c>
      <c r="G6" s="6">
        <v>20</v>
      </c>
      <c r="H6" s="2">
        <f t="shared" si="0"/>
        <v>5</v>
      </c>
      <c r="I6" s="2">
        <f t="shared" si="1"/>
        <v>-25</v>
      </c>
      <c r="J6" s="7">
        <f t="shared" si="2"/>
        <v>-40</v>
      </c>
    </row>
    <row r="7" spans="1:10" x14ac:dyDescent="0.2">
      <c r="G7" s="6">
        <v>25</v>
      </c>
      <c r="H7" s="2">
        <f t="shared" si="0"/>
        <v>5</v>
      </c>
      <c r="I7" s="2">
        <f t="shared" si="1"/>
        <v>-20</v>
      </c>
      <c r="J7" s="7">
        <f t="shared" si="2"/>
        <v>-30</v>
      </c>
    </row>
    <row r="8" spans="1:10" x14ac:dyDescent="0.2">
      <c r="A8" s="70" t="s">
        <v>6</v>
      </c>
      <c r="B8" s="70"/>
      <c r="C8" s="70"/>
      <c r="D8" s="70"/>
      <c r="E8" s="70"/>
      <c r="G8" s="6">
        <v>30</v>
      </c>
      <c r="H8" s="2">
        <f t="shared" si="0"/>
        <v>5</v>
      </c>
      <c r="I8" s="2">
        <f t="shared" si="1"/>
        <v>-15</v>
      </c>
      <c r="J8" s="7">
        <f t="shared" si="2"/>
        <v>-20</v>
      </c>
    </row>
    <row r="9" spans="1:10" x14ac:dyDescent="0.2">
      <c r="A9" s="71" t="s">
        <v>7</v>
      </c>
      <c r="B9" s="71"/>
      <c r="C9" s="71"/>
      <c r="D9" s="71"/>
      <c r="E9" s="71"/>
      <c r="G9" s="6">
        <v>35</v>
      </c>
      <c r="H9" s="2">
        <f t="shared" si="0"/>
        <v>5</v>
      </c>
      <c r="I9" s="2">
        <f t="shared" si="1"/>
        <v>-10</v>
      </c>
      <c r="J9" s="7">
        <f t="shared" si="2"/>
        <v>-10</v>
      </c>
    </row>
    <row r="10" spans="1:10" x14ac:dyDescent="0.2">
      <c r="G10" s="6">
        <v>40</v>
      </c>
      <c r="H10" s="2">
        <f t="shared" si="0"/>
        <v>5</v>
      </c>
      <c r="I10" s="2">
        <f t="shared" si="1"/>
        <v>-5</v>
      </c>
      <c r="J10" s="7">
        <f t="shared" si="2"/>
        <v>0</v>
      </c>
    </row>
    <row r="11" spans="1:10" x14ac:dyDescent="0.2">
      <c r="G11" s="6">
        <v>45</v>
      </c>
      <c r="H11" s="2">
        <f t="shared" si="0"/>
        <v>5</v>
      </c>
      <c r="I11" s="2">
        <f t="shared" si="1"/>
        <v>0</v>
      </c>
      <c r="J11" s="7">
        <f t="shared" si="2"/>
        <v>10</v>
      </c>
    </row>
    <row r="12" spans="1:10" x14ac:dyDescent="0.2">
      <c r="G12" s="6">
        <v>50</v>
      </c>
      <c r="H12" s="2">
        <f t="shared" si="0"/>
        <v>5</v>
      </c>
      <c r="I12" s="2">
        <f t="shared" si="1"/>
        <v>5</v>
      </c>
      <c r="J12" s="7">
        <f t="shared" si="2"/>
        <v>20</v>
      </c>
    </row>
    <row r="13" spans="1:10" x14ac:dyDescent="0.2">
      <c r="G13" s="6">
        <v>55</v>
      </c>
      <c r="H13" s="2">
        <f t="shared" si="0"/>
        <v>5</v>
      </c>
      <c r="I13" s="2">
        <f t="shared" si="1"/>
        <v>5</v>
      </c>
      <c r="J13" s="7">
        <f t="shared" si="2"/>
        <v>20</v>
      </c>
    </row>
    <row r="14" spans="1:10" x14ac:dyDescent="0.2">
      <c r="G14" s="6">
        <v>60</v>
      </c>
      <c r="H14" s="2">
        <f t="shared" si="0"/>
        <v>5</v>
      </c>
      <c r="I14" s="2">
        <f t="shared" si="1"/>
        <v>5</v>
      </c>
      <c r="J14" s="7">
        <f t="shared" si="2"/>
        <v>20</v>
      </c>
    </row>
    <row r="15" spans="1:10" x14ac:dyDescent="0.2">
      <c r="G15" s="6">
        <v>65</v>
      </c>
      <c r="H15" s="2">
        <f t="shared" si="0"/>
        <v>0</v>
      </c>
      <c r="I15" s="2">
        <f t="shared" si="1"/>
        <v>5</v>
      </c>
      <c r="J15" s="7">
        <f t="shared" si="2"/>
        <v>10</v>
      </c>
    </row>
    <row r="16" spans="1:10" x14ac:dyDescent="0.2">
      <c r="G16" s="6">
        <v>70</v>
      </c>
      <c r="H16" s="2">
        <f t="shared" si="0"/>
        <v>-5</v>
      </c>
      <c r="I16" s="2">
        <f t="shared" si="1"/>
        <v>5</v>
      </c>
      <c r="J16" s="7">
        <f t="shared" si="2"/>
        <v>0</v>
      </c>
    </row>
    <row r="17" spans="1:11" x14ac:dyDescent="0.2">
      <c r="G17" s="6">
        <v>75</v>
      </c>
      <c r="H17" s="2">
        <f t="shared" si="0"/>
        <v>-10</v>
      </c>
      <c r="I17" s="2">
        <f t="shared" si="1"/>
        <v>5</v>
      </c>
      <c r="J17" s="7">
        <f t="shared" si="2"/>
        <v>-10</v>
      </c>
    </row>
    <row r="18" spans="1:11" x14ac:dyDescent="0.2">
      <c r="G18" s="6">
        <v>80</v>
      </c>
      <c r="H18" s="2">
        <f t="shared" si="0"/>
        <v>-15</v>
      </c>
      <c r="I18" s="2">
        <f t="shared" si="1"/>
        <v>5</v>
      </c>
      <c r="J18" s="7">
        <f t="shared" si="2"/>
        <v>-20</v>
      </c>
    </row>
    <row r="19" spans="1:11" x14ac:dyDescent="0.2">
      <c r="G19" s="6">
        <v>85</v>
      </c>
      <c r="H19" s="2">
        <f t="shared" si="0"/>
        <v>-20</v>
      </c>
      <c r="I19" s="2">
        <f t="shared" si="1"/>
        <v>5</v>
      </c>
      <c r="J19" s="7">
        <f t="shared" si="2"/>
        <v>-30</v>
      </c>
    </row>
    <row r="20" spans="1:11" x14ac:dyDescent="0.2">
      <c r="G20" s="6">
        <v>90</v>
      </c>
      <c r="H20" s="2">
        <f t="shared" si="0"/>
        <v>-25</v>
      </c>
      <c r="I20" s="2">
        <f t="shared" si="1"/>
        <v>5</v>
      </c>
      <c r="J20" s="7">
        <f t="shared" si="2"/>
        <v>-40</v>
      </c>
    </row>
    <row r="21" spans="1:11" x14ac:dyDescent="0.2">
      <c r="G21" s="6">
        <v>95</v>
      </c>
      <c r="H21" s="2">
        <f t="shared" si="0"/>
        <v>-30</v>
      </c>
      <c r="I21" s="2">
        <f t="shared" si="1"/>
        <v>5</v>
      </c>
      <c r="J21" s="7">
        <f t="shared" si="2"/>
        <v>-50</v>
      </c>
    </row>
    <row r="22" spans="1:11" x14ac:dyDescent="0.2">
      <c r="G22" s="6">
        <v>100</v>
      </c>
      <c r="H22" s="2">
        <f t="shared" si="0"/>
        <v>-35</v>
      </c>
      <c r="I22" s="2">
        <f t="shared" si="1"/>
        <v>5</v>
      </c>
      <c r="J22" s="7">
        <f t="shared" si="2"/>
        <v>-60</v>
      </c>
    </row>
    <row r="23" spans="1:11" x14ac:dyDescent="0.2">
      <c r="G23" s="6">
        <v>105</v>
      </c>
      <c r="H23" s="2">
        <f t="shared" si="0"/>
        <v>-40</v>
      </c>
      <c r="I23" s="2">
        <f t="shared" si="1"/>
        <v>5</v>
      </c>
      <c r="J23" s="7">
        <f t="shared" si="2"/>
        <v>-70</v>
      </c>
    </row>
    <row r="24" spans="1:11" x14ac:dyDescent="0.2">
      <c r="G24" s="8">
        <v>110</v>
      </c>
      <c r="H24" s="9">
        <f t="shared" si="0"/>
        <v>-45</v>
      </c>
      <c r="I24" s="9">
        <f t="shared" si="1"/>
        <v>5</v>
      </c>
      <c r="J24" s="10">
        <f t="shared" si="2"/>
        <v>-80</v>
      </c>
    </row>
    <row r="26" spans="1:11" x14ac:dyDescent="0.2">
      <c r="A26" s="71" t="s">
        <v>13</v>
      </c>
      <c r="B26" s="71"/>
      <c r="C26" s="71"/>
      <c r="D26" s="71"/>
      <c r="E26" s="71"/>
      <c r="G26" s="75" t="s">
        <v>14</v>
      </c>
      <c r="H26" s="76"/>
      <c r="I26" s="76"/>
      <c r="J26" s="76"/>
      <c r="K26" s="77"/>
    </row>
  </sheetData>
  <mergeCells count="7">
    <mergeCell ref="A1:E1"/>
    <mergeCell ref="A2:E2"/>
    <mergeCell ref="A3:E3"/>
    <mergeCell ref="G26:K26"/>
    <mergeCell ref="A26:E26"/>
    <mergeCell ref="A8:E8"/>
    <mergeCell ref="A9:E9"/>
  </mergeCells>
  <conditionalFormatting sqref="J2:J24">
    <cfRule type="colorScale" priority="1">
      <colorScale>
        <cfvo type="min"/>
        <cfvo type="num" val="0"/>
        <cfvo type="max"/>
        <color rgb="FFF8696B"/>
        <color rgb="FFFCFCFF"/>
        <color rgb="FF63BE7B"/>
      </colorScale>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555D5-EEA5-D34A-81C6-361C129C5303}">
  <sheetPr>
    <tabColor rgb="FF00B050"/>
  </sheetPr>
  <dimension ref="A1:H9"/>
  <sheetViews>
    <sheetView zoomScale="80" zoomScaleNormal="80" workbookViewId="0">
      <pane ySplit="1" topLeftCell="A2" activePane="bottomLeft" state="frozen"/>
      <selection pane="bottomLeft" activeCell="F12" sqref="F12"/>
    </sheetView>
  </sheetViews>
  <sheetFormatPr baseColWidth="10" defaultRowHeight="16" x14ac:dyDescent="0.2"/>
  <cols>
    <col min="1" max="2" width="17.1640625" bestFit="1" customWidth="1"/>
    <col min="3" max="3" width="18.33203125" bestFit="1" customWidth="1"/>
    <col min="4" max="4" width="14.6640625" bestFit="1" customWidth="1"/>
    <col min="5" max="5" width="25.5" bestFit="1" customWidth="1"/>
    <col min="6" max="6" width="12.33203125" bestFit="1" customWidth="1"/>
    <col min="7" max="7" width="23.33203125" bestFit="1" customWidth="1"/>
    <col min="8" max="8" width="12" bestFit="1" customWidth="1"/>
  </cols>
  <sheetData>
    <row r="1" spans="1:8" x14ac:dyDescent="0.2">
      <c r="A1" s="73" t="s">
        <v>15</v>
      </c>
      <c r="B1" s="73"/>
      <c r="C1" s="73"/>
      <c r="D1" s="73"/>
      <c r="E1" s="73"/>
      <c r="F1" s="73"/>
      <c r="G1" s="73"/>
      <c r="H1" s="73"/>
    </row>
    <row r="2" spans="1:8" x14ac:dyDescent="0.2">
      <c r="A2" s="71" t="s">
        <v>20</v>
      </c>
      <c r="B2" s="71"/>
      <c r="C2" s="71"/>
      <c r="D2" s="71"/>
      <c r="E2" s="71"/>
      <c r="F2" s="71"/>
      <c r="G2" s="71"/>
      <c r="H2" s="71"/>
    </row>
    <row r="3" spans="1:8" x14ac:dyDescent="0.2">
      <c r="A3" s="1" t="s">
        <v>21</v>
      </c>
      <c r="B3" s="1" t="s">
        <v>8</v>
      </c>
      <c r="C3" s="1" t="s">
        <v>23</v>
      </c>
      <c r="D3" s="1" t="s">
        <v>26</v>
      </c>
      <c r="E3" s="1" t="s">
        <v>65</v>
      </c>
      <c r="F3" s="1" t="s">
        <v>30</v>
      </c>
      <c r="G3" s="1" t="s">
        <v>31</v>
      </c>
      <c r="H3" s="1" t="s">
        <v>67</v>
      </c>
    </row>
    <row r="4" spans="1:8" x14ac:dyDescent="0.2">
      <c r="A4" s="2" t="s">
        <v>22</v>
      </c>
      <c r="B4" s="2" t="s">
        <v>9</v>
      </c>
      <c r="C4" s="2" t="s">
        <v>24</v>
      </c>
      <c r="D4" s="2" t="s">
        <v>25</v>
      </c>
      <c r="E4" s="2">
        <v>0.25</v>
      </c>
      <c r="F4" s="2">
        <v>2.5000000000000001E-2</v>
      </c>
      <c r="G4" s="2">
        <v>0.04</v>
      </c>
      <c r="H4" s="2">
        <v>50000</v>
      </c>
    </row>
    <row r="5" spans="1:8" x14ac:dyDescent="0.2">
      <c r="A5" s="29"/>
      <c r="B5" s="29"/>
      <c r="C5" s="29"/>
      <c r="D5" s="29"/>
      <c r="E5" s="29"/>
      <c r="F5" s="29"/>
      <c r="G5" s="29"/>
      <c r="H5" s="29"/>
    </row>
    <row r="6" spans="1:8" x14ac:dyDescent="0.2">
      <c r="A6" s="71" t="s">
        <v>27</v>
      </c>
      <c r="B6" s="71"/>
      <c r="C6" s="71"/>
      <c r="D6" s="29"/>
      <c r="E6" s="11" t="s">
        <v>1</v>
      </c>
      <c r="F6" s="29"/>
      <c r="G6" s="11" t="s">
        <v>6</v>
      </c>
      <c r="H6" s="29"/>
    </row>
    <row r="7" spans="1:8" x14ac:dyDescent="0.2">
      <c r="A7" s="1"/>
      <c r="B7" s="1" t="s">
        <v>32</v>
      </c>
      <c r="C7" s="1" t="s">
        <v>33</v>
      </c>
      <c r="D7" s="29"/>
      <c r="E7" s="1" t="s">
        <v>66</v>
      </c>
      <c r="F7" s="29"/>
      <c r="G7" s="1" t="s">
        <v>68</v>
      </c>
      <c r="H7" s="29"/>
    </row>
    <row r="8" spans="1:8" x14ac:dyDescent="0.2">
      <c r="A8" s="1" t="s">
        <v>28</v>
      </c>
      <c r="B8" s="2">
        <v>1.18</v>
      </c>
      <c r="C8" s="30">
        <f>1/B8</f>
        <v>0.84745762711864414</v>
      </c>
      <c r="D8" s="29"/>
      <c r="E8" s="2">
        <f>B9*(1+F4*E4)/(1+G4*E4)</f>
        <v>1.1357673267326731</v>
      </c>
      <c r="F8" s="29"/>
      <c r="G8" s="31">
        <f>H4*(B8/(1+F4)-B9/(1+G4))</f>
        <v>2753.2833020638027</v>
      </c>
      <c r="H8" s="29"/>
    </row>
    <row r="9" spans="1:8" x14ac:dyDescent="0.2">
      <c r="A9" s="1" t="s">
        <v>29</v>
      </c>
      <c r="B9" s="2">
        <v>1.1399999999999999</v>
      </c>
      <c r="C9" s="30">
        <f>1/B9</f>
        <v>0.87719298245614041</v>
      </c>
      <c r="D9" s="29"/>
      <c r="E9" s="29"/>
      <c r="F9" s="29"/>
      <c r="G9" s="29"/>
      <c r="H9" s="29"/>
    </row>
  </sheetData>
  <mergeCells count="3">
    <mergeCell ref="A1:H1"/>
    <mergeCell ref="A2:H2"/>
    <mergeCell ref="A6: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2C483-1879-1945-9645-148855EB8B7B}">
  <sheetPr>
    <tabColor theme="5" tint="-0.249977111117893"/>
  </sheetPr>
  <dimension ref="A1:L19"/>
  <sheetViews>
    <sheetView zoomScale="70" zoomScaleNormal="70" workbookViewId="0">
      <pane ySplit="1" topLeftCell="A2" activePane="bottomLeft" state="frozen"/>
      <selection pane="bottomLeft" activeCell="E22" sqref="E22"/>
    </sheetView>
  </sheetViews>
  <sheetFormatPr baseColWidth="10" defaultRowHeight="16" x14ac:dyDescent="0.2"/>
  <cols>
    <col min="1" max="1" width="16.33203125" bestFit="1" customWidth="1"/>
    <col min="2" max="2" width="16.1640625" bestFit="1" customWidth="1"/>
    <col min="4" max="4" width="12.5" customWidth="1"/>
    <col min="5" max="5" width="31" customWidth="1"/>
    <col min="8" max="8" width="9.5" customWidth="1"/>
    <col min="11" max="11" width="13" customWidth="1"/>
    <col min="12" max="12" width="12.1640625" bestFit="1" customWidth="1"/>
  </cols>
  <sheetData>
    <row r="1" spans="1:12" x14ac:dyDescent="0.2">
      <c r="A1" s="73" t="s">
        <v>34</v>
      </c>
      <c r="B1" s="73"/>
      <c r="C1" s="73"/>
      <c r="D1" s="73"/>
      <c r="E1" s="73"/>
      <c r="F1" s="73"/>
      <c r="G1" s="73"/>
      <c r="H1" s="73"/>
      <c r="I1" s="73"/>
      <c r="J1" s="73"/>
      <c r="K1" s="73"/>
      <c r="L1" s="73"/>
    </row>
    <row r="2" spans="1:12" x14ac:dyDescent="0.2">
      <c r="A2" s="71" t="s">
        <v>20</v>
      </c>
      <c r="B2" s="71"/>
      <c r="C2" s="71"/>
      <c r="D2" s="71"/>
      <c r="E2" s="71"/>
      <c r="F2" s="71"/>
      <c r="G2" s="71"/>
      <c r="H2" s="71"/>
      <c r="I2" s="71"/>
      <c r="J2" s="71"/>
      <c r="K2" s="71"/>
      <c r="L2" s="71"/>
    </row>
    <row r="3" spans="1:12" ht="33" customHeight="1" x14ac:dyDescent="0.2">
      <c r="A3" s="24" t="s">
        <v>35</v>
      </c>
      <c r="B3" s="24" t="s">
        <v>37</v>
      </c>
      <c r="C3" s="24" t="s">
        <v>38</v>
      </c>
      <c r="D3" s="24" t="s">
        <v>39</v>
      </c>
      <c r="E3" s="24" t="s">
        <v>40</v>
      </c>
      <c r="F3" s="24" t="s">
        <v>41</v>
      </c>
      <c r="G3" s="24" t="s">
        <v>45</v>
      </c>
      <c r="H3" s="24" t="s">
        <v>46</v>
      </c>
      <c r="I3" s="24" t="s">
        <v>62</v>
      </c>
      <c r="J3" s="24" t="s">
        <v>63</v>
      </c>
      <c r="K3" s="24" t="s">
        <v>64</v>
      </c>
      <c r="L3" s="24" t="s">
        <v>42</v>
      </c>
    </row>
    <row r="4" spans="1:12" x14ac:dyDescent="0.2">
      <c r="A4" s="2" t="s">
        <v>36</v>
      </c>
      <c r="B4" s="2" t="s">
        <v>25</v>
      </c>
      <c r="C4" s="2">
        <v>1.3</v>
      </c>
      <c r="D4" s="2">
        <v>0.25</v>
      </c>
      <c r="E4" s="2">
        <v>1.3105</v>
      </c>
      <c r="F4" s="25">
        <v>0.10587000000000001</v>
      </c>
      <c r="G4" s="25">
        <v>1.8E-3</v>
      </c>
      <c r="H4" s="25">
        <v>1.4E-3</v>
      </c>
      <c r="I4" s="2">
        <f>EXP(F4*SQRT(D4/1))</f>
        <v>1.0543611094198575</v>
      </c>
      <c r="J4" s="2">
        <f>EXP(-F4*SQRT(D4/1))</f>
        <v>0.94844165918660572</v>
      </c>
      <c r="K4" s="2">
        <f>((1+G4)/(1+H4)-J4)/(I4-J4)</f>
        <v>0.49054051434253881</v>
      </c>
      <c r="L4" s="2">
        <f>1-K4</f>
        <v>0.50945948565746124</v>
      </c>
    </row>
    <row r="6" spans="1:12" x14ac:dyDescent="0.2">
      <c r="A6" s="70" t="s">
        <v>1</v>
      </c>
      <c r="B6" s="70"/>
      <c r="C6" s="70"/>
      <c r="D6" s="70"/>
      <c r="E6" s="70"/>
      <c r="H6" s="70" t="s">
        <v>1</v>
      </c>
      <c r="I6" s="70"/>
      <c r="J6" s="70"/>
      <c r="K6" s="70"/>
      <c r="L6" s="70"/>
    </row>
    <row r="7" spans="1:12" x14ac:dyDescent="0.2">
      <c r="A7" s="71" t="s">
        <v>11</v>
      </c>
      <c r="B7" s="71"/>
      <c r="C7" s="71"/>
      <c r="D7" s="71"/>
      <c r="E7" s="71"/>
      <c r="H7" s="71" t="s">
        <v>10</v>
      </c>
      <c r="I7" s="71"/>
      <c r="J7" s="71"/>
      <c r="K7" s="71"/>
      <c r="L7" s="71"/>
    </row>
    <row r="8" spans="1:12" x14ac:dyDescent="0.2">
      <c r="A8" s="12"/>
      <c r="B8" s="13"/>
      <c r="C8" s="13"/>
      <c r="D8" s="17" t="s">
        <v>56</v>
      </c>
      <c r="E8" s="14">
        <f>B10*I4</f>
        <v>1.3817402338947233</v>
      </c>
      <c r="H8" s="12"/>
      <c r="I8" s="13"/>
      <c r="J8" s="13"/>
      <c r="K8" s="17" t="s">
        <v>56</v>
      </c>
      <c r="L8" s="14">
        <f>I4*I10</f>
        <v>1.3817402338947233</v>
      </c>
    </row>
    <row r="9" spans="1:12" x14ac:dyDescent="0.2">
      <c r="A9" s="12"/>
      <c r="B9" s="13"/>
      <c r="C9" s="13"/>
      <c r="D9" s="17"/>
      <c r="E9" s="14" t="s">
        <v>48</v>
      </c>
      <c r="H9" s="12"/>
      <c r="I9" s="13"/>
      <c r="J9" s="13"/>
      <c r="K9" s="13"/>
      <c r="L9" s="14" t="s">
        <v>48</v>
      </c>
    </row>
    <row r="10" spans="1:12" x14ac:dyDescent="0.2">
      <c r="A10" s="15" t="s">
        <v>53</v>
      </c>
      <c r="B10" s="16">
        <f>E4</f>
        <v>1.3105</v>
      </c>
      <c r="C10" s="13"/>
      <c r="D10" s="17" t="s">
        <v>59</v>
      </c>
      <c r="E10" s="14">
        <f>MAX(E8-C4,0)</f>
        <v>8.1740233894723291E-2</v>
      </c>
      <c r="H10" s="15" t="s">
        <v>53</v>
      </c>
      <c r="I10" s="16">
        <f>E4</f>
        <v>1.3105</v>
      </c>
      <c r="J10" s="13"/>
      <c r="K10" s="17" t="s">
        <v>55</v>
      </c>
      <c r="L10" s="14">
        <f>MAX(C4-L8,0)</f>
        <v>0</v>
      </c>
    </row>
    <row r="11" spans="1:12" x14ac:dyDescent="0.2">
      <c r="A11" s="12"/>
      <c r="B11" s="16" t="s">
        <v>47</v>
      </c>
      <c r="C11" s="13"/>
      <c r="D11" s="13"/>
      <c r="E11" s="18"/>
      <c r="H11" s="12"/>
      <c r="I11" s="16" t="s">
        <v>47</v>
      </c>
      <c r="J11" s="13"/>
      <c r="K11" s="13"/>
      <c r="L11" s="18"/>
    </row>
    <row r="12" spans="1:12" x14ac:dyDescent="0.2">
      <c r="A12" s="15" t="s">
        <v>61</v>
      </c>
      <c r="B12" s="23">
        <f>(K4*E10+L4*E14)/(1+G4*D4)</f>
        <v>4.0078860889796578E-2</v>
      </c>
      <c r="C12" s="13"/>
      <c r="D12" s="17" t="s">
        <v>57</v>
      </c>
      <c r="E12" s="14">
        <f>B10*J4</f>
        <v>1.2429327943640467</v>
      </c>
      <c r="H12" s="15" t="s">
        <v>54</v>
      </c>
      <c r="I12" s="23">
        <f>(K4*L10+L4*L14)/(1+G4*D4)</f>
        <v>2.9060352072768622E-2</v>
      </c>
      <c r="J12" s="13"/>
      <c r="K12" s="17" t="s">
        <v>57</v>
      </c>
      <c r="L12" s="14">
        <f>J4*I10</f>
        <v>1.2429327943640467</v>
      </c>
    </row>
    <row r="13" spans="1:12" x14ac:dyDescent="0.2">
      <c r="A13" s="12"/>
      <c r="B13" s="13"/>
      <c r="C13" s="13"/>
      <c r="D13" s="17"/>
      <c r="E13" s="14" t="s">
        <v>49</v>
      </c>
      <c r="H13" s="12"/>
      <c r="I13" s="13"/>
      <c r="J13" s="13"/>
      <c r="K13" s="13"/>
      <c r="L13" s="14" t="s">
        <v>49</v>
      </c>
    </row>
    <row r="14" spans="1:12" x14ac:dyDescent="0.2">
      <c r="A14" s="19"/>
      <c r="B14" s="20"/>
      <c r="C14" s="20"/>
      <c r="D14" s="21" t="s">
        <v>60</v>
      </c>
      <c r="E14" s="22">
        <f>MAX(E12-C4,0)</f>
        <v>0</v>
      </c>
      <c r="H14" s="19"/>
      <c r="I14" s="20"/>
      <c r="J14" s="20"/>
      <c r="K14" s="21" t="s">
        <v>58</v>
      </c>
      <c r="L14" s="22">
        <f>MAX(C4-L12,0)</f>
        <v>5.7067205635953355E-2</v>
      </c>
    </row>
    <row r="16" spans="1:12" x14ac:dyDescent="0.2">
      <c r="A16" s="78" t="s">
        <v>6</v>
      </c>
      <c r="B16" s="78"/>
      <c r="C16" s="78"/>
    </row>
    <row r="17" spans="1:3" x14ac:dyDescent="0.2">
      <c r="A17" s="79" t="s">
        <v>43</v>
      </c>
      <c r="B17" s="79"/>
      <c r="C17" s="79"/>
    </row>
    <row r="18" spans="1:3" x14ac:dyDescent="0.2">
      <c r="A18" s="28" t="s">
        <v>44</v>
      </c>
      <c r="B18" s="28" t="s">
        <v>51</v>
      </c>
      <c r="C18" s="28" t="s">
        <v>52</v>
      </c>
    </row>
    <row r="19" spans="1:3" x14ac:dyDescent="0.2">
      <c r="A19" s="26" t="s">
        <v>50</v>
      </c>
      <c r="B19" s="27">
        <f>B12-I12</f>
        <v>1.1018508817027955E-2</v>
      </c>
      <c r="C19" s="27">
        <f>E4-C4/(1+G4*D4)</f>
        <v>1.1084736868409273E-2</v>
      </c>
    </row>
  </sheetData>
  <mergeCells count="8">
    <mergeCell ref="A16:C16"/>
    <mergeCell ref="A17:C17"/>
    <mergeCell ref="A6:E6"/>
    <mergeCell ref="A7:E7"/>
    <mergeCell ref="A1:L1"/>
    <mergeCell ref="A2:L2"/>
    <mergeCell ref="H6:L6"/>
    <mergeCell ref="H7:L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F0925-6E9D-7A42-8B34-6EC616C5845F}">
  <sheetPr>
    <tabColor theme="8" tint="-0.249977111117893"/>
  </sheetPr>
  <dimension ref="A1:J73"/>
  <sheetViews>
    <sheetView zoomScale="85" zoomScaleNormal="85" workbookViewId="0">
      <pane ySplit="1" topLeftCell="A2" activePane="bottomLeft" state="frozen"/>
      <selection pane="bottomLeft" activeCell="A70" sqref="A70:I73"/>
    </sheetView>
  </sheetViews>
  <sheetFormatPr baseColWidth="10" defaultRowHeight="16" x14ac:dyDescent="0.2"/>
  <cols>
    <col min="1" max="1" width="24.5" bestFit="1" customWidth="1"/>
    <col min="2" max="3" width="12.83203125" bestFit="1" customWidth="1"/>
    <col min="4" max="4" width="11.5" customWidth="1"/>
    <col min="5" max="5" width="10.83203125" customWidth="1"/>
    <col min="6" max="6" width="12.33203125" customWidth="1"/>
    <col min="7" max="7" width="13.1640625" customWidth="1"/>
    <col min="8" max="8" width="12.1640625" customWidth="1"/>
    <col min="9" max="9" width="27.1640625" customWidth="1"/>
    <col min="10" max="11" width="10.83203125" customWidth="1"/>
  </cols>
  <sheetData>
    <row r="1" spans="1:10" ht="32" customHeight="1" x14ac:dyDescent="0.2">
      <c r="A1" s="80" t="s">
        <v>69</v>
      </c>
      <c r="B1" s="80"/>
      <c r="C1" s="80"/>
      <c r="D1" s="80"/>
      <c r="E1" s="80"/>
      <c r="F1" s="80"/>
      <c r="G1" s="80"/>
      <c r="H1" s="80"/>
      <c r="I1" s="80"/>
      <c r="J1" s="32"/>
    </row>
    <row r="2" spans="1:10" ht="47" customHeight="1" x14ac:dyDescent="0.2">
      <c r="A2" s="71" t="s">
        <v>20</v>
      </c>
      <c r="B2" s="71"/>
      <c r="C2" s="71"/>
      <c r="D2" s="29"/>
      <c r="E2" s="34" t="s">
        <v>16</v>
      </c>
      <c r="F2" s="35" t="s">
        <v>81</v>
      </c>
      <c r="G2" s="35" t="s">
        <v>82</v>
      </c>
      <c r="H2" s="35" t="s">
        <v>72</v>
      </c>
      <c r="I2" s="36" t="s">
        <v>74</v>
      </c>
    </row>
    <row r="3" spans="1:10" x14ac:dyDescent="0.2">
      <c r="A3" s="1" t="s">
        <v>3</v>
      </c>
      <c r="B3" s="2" t="s">
        <v>10</v>
      </c>
      <c r="C3" s="2" t="s">
        <v>10</v>
      </c>
      <c r="D3" s="29"/>
      <c r="E3" s="6">
        <v>0</v>
      </c>
      <c r="F3" s="33">
        <f t="shared" ref="F3:F19" si="0">MAX($B$5-$E3,0)</f>
        <v>0.8</v>
      </c>
      <c r="G3" s="33">
        <f t="shared" ref="G3:G19" si="1">-MAX($C$5-$E3,0)</f>
        <v>-0.6</v>
      </c>
      <c r="H3" s="33">
        <f>Table1[[#This Row],[P0 of the long put]]+Table1[[#This Row],[P0 of the short put]]</f>
        <v>0.20000000000000007</v>
      </c>
      <c r="I3" s="37">
        <f>Table1[[#This Row],[∑ of the strategy]]-$B$6</f>
        <v>7.4500000000000066E-2</v>
      </c>
    </row>
    <row r="4" spans="1:10" x14ac:dyDescent="0.2">
      <c r="A4" s="1" t="s">
        <v>8</v>
      </c>
      <c r="B4" s="2" t="s">
        <v>70</v>
      </c>
      <c r="C4" s="2" t="s">
        <v>9</v>
      </c>
      <c r="D4" s="29"/>
      <c r="E4" s="6">
        <v>0.1</v>
      </c>
      <c r="F4" s="33">
        <f t="shared" si="0"/>
        <v>0.70000000000000007</v>
      </c>
      <c r="G4" s="33">
        <f t="shared" si="1"/>
        <v>-0.5</v>
      </c>
      <c r="H4" s="33">
        <f>Table1[[#This Row],[P0 of the long put]]+Table1[[#This Row],[P0 of the short put]]</f>
        <v>0.20000000000000007</v>
      </c>
      <c r="I4" s="37">
        <f>Table1[[#This Row],[∑ of the strategy]]-$B$6</f>
        <v>7.4500000000000066E-2</v>
      </c>
    </row>
    <row r="5" spans="1:10" x14ac:dyDescent="0.2">
      <c r="A5" s="1" t="s">
        <v>75</v>
      </c>
      <c r="B5" s="33">
        <v>0.8</v>
      </c>
      <c r="C5" s="33">
        <v>0.6</v>
      </c>
      <c r="D5" s="29"/>
      <c r="E5" s="6">
        <v>0.2</v>
      </c>
      <c r="F5" s="33">
        <f t="shared" si="0"/>
        <v>0.60000000000000009</v>
      </c>
      <c r="G5" s="33">
        <f t="shared" si="1"/>
        <v>-0.39999999999999997</v>
      </c>
      <c r="H5" s="33">
        <f>Table1[[#This Row],[P0 of the long put]]+Table1[[#This Row],[P0 of the short put]]</f>
        <v>0.20000000000000012</v>
      </c>
      <c r="I5" s="37">
        <f>Table1[[#This Row],[∑ of the strategy]]-$B$6</f>
        <v>7.4500000000000122E-2</v>
      </c>
    </row>
    <row r="6" spans="1:10" x14ac:dyDescent="0.2">
      <c r="A6" s="1" t="s">
        <v>73</v>
      </c>
      <c r="B6" s="82">
        <v>0.1255</v>
      </c>
      <c r="C6" s="82"/>
      <c r="D6" s="29"/>
      <c r="E6" s="6">
        <v>0.3</v>
      </c>
      <c r="F6" s="33">
        <f t="shared" si="0"/>
        <v>0.5</v>
      </c>
      <c r="G6" s="33">
        <f t="shared" si="1"/>
        <v>-0.3</v>
      </c>
      <c r="H6" s="33">
        <f>Table1[[#This Row],[P0 of the long put]]+Table1[[#This Row],[P0 of the short put]]</f>
        <v>0.2</v>
      </c>
      <c r="I6" s="37">
        <f>Table1[[#This Row],[∑ of the strategy]]-$B$6</f>
        <v>7.4500000000000011E-2</v>
      </c>
    </row>
    <row r="7" spans="1:10" x14ac:dyDescent="0.2">
      <c r="A7" s="29"/>
      <c r="B7" s="29"/>
      <c r="C7" s="29"/>
      <c r="D7" s="29"/>
      <c r="E7" s="6">
        <v>0.4</v>
      </c>
      <c r="F7" s="33">
        <f t="shared" si="0"/>
        <v>0.4</v>
      </c>
      <c r="G7" s="33">
        <f t="shared" si="1"/>
        <v>-0.19999999999999996</v>
      </c>
      <c r="H7" s="33">
        <f>Table1[[#This Row],[P0 of the long put]]+Table1[[#This Row],[P0 of the short put]]</f>
        <v>0.20000000000000007</v>
      </c>
      <c r="I7" s="37">
        <f>Table1[[#This Row],[∑ of the strategy]]-$B$6</f>
        <v>7.4500000000000066E-2</v>
      </c>
    </row>
    <row r="8" spans="1:10" x14ac:dyDescent="0.2">
      <c r="A8" s="70" t="s">
        <v>6</v>
      </c>
      <c r="B8" s="70"/>
      <c r="C8" s="70"/>
      <c r="D8" s="29"/>
      <c r="E8" s="6">
        <v>0.5</v>
      </c>
      <c r="F8" s="33">
        <f t="shared" si="0"/>
        <v>0.30000000000000004</v>
      </c>
      <c r="G8" s="33">
        <f t="shared" si="1"/>
        <v>-9.9999999999999978E-2</v>
      </c>
      <c r="H8" s="33">
        <f>Table1[[#This Row],[P0 of the long put]]+Table1[[#This Row],[P0 of the short put]]</f>
        <v>0.20000000000000007</v>
      </c>
      <c r="I8" s="37">
        <f>Table1[[#This Row],[∑ of the strategy]]-$B$6</f>
        <v>7.4500000000000066E-2</v>
      </c>
    </row>
    <row r="9" spans="1:10" ht="16" customHeight="1" x14ac:dyDescent="0.2">
      <c r="A9" s="81" t="s">
        <v>76</v>
      </c>
      <c r="B9" s="81"/>
      <c r="C9" s="81"/>
      <c r="D9" s="29"/>
      <c r="E9" s="6">
        <v>0.6</v>
      </c>
      <c r="F9" s="33">
        <f t="shared" si="0"/>
        <v>0.20000000000000007</v>
      </c>
      <c r="G9" s="33">
        <f t="shared" si="1"/>
        <v>0</v>
      </c>
      <c r="H9" s="33">
        <f>Table1[[#This Row],[P0 of the long put]]+Table1[[#This Row],[P0 of the short put]]</f>
        <v>0.20000000000000007</v>
      </c>
      <c r="I9" s="37">
        <f>Table1[[#This Row],[∑ of the strategy]]-$B$6</f>
        <v>7.4500000000000066E-2</v>
      </c>
    </row>
    <row r="10" spans="1:10" x14ac:dyDescent="0.2">
      <c r="A10" s="81"/>
      <c r="B10" s="81"/>
      <c r="C10" s="81"/>
      <c r="D10" s="29"/>
      <c r="E10" s="38">
        <f>0.6745</f>
        <v>0.67449999999999999</v>
      </c>
      <c r="F10" s="39">
        <f t="shared" si="0"/>
        <v>0.12550000000000006</v>
      </c>
      <c r="G10" s="40">
        <f t="shared" si="1"/>
        <v>0</v>
      </c>
      <c r="H10" s="39">
        <f>Table1[[#This Row],[P0 of the long put]]+Table1[[#This Row],[P0 of the short put]]</f>
        <v>0.12550000000000006</v>
      </c>
      <c r="I10" s="41">
        <f>Table1[[#This Row],[∑ of the strategy]]-$B$6</f>
        <v>0</v>
      </c>
    </row>
    <row r="11" spans="1:10" x14ac:dyDescent="0.2">
      <c r="A11" s="81"/>
      <c r="B11" s="81"/>
      <c r="C11" s="81"/>
      <c r="D11" s="29"/>
      <c r="E11" s="6">
        <v>0.7</v>
      </c>
      <c r="F11" s="33">
        <f t="shared" si="0"/>
        <v>0.10000000000000009</v>
      </c>
      <c r="G11" s="33">
        <f t="shared" si="1"/>
        <v>0</v>
      </c>
      <c r="H11" s="33">
        <f>Table1[[#This Row],[P0 of the long put]]+Table1[[#This Row],[P0 of the short put]]</f>
        <v>0.10000000000000009</v>
      </c>
      <c r="I11" s="37">
        <f>Table1[[#This Row],[∑ of the strategy]]-$B$6</f>
        <v>-2.5499999999999912E-2</v>
      </c>
    </row>
    <row r="12" spans="1:10" x14ac:dyDescent="0.2">
      <c r="A12" s="81"/>
      <c r="B12" s="81"/>
      <c r="C12" s="81"/>
      <c r="D12" s="29"/>
      <c r="E12" s="6">
        <v>0.8</v>
      </c>
      <c r="F12" s="31">
        <f t="shared" si="0"/>
        <v>0</v>
      </c>
      <c r="G12" s="31">
        <f t="shared" si="1"/>
        <v>0</v>
      </c>
      <c r="H12" s="31">
        <f>Table1[[#This Row],[P0 of the long put]]+Table1[[#This Row],[P0 of the short put]]</f>
        <v>0</v>
      </c>
      <c r="I12" s="37">
        <f>Table1[[#This Row],[∑ of the strategy]]-$B$6</f>
        <v>-0.1255</v>
      </c>
    </row>
    <row r="13" spans="1:10" x14ac:dyDescent="0.2">
      <c r="A13" s="81"/>
      <c r="B13" s="81"/>
      <c r="C13" s="81"/>
      <c r="D13" s="29"/>
      <c r="E13" s="6">
        <v>0.9</v>
      </c>
      <c r="F13" s="31">
        <f t="shared" si="0"/>
        <v>0</v>
      </c>
      <c r="G13" s="31">
        <f t="shared" si="1"/>
        <v>0</v>
      </c>
      <c r="H13" s="31">
        <f>Table1[[#This Row],[P0 of the long put]]+Table1[[#This Row],[P0 of the short put]]</f>
        <v>0</v>
      </c>
      <c r="I13" s="37">
        <f>Table1[[#This Row],[∑ of the strategy]]-$B$6</f>
        <v>-0.1255</v>
      </c>
    </row>
    <row r="14" spans="1:10" x14ac:dyDescent="0.2">
      <c r="A14" s="81"/>
      <c r="B14" s="81"/>
      <c r="C14" s="81"/>
      <c r="D14" s="29"/>
      <c r="E14" s="6">
        <v>1</v>
      </c>
      <c r="F14" s="31">
        <f t="shared" si="0"/>
        <v>0</v>
      </c>
      <c r="G14" s="31">
        <f t="shared" si="1"/>
        <v>0</v>
      </c>
      <c r="H14" s="31">
        <f>Table1[[#This Row],[P0 of the long put]]+Table1[[#This Row],[P0 of the short put]]</f>
        <v>0</v>
      </c>
      <c r="I14" s="37">
        <f>Table1[[#This Row],[∑ of the strategy]]-$B$6</f>
        <v>-0.1255</v>
      </c>
    </row>
    <row r="15" spans="1:10" x14ac:dyDescent="0.2">
      <c r="A15" s="29"/>
      <c r="B15" s="29"/>
      <c r="C15" s="29"/>
      <c r="D15" s="29"/>
      <c r="E15" s="6">
        <v>1.1000000000000001</v>
      </c>
      <c r="F15" s="31">
        <f t="shared" si="0"/>
        <v>0</v>
      </c>
      <c r="G15" s="31">
        <f t="shared" si="1"/>
        <v>0</v>
      </c>
      <c r="H15" s="31">
        <f>Table1[[#This Row],[P0 of the long put]]+Table1[[#This Row],[P0 of the short put]]</f>
        <v>0</v>
      </c>
      <c r="I15" s="37">
        <f>Table1[[#This Row],[∑ of the strategy]]-$B$6</f>
        <v>-0.1255</v>
      </c>
    </row>
    <row r="16" spans="1:10" x14ac:dyDescent="0.2">
      <c r="A16" s="29"/>
      <c r="B16" s="29"/>
      <c r="C16" s="29"/>
      <c r="D16" s="29"/>
      <c r="E16" s="6">
        <v>1.2</v>
      </c>
      <c r="F16" s="31">
        <f t="shared" si="0"/>
        <v>0</v>
      </c>
      <c r="G16" s="31">
        <f t="shared" si="1"/>
        <v>0</v>
      </c>
      <c r="H16" s="31">
        <f>Table1[[#This Row],[P0 of the long put]]+Table1[[#This Row],[P0 of the short put]]</f>
        <v>0</v>
      </c>
      <c r="I16" s="37">
        <f>Table1[[#This Row],[∑ of the strategy]]-$B$6</f>
        <v>-0.1255</v>
      </c>
    </row>
    <row r="17" spans="1:9" x14ac:dyDescent="0.2">
      <c r="A17" s="29"/>
      <c r="B17" s="29"/>
      <c r="C17" s="29"/>
      <c r="D17" s="29"/>
      <c r="E17" s="6">
        <v>1.3</v>
      </c>
      <c r="F17" s="31">
        <f t="shared" si="0"/>
        <v>0</v>
      </c>
      <c r="G17" s="31">
        <f t="shared" si="1"/>
        <v>0</v>
      </c>
      <c r="H17" s="31">
        <f>Table1[[#This Row],[P0 of the long put]]+Table1[[#This Row],[P0 of the short put]]</f>
        <v>0</v>
      </c>
      <c r="I17" s="37">
        <f>Table1[[#This Row],[∑ of the strategy]]-$B$6</f>
        <v>-0.1255</v>
      </c>
    </row>
    <row r="18" spans="1:9" x14ac:dyDescent="0.2">
      <c r="A18" s="29"/>
      <c r="B18" s="29"/>
      <c r="C18" s="29"/>
      <c r="D18" s="29"/>
      <c r="E18" s="6">
        <v>1.4</v>
      </c>
      <c r="F18" s="31">
        <f t="shared" si="0"/>
        <v>0</v>
      </c>
      <c r="G18" s="31">
        <f t="shared" si="1"/>
        <v>0</v>
      </c>
      <c r="H18" s="31">
        <f>Table1[[#This Row],[P0 of the long put]]+Table1[[#This Row],[P0 of the short put]]</f>
        <v>0</v>
      </c>
      <c r="I18" s="37">
        <f>Table1[[#This Row],[∑ of the strategy]]-$B$6</f>
        <v>-0.1255</v>
      </c>
    </row>
    <row r="19" spans="1:9" x14ac:dyDescent="0.2">
      <c r="A19" s="29"/>
      <c r="B19" s="29"/>
      <c r="C19" s="29"/>
      <c r="D19" s="29"/>
      <c r="E19" s="8">
        <v>1.5</v>
      </c>
      <c r="F19" s="42">
        <f t="shared" si="0"/>
        <v>0</v>
      </c>
      <c r="G19" s="42">
        <f t="shared" si="1"/>
        <v>0</v>
      </c>
      <c r="H19" s="42">
        <f>Table1[[#This Row],[P0 of the long put]]+Table1[[#This Row],[P0 of the short put]]</f>
        <v>0</v>
      </c>
      <c r="I19" s="43">
        <f>Table1[[#This Row],[∑ of the strategy]]-$B$6</f>
        <v>-0.1255</v>
      </c>
    </row>
    <row r="20" spans="1:9" x14ac:dyDescent="0.2">
      <c r="A20" s="29"/>
      <c r="B20" s="29"/>
      <c r="C20" s="29"/>
      <c r="D20" s="29"/>
      <c r="E20" s="29"/>
      <c r="F20" s="29"/>
      <c r="G20" s="29"/>
      <c r="H20" s="29"/>
      <c r="I20" s="29"/>
    </row>
    <row r="21" spans="1:9" x14ac:dyDescent="0.2">
      <c r="A21" s="70" t="s">
        <v>1</v>
      </c>
      <c r="B21" s="70"/>
      <c r="C21" s="70"/>
      <c r="D21" s="70"/>
      <c r="E21" s="70"/>
      <c r="F21" s="70"/>
      <c r="G21" s="70"/>
      <c r="H21" s="70"/>
      <c r="I21" s="70"/>
    </row>
    <row r="22" spans="1:9" x14ac:dyDescent="0.2">
      <c r="A22" s="71" t="s">
        <v>71</v>
      </c>
      <c r="B22" s="71"/>
      <c r="C22" s="71"/>
      <c r="D22" s="71"/>
      <c r="E22" s="71"/>
      <c r="F22" s="71"/>
      <c r="G22" s="71"/>
      <c r="H22" s="71"/>
      <c r="I22" s="71"/>
    </row>
    <row r="23" spans="1:9" x14ac:dyDescent="0.2">
      <c r="A23" s="29"/>
      <c r="B23" s="29"/>
      <c r="C23" s="29"/>
      <c r="D23" s="29"/>
      <c r="E23" s="29"/>
      <c r="F23" s="29"/>
      <c r="G23" s="29"/>
      <c r="H23" s="29"/>
      <c r="I23" s="29"/>
    </row>
    <row r="24" spans="1:9" x14ac:dyDescent="0.2">
      <c r="A24" s="29"/>
      <c r="B24" s="29"/>
      <c r="C24" s="29"/>
      <c r="D24" s="29"/>
      <c r="E24" s="29"/>
      <c r="F24" s="29"/>
      <c r="G24" s="29"/>
      <c r="H24" s="29"/>
      <c r="I24" s="29"/>
    </row>
    <row r="25" spans="1:9" x14ac:dyDescent="0.2">
      <c r="A25" s="29"/>
      <c r="B25" s="29"/>
      <c r="C25" s="29"/>
      <c r="D25" s="29"/>
      <c r="E25" s="29"/>
      <c r="F25" s="29"/>
      <c r="G25" s="29"/>
      <c r="H25" s="29"/>
      <c r="I25" s="29"/>
    </row>
    <row r="26" spans="1:9" x14ac:dyDescent="0.2">
      <c r="A26" s="29"/>
      <c r="B26" s="29"/>
      <c r="C26" s="29"/>
      <c r="D26" s="29"/>
      <c r="E26" s="29"/>
      <c r="F26" s="29"/>
      <c r="G26" s="29"/>
      <c r="H26" s="29"/>
      <c r="I26" s="29"/>
    </row>
    <row r="27" spans="1:9" x14ac:dyDescent="0.2">
      <c r="A27" s="29"/>
      <c r="B27" s="29"/>
      <c r="C27" s="29"/>
      <c r="D27" s="29"/>
      <c r="E27" s="29"/>
      <c r="F27" s="29"/>
      <c r="G27" s="29"/>
      <c r="H27" s="29"/>
      <c r="I27" s="29"/>
    </row>
    <row r="28" spans="1:9" x14ac:dyDescent="0.2">
      <c r="A28" s="29"/>
      <c r="B28" s="29"/>
      <c r="C28" s="29"/>
      <c r="D28" s="29"/>
      <c r="E28" s="29"/>
      <c r="F28" s="29"/>
      <c r="G28" s="29"/>
      <c r="H28" s="29"/>
      <c r="I28" s="29"/>
    </row>
    <row r="29" spans="1:9" x14ac:dyDescent="0.2">
      <c r="A29" s="29"/>
      <c r="B29" s="29"/>
      <c r="C29" s="29"/>
      <c r="D29" s="29"/>
      <c r="E29" s="29"/>
      <c r="F29" s="29"/>
      <c r="G29" s="29"/>
      <c r="H29" s="29"/>
      <c r="I29" s="29"/>
    </row>
    <row r="30" spans="1:9" x14ac:dyDescent="0.2">
      <c r="A30" s="29"/>
      <c r="B30" s="29"/>
      <c r="C30" s="29"/>
      <c r="D30" s="29"/>
      <c r="E30" s="29"/>
      <c r="F30" s="29"/>
      <c r="G30" s="29"/>
      <c r="H30" s="29"/>
      <c r="I30" s="29"/>
    </row>
    <row r="31" spans="1:9" x14ac:dyDescent="0.2">
      <c r="A31" s="29"/>
      <c r="B31" s="29"/>
      <c r="C31" s="29"/>
      <c r="D31" s="29"/>
      <c r="E31" s="29"/>
      <c r="F31" s="29"/>
      <c r="G31" s="29"/>
      <c r="H31" s="29"/>
      <c r="I31" s="29"/>
    </row>
    <row r="32" spans="1:9" x14ac:dyDescent="0.2">
      <c r="A32" s="29"/>
      <c r="B32" s="29"/>
      <c r="C32" s="29"/>
      <c r="D32" s="29"/>
      <c r="E32" s="29"/>
      <c r="F32" s="29"/>
      <c r="G32" s="29"/>
      <c r="H32" s="29"/>
      <c r="I32" s="29"/>
    </row>
    <row r="33" spans="1:9" x14ac:dyDescent="0.2">
      <c r="A33" s="29"/>
      <c r="B33" s="29"/>
      <c r="C33" s="29"/>
      <c r="D33" s="29"/>
      <c r="E33" s="29"/>
      <c r="F33" s="29"/>
      <c r="G33" s="29"/>
      <c r="H33" s="29"/>
      <c r="I33" s="29"/>
    </row>
    <row r="34" spans="1:9" x14ac:dyDescent="0.2">
      <c r="A34" s="29"/>
      <c r="B34" s="29"/>
      <c r="C34" s="29"/>
      <c r="D34" s="29"/>
      <c r="E34" s="29"/>
      <c r="F34" s="29"/>
      <c r="G34" s="29"/>
      <c r="H34" s="29"/>
      <c r="I34" s="29"/>
    </row>
    <row r="35" spans="1:9" x14ac:dyDescent="0.2">
      <c r="A35" s="29"/>
      <c r="B35" s="29"/>
      <c r="C35" s="29"/>
      <c r="D35" s="29"/>
      <c r="E35" s="29"/>
      <c r="F35" s="29"/>
      <c r="G35" s="29"/>
      <c r="H35" s="29"/>
      <c r="I35" s="29"/>
    </row>
    <row r="36" spans="1:9" x14ac:dyDescent="0.2">
      <c r="A36" s="29"/>
      <c r="B36" s="29"/>
      <c r="C36" s="29"/>
      <c r="D36" s="29"/>
      <c r="E36" s="29"/>
      <c r="F36" s="29"/>
      <c r="G36" s="29"/>
      <c r="H36" s="29"/>
      <c r="I36" s="29"/>
    </row>
    <row r="37" spans="1:9" x14ac:dyDescent="0.2">
      <c r="A37" s="29"/>
      <c r="B37" s="29"/>
      <c r="C37" s="29"/>
      <c r="D37" s="29"/>
      <c r="E37" s="29"/>
      <c r="F37" s="29"/>
      <c r="G37" s="29"/>
      <c r="H37" s="29"/>
      <c r="I37" s="29"/>
    </row>
    <row r="38" spans="1:9" x14ac:dyDescent="0.2">
      <c r="A38" s="29"/>
      <c r="B38" s="29"/>
      <c r="C38" s="29"/>
      <c r="D38" s="29"/>
      <c r="E38" s="29"/>
      <c r="F38" s="29"/>
      <c r="G38" s="29"/>
      <c r="H38" s="29"/>
      <c r="I38" s="29"/>
    </row>
    <row r="39" spans="1:9" x14ac:dyDescent="0.2">
      <c r="A39" s="29"/>
      <c r="B39" s="29"/>
      <c r="C39" s="29"/>
      <c r="D39" s="29"/>
      <c r="E39" s="29"/>
      <c r="F39" s="29"/>
      <c r="G39" s="29"/>
      <c r="H39" s="29"/>
      <c r="I39" s="29"/>
    </row>
    <row r="40" spans="1:9" x14ac:dyDescent="0.2">
      <c r="A40" s="29"/>
      <c r="B40" s="29"/>
      <c r="C40" s="29"/>
      <c r="D40" s="29"/>
      <c r="E40" s="29"/>
      <c r="F40" s="29"/>
      <c r="G40" s="29"/>
      <c r="H40" s="29"/>
      <c r="I40" s="29"/>
    </row>
    <row r="41" spans="1:9" x14ac:dyDescent="0.2">
      <c r="A41" s="29"/>
      <c r="B41" s="29"/>
      <c r="C41" s="29"/>
      <c r="D41" s="29"/>
      <c r="E41" s="29"/>
      <c r="F41" s="29"/>
      <c r="G41" s="29"/>
      <c r="H41" s="29"/>
      <c r="I41" s="29"/>
    </row>
    <row r="42" spans="1:9" x14ac:dyDescent="0.2">
      <c r="A42" s="29"/>
      <c r="B42" s="29"/>
      <c r="C42" s="29"/>
      <c r="D42" s="29"/>
      <c r="E42" s="29"/>
      <c r="F42" s="29"/>
      <c r="G42" s="29"/>
      <c r="H42" s="29"/>
      <c r="I42" s="29"/>
    </row>
    <row r="43" spans="1:9" x14ac:dyDescent="0.2">
      <c r="A43" s="29"/>
      <c r="B43" s="29"/>
      <c r="C43" s="29"/>
      <c r="D43" s="29"/>
      <c r="E43" s="29"/>
      <c r="F43" s="29"/>
      <c r="G43" s="29"/>
      <c r="H43" s="29"/>
      <c r="I43" s="29"/>
    </row>
    <row r="44" spans="1:9" x14ac:dyDescent="0.2">
      <c r="A44" s="29"/>
      <c r="B44" s="29"/>
      <c r="C44" s="29"/>
      <c r="D44" s="29"/>
      <c r="E44" s="29"/>
      <c r="F44" s="29"/>
      <c r="G44" s="29"/>
      <c r="H44" s="29"/>
      <c r="I44" s="29"/>
    </row>
    <row r="45" spans="1:9" x14ac:dyDescent="0.2">
      <c r="A45" s="29"/>
      <c r="B45" s="29"/>
      <c r="C45" s="29"/>
      <c r="D45" s="29"/>
      <c r="E45" s="29"/>
      <c r="F45" s="29"/>
      <c r="G45" s="29"/>
      <c r="H45" s="29"/>
      <c r="I45" s="29"/>
    </row>
    <row r="46" spans="1:9" x14ac:dyDescent="0.2">
      <c r="A46" s="29"/>
      <c r="B46" s="29"/>
      <c r="C46" s="29"/>
      <c r="D46" s="29"/>
      <c r="E46" s="29"/>
      <c r="F46" s="29"/>
      <c r="G46" s="29"/>
      <c r="H46" s="29"/>
      <c r="I46" s="29"/>
    </row>
    <row r="47" spans="1:9" x14ac:dyDescent="0.2">
      <c r="A47" s="29"/>
      <c r="B47" s="29"/>
      <c r="C47" s="29"/>
      <c r="D47" s="29"/>
      <c r="E47" s="29"/>
      <c r="F47" s="29"/>
      <c r="G47" s="29"/>
      <c r="H47" s="29"/>
      <c r="I47" s="29"/>
    </row>
    <row r="48" spans="1:9" x14ac:dyDescent="0.2">
      <c r="A48" s="29"/>
      <c r="B48" s="29"/>
      <c r="C48" s="29"/>
      <c r="D48" s="29"/>
      <c r="E48" s="29"/>
      <c r="F48" s="29"/>
      <c r="G48" s="29"/>
      <c r="H48" s="29"/>
      <c r="I48" s="29"/>
    </row>
    <row r="49" spans="1:9" x14ac:dyDescent="0.2">
      <c r="A49" s="70" t="s">
        <v>77</v>
      </c>
      <c r="B49" s="70"/>
      <c r="C49" s="70"/>
      <c r="D49" s="70"/>
      <c r="E49" s="70"/>
      <c r="F49" s="70"/>
      <c r="G49" s="70"/>
      <c r="H49" s="70"/>
      <c r="I49" s="70"/>
    </row>
    <row r="50" spans="1:9" ht="48" customHeight="1" x14ac:dyDescent="0.2">
      <c r="A50" s="71" t="s">
        <v>78</v>
      </c>
      <c r="B50" s="71"/>
      <c r="C50" s="29"/>
      <c r="D50" s="29"/>
      <c r="E50" s="29"/>
      <c r="F50" s="3" t="s">
        <v>16</v>
      </c>
      <c r="G50" s="35" t="s">
        <v>81</v>
      </c>
      <c r="H50" s="35" t="s">
        <v>72</v>
      </c>
      <c r="I50" s="36" t="s">
        <v>74</v>
      </c>
    </row>
    <row r="51" spans="1:9" x14ac:dyDescent="0.2">
      <c r="A51" s="1" t="s">
        <v>79</v>
      </c>
      <c r="B51" s="33">
        <v>0.9</v>
      </c>
      <c r="C51" s="29"/>
      <c r="D51" s="29"/>
      <c r="E51" s="29"/>
      <c r="F51" s="6">
        <f t="shared" ref="F51:F57" si="2">E3</f>
        <v>0</v>
      </c>
      <c r="G51" s="33">
        <f>MAX($B$51-F51,0)</f>
        <v>0.9</v>
      </c>
      <c r="H51" s="33">
        <f t="shared" ref="H51:H59" si="3">$G51+$G3</f>
        <v>0.30000000000000004</v>
      </c>
      <c r="I51" s="37">
        <f t="shared" ref="I51:I67" si="4">$H51-$B$6</f>
        <v>0.17450000000000004</v>
      </c>
    </row>
    <row r="52" spans="1:9" x14ac:dyDescent="0.2">
      <c r="A52" s="29"/>
      <c r="B52" s="29"/>
      <c r="C52" s="29"/>
      <c r="D52" s="29"/>
      <c r="E52" s="29"/>
      <c r="F52" s="6">
        <f t="shared" si="2"/>
        <v>0.1</v>
      </c>
      <c r="G52" s="33">
        <f t="shared" ref="G52:G67" si="5">MAX($B$51-F52,0)</f>
        <v>0.8</v>
      </c>
      <c r="H52" s="33">
        <f t="shared" si="3"/>
        <v>0.30000000000000004</v>
      </c>
      <c r="I52" s="37">
        <f t="shared" si="4"/>
        <v>0.17450000000000004</v>
      </c>
    </row>
    <row r="53" spans="1:9" ht="32" customHeight="1" x14ac:dyDescent="0.2">
      <c r="A53" s="29"/>
      <c r="B53" s="29"/>
      <c r="C53" s="29"/>
      <c r="D53" s="29"/>
      <c r="E53" s="29"/>
      <c r="F53" s="6">
        <f t="shared" si="2"/>
        <v>0.2</v>
      </c>
      <c r="G53" s="33">
        <f t="shared" si="5"/>
        <v>0.7</v>
      </c>
      <c r="H53" s="33">
        <f t="shared" si="3"/>
        <v>0.3</v>
      </c>
      <c r="I53" s="37">
        <f t="shared" si="4"/>
        <v>0.17449999999999999</v>
      </c>
    </row>
    <row r="54" spans="1:9" x14ac:dyDescent="0.2">
      <c r="A54" s="29"/>
      <c r="B54" s="29"/>
      <c r="C54" s="29"/>
      <c r="D54" s="29"/>
      <c r="E54" s="29"/>
      <c r="F54" s="6">
        <f t="shared" si="2"/>
        <v>0.3</v>
      </c>
      <c r="G54" s="33">
        <f t="shared" si="5"/>
        <v>0.60000000000000009</v>
      </c>
      <c r="H54" s="33">
        <f t="shared" si="3"/>
        <v>0.3000000000000001</v>
      </c>
      <c r="I54" s="37">
        <f t="shared" si="4"/>
        <v>0.1745000000000001</v>
      </c>
    </row>
    <row r="55" spans="1:9" x14ac:dyDescent="0.2">
      <c r="A55" s="29"/>
      <c r="B55" s="29"/>
      <c r="C55" s="29"/>
      <c r="D55" s="29"/>
      <c r="E55" s="29"/>
      <c r="F55" s="6">
        <f t="shared" si="2"/>
        <v>0.4</v>
      </c>
      <c r="G55" s="33">
        <f t="shared" si="5"/>
        <v>0.5</v>
      </c>
      <c r="H55" s="33">
        <f t="shared" si="3"/>
        <v>0.30000000000000004</v>
      </c>
      <c r="I55" s="37">
        <f t="shared" si="4"/>
        <v>0.17450000000000004</v>
      </c>
    </row>
    <row r="56" spans="1:9" x14ac:dyDescent="0.2">
      <c r="A56" s="29"/>
      <c r="B56" s="29"/>
      <c r="C56" s="29"/>
      <c r="D56" s="29"/>
      <c r="E56" s="29"/>
      <c r="F56" s="6">
        <f t="shared" si="2"/>
        <v>0.5</v>
      </c>
      <c r="G56" s="33">
        <f t="shared" si="5"/>
        <v>0.4</v>
      </c>
      <c r="H56" s="33">
        <f t="shared" si="3"/>
        <v>0.30000000000000004</v>
      </c>
      <c r="I56" s="37">
        <f t="shared" si="4"/>
        <v>0.17450000000000004</v>
      </c>
    </row>
    <row r="57" spans="1:9" x14ac:dyDescent="0.2">
      <c r="A57" s="29"/>
      <c r="B57" s="29"/>
      <c r="C57" s="29"/>
      <c r="D57" s="29"/>
      <c r="E57" s="29"/>
      <c r="F57" s="6">
        <f t="shared" si="2"/>
        <v>0.6</v>
      </c>
      <c r="G57" s="33">
        <f t="shared" si="5"/>
        <v>0.30000000000000004</v>
      </c>
      <c r="H57" s="33">
        <f t="shared" si="3"/>
        <v>0.30000000000000004</v>
      </c>
      <c r="I57" s="37">
        <f t="shared" si="4"/>
        <v>0.17450000000000004</v>
      </c>
    </row>
    <row r="58" spans="1:9" x14ac:dyDescent="0.2">
      <c r="A58" s="29"/>
      <c r="B58" s="29"/>
      <c r="C58" s="29"/>
      <c r="D58" s="29"/>
      <c r="E58" s="29"/>
      <c r="F58" s="6">
        <f>E11</f>
        <v>0.7</v>
      </c>
      <c r="G58" s="33">
        <f t="shared" si="5"/>
        <v>0.20000000000000007</v>
      </c>
      <c r="H58" s="33">
        <f t="shared" si="3"/>
        <v>0.20000000000000007</v>
      </c>
      <c r="I58" s="37">
        <f t="shared" si="4"/>
        <v>7.4500000000000066E-2</v>
      </c>
    </row>
    <row r="59" spans="1:9" x14ac:dyDescent="0.2">
      <c r="A59" s="29"/>
      <c r="B59" s="29"/>
      <c r="C59" s="29"/>
      <c r="D59" s="29"/>
      <c r="E59" s="29"/>
      <c r="F59" s="6">
        <v>0.77449999999999997</v>
      </c>
      <c r="G59" s="33">
        <f>MAX($B$51-F59,0)</f>
        <v>0.12550000000000006</v>
      </c>
      <c r="H59" s="33">
        <f t="shared" si="3"/>
        <v>0.12550000000000006</v>
      </c>
      <c r="I59" s="37">
        <f t="shared" si="4"/>
        <v>0</v>
      </c>
    </row>
    <row r="60" spans="1:9" x14ac:dyDescent="0.2">
      <c r="A60" s="29"/>
      <c r="B60" s="29"/>
      <c r="C60" s="29"/>
      <c r="D60" s="29"/>
      <c r="E60" s="29"/>
      <c r="F60" s="6">
        <f>E12</f>
        <v>0.8</v>
      </c>
      <c r="G60" s="33">
        <f t="shared" si="5"/>
        <v>9.9999999999999978E-2</v>
      </c>
      <c r="H60" s="33">
        <f t="shared" ref="H60:H67" si="6">$G60+$G11</f>
        <v>9.9999999999999978E-2</v>
      </c>
      <c r="I60" s="37">
        <f t="shared" si="4"/>
        <v>-2.5500000000000023E-2</v>
      </c>
    </row>
    <row r="61" spans="1:9" x14ac:dyDescent="0.2">
      <c r="A61" s="29"/>
      <c r="B61" s="29"/>
      <c r="C61" s="29"/>
      <c r="D61" s="29"/>
      <c r="E61" s="29"/>
      <c r="F61" s="6">
        <f>E13</f>
        <v>0.9</v>
      </c>
      <c r="G61" s="33">
        <f t="shared" si="5"/>
        <v>0</v>
      </c>
      <c r="H61" s="33">
        <f t="shared" si="6"/>
        <v>0</v>
      </c>
      <c r="I61" s="37">
        <f t="shared" si="4"/>
        <v>-0.1255</v>
      </c>
    </row>
    <row r="62" spans="1:9" x14ac:dyDescent="0.2">
      <c r="A62" s="29"/>
      <c r="B62" s="29"/>
      <c r="C62" s="29"/>
      <c r="D62" s="29"/>
      <c r="E62" s="29"/>
      <c r="F62" s="6">
        <f>E14</f>
        <v>1</v>
      </c>
      <c r="G62" s="33">
        <f t="shared" si="5"/>
        <v>0</v>
      </c>
      <c r="H62" s="33">
        <f t="shared" si="6"/>
        <v>0</v>
      </c>
      <c r="I62" s="37">
        <f t="shared" si="4"/>
        <v>-0.1255</v>
      </c>
    </row>
    <row r="63" spans="1:9" x14ac:dyDescent="0.2">
      <c r="A63" s="29"/>
      <c r="B63" s="29"/>
      <c r="C63" s="29"/>
      <c r="D63" s="29"/>
      <c r="E63" s="29"/>
      <c r="F63" s="6">
        <v>1.1000000000000001</v>
      </c>
      <c r="G63" s="33">
        <f>MAX($B$51-F63,0)</f>
        <v>0</v>
      </c>
      <c r="H63" s="33">
        <f t="shared" si="6"/>
        <v>0</v>
      </c>
      <c r="I63" s="37">
        <f t="shared" si="4"/>
        <v>-0.1255</v>
      </c>
    </row>
    <row r="64" spans="1:9" x14ac:dyDescent="0.2">
      <c r="A64" s="29"/>
      <c r="B64" s="29"/>
      <c r="C64" s="29"/>
      <c r="D64" s="29"/>
      <c r="E64" s="29"/>
      <c r="F64" s="6">
        <v>1.2</v>
      </c>
      <c r="G64" s="33">
        <f t="shared" si="5"/>
        <v>0</v>
      </c>
      <c r="H64" s="33">
        <f t="shared" si="6"/>
        <v>0</v>
      </c>
      <c r="I64" s="37">
        <f t="shared" si="4"/>
        <v>-0.1255</v>
      </c>
    </row>
    <row r="65" spans="1:9" x14ac:dyDescent="0.2">
      <c r="A65" s="29"/>
      <c r="B65" s="29"/>
      <c r="C65" s="29"/>
      <c r="D65" s="29"/>
      <c r="E65" s="29"/>
      <c r="F65" s="6">
        <v>1.3</v>
      </c>
      <c r="G65" s="33">
        <f t="shared" si="5"/>
        <v>0</v>
      </c>
      <c r="H65" s="33">
        <f t="shared" si="6"/>
        <v>0</v>
      </c>
      <c r="I65" s="37">
        <f t="shared" si="4"/>
        <v>-0.1255</v>
      </c>
    </row>
    <row r="66" spans="1:9" x14ac:dyDescent="0.2">
      <c r="A66" s="29"/>
      <c r="B66" s="29"/>
      <c r="C66" s="29"/>
      <c r="D66" s="29"/>
      <c r="E66" s="29"/>
      <c r="F66" s="6">
        <v>1.4</v>
      </c>
      <c r="G66" s="33">
        <f t="shared" si="5"/>
        <v>0</v>
      </c>
      <c r="H66" s="33">
        <f t="shared" si="6"/>
        <v>0</v>
      </c>
      <c r="I66" s="37">
        <f t="shared" si="4"/>
        <v>-0.1255</v>
      </c>
    </row>
    <row r="67" spans="1:9" x14ac:dyDescent="0.2">
      <c r="A67" s="29"/>
      <c r="B67" s="29"/>
      <c r="C67" s="29"/>
      <c r="D67" s="29"/>
      <c r="E67" s="29"/>
      <c r="F67" s="8">
        <v>1.5</v>
      </c>
      <c r="G67" s="44">
        <f t="shared" si="5"/>
        <v>0</v>
      </c>
      <c r="H67" s="44">
        <f t="shared" si="6"/>
        <v>0</v>
      </c>
      <c r="I67" s="43">
        <f t="shared" si="4"/>
        <v>-0.1255</v>
      </c>
    </row>
    <row r="68" spans="1:9" x14ac:dyDescent="0.2">
      <c r="A68" s="29"/>
      <c r="B68" s="29"/>
      <c r="C68" s="29"/>
      <c r="D68" s="29"/>
      <c r="E68" s="29"/>
    </row>
    <row r="69" spans="1:9" x14ac:dyDescent="0.2">
      <c r="A69" s="71" t="s">
        <v>131</v>
      </c>
      <c r="B69" s="71"/>
      <c r="C69" s="71"/>
      <c r="D69" s="71"/>
      <c r="E69" s="71"/>
      <c r="F69" s="71"/>
      <c r="G69" s="71"/>
      <c r="H69" s="71"/>
      <c r="I69" s="71"/>
    </row>
    <row r="70" spans="1:9" ht="16" customHeight="1" x14ac:dyDescent="0.2">
      <c r="A70" s="81" t="s">
        <v>132</v>
      </c>
      <c r="B70" s="81"/>
      <c r="C70" s="81"/>
      <c r="D70" s="81"/>
      <c r="E70" s="81"/>
      <c r="F70" s="81"/>
      <c r="G70" s="81"/>
      <c r="H70" s="81"/>
      <c r="I70" s="81"/>
    </row>
    <row r="71" spans="1:9" x14ac:dyDescent="0.2">
      <c r="A71" s="81"/>
      <c r="B71" s="81"/>
      <c r="C71" s="81"/>
      <c r="D71" s="81"/>
      <c r="E71" s="81"/>
      <c r="F71" s="81"/>
      <c r="G71" s="81"/>
      <c r="H71" s="81"/>
      <c r="I71" s="81"/>
    </row>
    <row r="72" spans="1:9" x14ac:dyDescent="0.2">
      <c r="A72" s="81"/>
      <c r="B72" s="81"/>
      <c r="C72" s="81"/>
      <c r="D72" s="81"/>
      <c r="E72" s="81"/>
      <c r="F72" s="81"/>
      <c r="G72" s="81"/>
      <c r="H72" s="81"/>
      <c r="I72" s="81"/>
    </row>
    <row r="73" spans="1:9" x14ac:dyDescent="0.2">
      <c r="A73" s="81"/>
      <c r="B73" s="81"/>
      <c r="C73" s="81"/>
      <c r="D73" s="81"/>
      <c r="E73" s="81"/>
      <c r="F73" s="81"/>
      <c r="G73" s="81"/>
      <c r="H73" s="81"/>
      <c r="I73" s="81"/>
    </row>
  </sheetData>
  <mergeCells count="11">
    <mergeCell ref="A1:I1"/>
    <mergeCell ref="A21:I21"/>
    <mergeCell ref="A70:I73"/>
    <mergeCell ref="A69:I69"/>
    <mergeCell ref="A22:I22"/>
    <mergeCell ref="A8:C8"/>
    <mergeCell ref="A49:I49"/>
    <mergeCell ref="A50:B50"/>
    <mergeCell ref="A2:C2"/>
    <mergeCell ref="B6:C6"/>
    <mergeCell ref="A9:C14"/>
  </mergeCell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89F42-0EFB-BD49-86F8-48E66D8796F1}">
  <sheetPr>
    <tabColor rgb="FF889300"/>
  </sheetPr>
  <dimension ref="A1:F22"/>
  <sheetViews>
    <sheetView zoomScale="110" zoomScaleNormal="110" workbookViewId="0">
      <pane ySplit="1" topLeftCell="A2" activePane="bottomLeft" state="frozen"/>
      <selection pane="bottomLeft" activeCell="B27" sqref="B27"/>
    </sheetView>
  </sheetViews>
  <sheetFormatPr baseColWidth="10" defaultRowHeight="16" x14ac:dyDescent="0.2"/>
  <cols>
    <col min="1" max="1" width="40.83203125" bestFit="1" customWidth="1"/>
    <col min="2" max="2" width="12.83203125" bestFit="1" customWidth="1"/>
    <col min="3" max="4" width="11.5" bestFit="1" customWidth="1"/>
    <col min="5" max="5" width="12.33203125" bestFit="1" customWidth="1"/>
    <col min="6" max="6" width="17.6640625" bestFit="1" customWidth="1"/>
  </cols>
  <sheetData>
    <row r="1" spans="1:6" x14ac:dyDescent="0.2">
      <c r="A1" s="73" t="s">
        <v>80</v>
      </c>
      <c r="B1" s="73"/>
      <c r="C1" s="73"/>
      <c r="D1" s="73"/>
      <c r="E1" s="73"/>
      <c r="F1" s="73"/>
    </row>
    <row r="2" spans="1:6" x14ac:dyDescent="0.2">
      <c r="A2" s="74" t="s">
        <v>20</v>
      </c>
      <c r="B2" s="74"/>
      <c r="C2" s="74"/>
      <c r="D2" s="29"/>
      <c r="E2" s="83" t="s">
        <v>1</v>
      </c>
      <c r="F2" s="83"/>
    </row>
    <row r="3" spans="1:6" x14ac:dyDescent="0.2">
      <c r="A3" s="1" t="s">
        <v>83</v>
      </c>
      <c r="B3" s="2">
        <v>1</v>
      </c>
      <c r="C3" s="2">
        <v>2</v>
      </c>
      <c r="D3" s="29"/>
      <c r="E3" s="1" t="s">
        <v>86</v>
      </c>
      <c r="F3" s="2">
        <f>B4*(B6-B5)</f>
        <v>658</v>
      </c>
    </row>
    <row r="4" spans="1:6" x14ac:dyDescent="0.2">
      <c r="A4" s="1" t="s">
        <v>84</v>
      </c>
      <c r="B4" s="2">
        <v>4.7</v>
      </c>
      <c r="C4" s="2">
        <v>3.5</v>
      </c>
      <c r="D4" s="29"/>
      <c r="E4" s="1" t="s">
        <v>85</v>
      </c>
      <c r="F4" s="2">
        <f>C4*(C6-C5)</f>
        <v>665</v>
      </c>
    </row>
    <row r="5" spans="1:6" x14ac:dyDescent="0.2">
      <c r="A5" s="1" t="s">
        <v>87</v>
      </c>
      <c r="B5" s="2">
        <v>320</v>
      </c>
      <c r="C5" s="2">
        <v>510</v>
      </c>
      <c r="D5" s="29"/>
      <c r="E5" s="29"/>
      <c r="F5" s="29"/>
    </row>
    <row r="6" spans="1:6" x14ac:dyDescent="0.2">
      <c r="A6" s="1" t="s">
        <v>96</v>
      </c>
      <c r="B6" s="2">
        <v>460</v>
      </c>
      <c r="C6" s="2">
        <v>700</v>
      </c>
      <c r="D6" s="29"/>
      <c r="E6" s="29"/>
      <c r="F6" s="29"/>
    </row>
    <row r="7" spans="1:6" x14ac:dyDescent="0.2">
      <c r="A7" s="1" t="s">
        <v>94</v>
      </c>
      <c r="B7" s="2">
        <v>0.05</v>
      </c>
      <c r="C7" s="2">
        <v>7.0000000000000007E-2</v>
      </c>
      <c r="D7" s="29"/>
      <c r="E7" s="29"/>
      <c r="F7" s="29"/>
    </row>
    <row r="8" spans="1:6" x14ac:dyDescent="0.2">
      <c r="A8" s="29"/>
      <c r="B8" s="29"/>
      <c r="C8" s="29"/>
      <c r="D8" s="29"/>
      <c r="E8" s="29"/>
      <c r="F8" s="29"/>
    </row>
    <row r="9" spans="1:6" x14ac:dyDescent="0.2">
      <c r="A9" s="83" t="s">
        <v>101</v>
      </c>
      <c r="B9" s="83"/>
      <c r="C9" s="83"/>
      <c r="D9" s="83"/>
      <c r="E9" s="29"/>
      <c r="F9" s="29"/>
    </row>
    <row r="10" spans="1:6" x14ac:dyDescent="0.2">
      <c r="A10" s="74" t="s">
        <v>88</v>
      </c>
      <c r="B10" s="74"/>
      <c r="C10" s="74"/>
      <c r="D10" s="74"/>
      <c r="E10" s="29"/>
      <c r="F10" s="29"/>
    </row>
    <row r="11" spans="1:6" x14ac:dyDescent="0.2">
      <c r="A11" s="48" t="s">
        <v>89</v>
      </c>
      <c r="B11" s="48" t="s">
        <v>92</v>
      </c>
      <c r="C11" s="48" t="s">
        <v>90</v>
      </c>
      <c r="D11" s="48" t="s">
        <v>91</v>
      </c>
      <c r="E11" s="29"/>
      <c r="F11" s="29"/>
    </row>
    <row r="12" spans="1:6" x14ac:dyDescent="0.2">
      <c r="A12" s="48" t="s">
        <v>95</v>
      </c>
      <c r="B12" s="46" t="s">
        <v>97</v>
      </c>
      <c r="C12" s="2" t="s">
        <v>106</v>
      </c>
      <c r="D12" s="2" t="s">
        <v>107</v>
      </c>
      <c r="E12" s="29"/>
      <c r="F12" s="1" t="s">
        <v>102</v>
      </c>
    </row>
    <row r="13" spans="1:6" x14ac:dyDescent="0.2">
      <c r="A13" s="48" t="s">
        <v>98</v>
      </c>
      <c r="B13" s="49">
        <f>-C13/(1+B7)^1</f>
        <v>-626.66666666666663</v>
      </c>
      <c r="C13" s="47">
        <f>B4*(B6-B5)</f>
        <v>658</v>
      </c>
      <c r="D13" s="2"/>
      <c r="E13" s="29"/>
      <c r="F13" s="45" t="s">
        <v>105</v>
      </c>
    </row>
    <row r="14" spans="1:6" x14ac:dyDescent="0.2">
      <c r="A14" s="48" t="s">
        <v>99</v>
      </c>
      <c r="B14" s="49">
        <f>-D14/(1+C7)^2</f>
        <v>-580.83675430168569</v>
      </c>
      <c r="C14" s="46"/>
      <c r="D14" s="47">
        <f>C4*(C6-C5)</f>
        <v>665</v>
      </c>
      <c r="E14" s="29"/>
      <c r="F14" s="50" t="s">
        <v>103</v>
      </c>
    </row>
    <row r="15" spans="1:6" x14ac:dyDescent="0.2">
      <c r="A15" s="48" t="s">
        <v>100</v>
      </c>
      <c r="B15" s="51">
        <f>ABS(B13+B14)</f>
        <v>1207.5034209683522</v>
      </c>
      <c r="C15" s="2" t="s">
        <v>108</v>
      </c>
      <c r="D15" s="2" t="s">
        <v>109</v>
      </c>
      <c r="E15" s="29"/>
      <c r="F15" s="51" t="s">
        <v>104</v>
      </c>
    </row>
    <row r="16" spans="1:6" x14ac:dyDescent="0.2">
      <c r="A16" s="29"/>
      <c r="B16" s="29"/>
      <c r="C16" s="29"/>
      <c r="D16" s="29"/>
      <c r="E16" s="29"/>
      <c r="F16" s="29"/>
    </row>
    <row r="17" spans="5:6" x14ac:dyDescent="0.2">
      <c r="E17" s="29"/>
      <c r="F17" s="29"/>
    </row>
    <row r="18" spans="5:6" x14ac:dyDescent="0.2">
      <c r="E18" s="29"/>
      <c r="F18" s="29"/>
    </row>
    <row r="19" spans="5:6" x14ac:dyDescent="0.2">
      <c r="E19" s="29"/>
      <c r="F19" s="29"/>
    </row>
    <row r="20" spans="5:6" x14ac:dyDescent="0.2">
      <c r="E20" s="29"/>
      <c r="F20" s="29"/>
    </row>
    <row r="21" spans="5:6" x14ac:dyDescent="0.2">
      <c r="E21" s="29"/>
      <c r="F21" s="29"/>
    </row>
    <row r="22" spans="5:6" x14ac:dyDescent="0.2">
      <c r="E22" s="29"/>
      <c r="F22" s="29"/>
    </row>
  </sheetData>
  <mergeCells count="5">
    <mergeCell ref="A1:F1"/>
    <mergeCell ref="A10:D10"/>
    <mergeCell ref="A9:D9"/>
    <mergeCell ref="E2:F2"/>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1C733-8411-3B47-AC3C-27315D01450A}">
  <sheetPr>
    <tabColor rgb="FF966B3B"/>
  </sheetPr>
  <dimension ref="A1:K39"/>
  <sheetViews>
    <sheetView tabSelected="1" zoomScale="75" zoomScaleNormal="75" workbookViewId="0">
      <pane ySplit="1" topLeftCell="A2" activePane="bottomLeft" state="frozen"/>
      <selection pane="bottomLeft" activeCell="H46" sqref="H46"/>
    </sheetView>
  </sheetViews>
  <sheetFormatPr baseColWidth="10" defaultRowHeight="16" x14ac:dyDescent="0.2"/>
  <cols>
    <col min="1" max="1" width="22.33203125" customWidth="1"/>
    <col min="2" max="2" width="13.6640625" customWidth="1"/>
    <col min="3" max="3" width="12.6640625" customWidth="1"/>
    <col min="4" max="4" width="15.1640625" customWidth="1"/>
    <col min="5" max="5" width="16.5" customWidth="1"/>
    <col min="6" max="6" width="14.6640625" customWidth="1"/>
    <col min="7" max="7" width="24.5" customWidth="1"/>
    <col min="8" max="8" width="23.6640625" customWidth="1"/>
    <col min="9" max="9" width="7.1640625" customWidth="1"/>
    <col min="10" max="10" width="12.6640625" bestFit="1" customWidth="1"/>
    <col min="11" max="11" width="14.33203125" bestFit="1" customWidth="1"/>
  </cols>
  <sheetData>
    <row r="1" spans="1:11" x14ac:dyDescent="0.2">
      <c r="A1" s="73" t="s">
        <v>93</v>
      </c>
      <c r="B1" s="73"/>
      <c r="C1" s="73"/>
      <c r="D1" s="73"/>
      <c r="E1" s="73"/>
      <c r="F1" s="73"/>
      <c r="G1" s="73"/>
      <c r="H1" s="73"/>
      <c r="I1" s="73"/>
    </row>
    <row r="2" spans="1:11" x14ac:dyDescent="0.2">
      <c r="A2" s="71" t="s">
        <v>20</v>
      </c>
      <c r="B2" s="71"/>
      <c r="C2" s="71"/>
      <c r="D2" s="71"/>
      <c r="E2" s="71"/>
      <c r="F2" s="71"/>
      <c r="G2" s="71"/>
      <c r="H2" s="71"/>
      <c r="I2" s="71"/>
    </row>
    <row r="3" spans="1:11" ht="48" customHeight="1" x14ac:dyDescent="0.2">
      <c r="A3" s="1" t="s">
        <v>83</v>
      </c>
      <c r="B3" s="24" t="s">
        <v>110</v>
      </c>
      <c r="C3" s="1" t="s">
        <v>111</v>
      </c>
      <c r="D3" s="24" t="s">
        <v>112</v>
      </c>
      <c r="E3" s="24" t="s">
        <v>118</v>
      </c>
      <c r="F3" s="24" t="s">
        <v>117</v>
      </c>
      <c r="G3" s="24" t="s">
        <v>114</v>
      </c>
      <c r="H3" s="24" t="s">
        <v>116</v>
      </c>
      <c r="I3" s="24" t="s">
        <v>113</v>
      </c>
    </row>
    <row r="4" spans="1:11" x14ac:dyDescent="0.2">
      <c r="A4" s="2" t="s">
        <v>92</v>
      </c>
      <c r="B4" s="2"/>
      <c r="C4" s="2"/>
      <c r="D4" s="57">
        <v>1.2</v>
      </c>
      <c r="E4" s="2"/>
      <c r="F4" s="2"/>
      <c r="G4" s="2"/>
      <c r="H4" s="2"/>
      <c r="I4" s="72">
        <v>2.5000000000000001E-2</v>
      </c>
    </row>
    <row r="5" spans="1:11" x14ac:dyDescent="0.2">
      <c r="A5" s="2" t="s">
        <v>90</v>
      </c>
      <c r="B5" s="2">
        <v>400000</v>
      </c>
      <c r="C5" s="57">
        <v>2.5</v>
      </c>
      <c r="D5" s="2"/>
      <c r="E5" s="2">
        <v>1.5</v>
      </c>
      <c r="F5" s="2">
        <v>0.9</v>
      </c>
      <c r="G5" s="2">
        <v>1.25</v>
      </c>
      <c r="H5" s="2">
        <v>0.75</v>
      </c>
      <c r="I5" s="72"/>
    </row>
    <row r="6" spans="1:11" x14ac:dyDescent="0.2">
      <c r="A6" s="2" t="s">
        <v>91</v>
      </c>
      <c r="B6" s="2">
        <v>400000</v>
      </c>
      <c r="C6" s="57">
        <v>2.5</v>
      </c>
      <c r="D6" s="2"/>
      <c r="E6" s="2">
        <v>1.5</v>
      </c>
      <c r="F6" s="2">
        <v>0.9</v>
      </c>
      <c r="G6" s="2">
        <v>1.25</v>
      </c>
      <c r="H6" s="2">
        <v>0.75</v>
      </c>
      <c r="I6" s="72"/>
    </row>
    <row r="7" spans="1:11" ht="16" customHeight="1" x14ac:dyDescent="0.2">
      <c r="A7" s="53"/>
      <c r="B7" s="29"/>
      <c r="C7" s="29"/>
      <c r="D7" s="29"/>
      <c r="E7" s="29"/>
      <c r="F7" s="29"/>
      <c r="G7" s="29"/>
      <c r="H7" s="29"/>
      <c r="I7" s="29"/>
    </row>
    <row r="8" spans="1:11" ht="32" customHeight="1" x14ac:dyDescent="0.2">
      <c r="A8" s="24" t="s">
        <v>83</v>
      </c>
      <c r="B8" s="24" t="s">
        <v>125</v>
      </c>
      <c r="C8" s="24" t="s">
        <v>126</v>
      </c>
      <c r="D8" s="29"/>
      <c r="E8" s="29"/>
      <c r="F8" s="29"/>
      <c r="G8" s="29"/>
      <c r="H8" s="29"/>
      <c r="I8" s="29"/>
    </row>
    <row r="9" spans="1:11" ht="16" customHeight="1" x14ac:dyDescent="0.2">
      <c r="A9" s="2" t="s">
        <v>90</v>
      </c>
      <c r="B9" s="2">
        <f>(1+I4-H5)/(G5-H5)</f>
        <v>0.54999999999999982</v>
      </c>
      <c r="C9" s="2">
        <f>1-B9</f>
        <v>0.45000000000000018</v>
      </c>
      <c r="D9" s="29"/>
      <c r="E9" s="29"/>
      <c r="F9" s="29"/>
      <c r="G9" s="29"/>
      <c r="H9" s="29"/>
      <c r="I9" s="29"/>
    </row>
    <row r="10" spans="1:11" ht="16" customHeight="1" x14ac:dyDescent="0.2">
      <c r="A10" s="2" t="s">
        <v>91</v>
      </c>
      <c r="B10" s="2">
        <f>B9</f>
        <v>0.54999999999999982</v>
      </c>
      <c r="C10" s="2">
        <f>C9</f>
        <v>0.45000000000000018</v>
      </c>
      <c r="D10" s="29"/>
      <c r="E10" s="29"/>
      <c r="F10" s="29"/>
      <c r="G10" s="29"/>
      <c r="H10" s="29"/>
      <c r="I10" s="29"/>
    </row>
    <row r="12" spans="1:11" x14ac:dyDescent="0.2">
      <c r="A12" s="70" t="s">
        <v>1</v>
      </c>
      <c r="B12" s="70"/>
      <c r="C12" s="70"/>
      <c r="D12" s="70"/>
      <c r="E12" s="70"/>
      <c r="F12" s="70"/>
      <c r="G12" s="70"/>
      <c r="H12" s="70"/>
    </row>
    <row r="13" spans="1:11" ht="16" customHeight="1" x14ac:dyDescent="0.2">
      <c r="A13" s="74" t="s">
        <v>119</v>
      </c>
      <c r="B13" s="74"/>
      <c r="C13" s="74"/>
      <c r="D13" s="74"/>
      <c r="E13" s="74"/>
      <c r="F13" s="74"/>
      <c r="G13" s="74"/>
      <c r="H13" s="74"/>
    </row>
    <row r="14" spans="1:11" x14ac:dyDescent="0.2">
      <c r="A14" s="58"/>
      <c r="B14" s="59"/>
      <c r="C14" s="59"/>
      <c r="D14" s="59"/>
      <c r="E14" s="59"/>
      <c r="F14" s="59"/>
      <c r="G14" s="60" t="s">
        <v>123</v>
      </c>
      <c r="H14" s="61">
        <f>E16*E6</f>
        <v>2.6999999999999997</v>
      </c>
      <c r="I14" s="52"/>
      <c r="J14" s="55">
        <f>(C9*K18+B9*K19)/(1+I4)</f>
        <v>754111.12433075544</v>
      </c>
      <c r="K14" s="56"/>
    </row>
    <row r="15" spans="1:11" x14ac:dyDescent="0.2">
      <c r="A15" s="12"/>
      <c r="B15" s="62"/>
      <c r="C15" s="62"/>
      <c r="D15" s="62"/>
      <c r="E15" s="13"/>
      <c r="F15" s="13"/>
      <c r="G15" s="17" t="s">
        <v>121</v>
      </c>
      <c r="H15" s="14"/>
      <c r="J15" s="56"/>
      <c r="K15" s="56"/>
    </row>
    <row r="16" spans="1:11" x14ac:dyDescent="0.2">
      <c r="A16" s="12"/>
      <c r="B16" s="13"/>
      <c r="C16" s="13"/>
      <c r="D16" s="17" t="s">
        <v>123</v>
      </c>
      <c r="E16" s="63">
        <f>D4*E5</f>
        <v>1.7999999999999998</v>
      </c>
      <c r="F16" s="13"/>
      <c r="G16" s="17" t="s">
        <v>127</v>
      </c>
      <c r="H16" s="64">
        <f>(C6-H14)*B6</f>
        <v>-79999.999999999898</v>
      </c>
      <c r="J16" s="56"/>
      <c r="K16" s="56"/>
    </row>
    <row r="17" spans="1:11" x14ac:dyDescent="0.2">
      <c r="A17" s="12"/>
      <c r="B17" s="13"/>
      <c r="C17" s="13"/>
      <c r="D17" s="17" t="s">
        <v>120</v>
      </c>
      <c r="E17" s="16"/>
      <c r="F17" s="13"/>
      <c r="G17" s="13"/>
      <c r="H17" s="18"/>
      <c r="J17" s="56"/>
      <c r="K17" s="56"/>
    </row>
    <row r="18" spans="1:11" x14ac:dyDescent="0.2">
      <c r="A18" s="15" t="s">
        <v>123</v>
      </c>
      <c r="B18" s="63">
        <f>D4</f>
        <v>1.2</v>
      </c>
      <c r="C18" s="13"/>
      <c r="D18" s="17" t="s">
        <v>127</v>
      </c>
      <c r="E18" s="63">
        <f>(C5-E16)*B5</f>
        <v>280000.00000000006</v>
      </c>
      <c r="F18" s="13"/>
      <c r="G18" s="65" t="s">
        <v>123</v>
      </c>
      <c r="H18" s="64">
        <f>E16*F6</f>
        <v>1.6199999999999999</v>
      </c>
      <c r="J18" s="56"/>
      <c r="K18" s="55">
        <f>E18+(C10*H16+B10*H20)/(1+I4)</f>
        <v>433756.0975609757</v>
      </c>
    </row>
    <row r="19" spans="1:11" x14ac:dyDescent="0.2">
      <c r="A19" s="15" t="s">
        <v>92</v>
      </c>
      <c r="B19" s="16"/>
      <c r="C19" s="13"/>
      <c r="D19" s="13"/>
      <c r="E19" s="13"/>
      <c r="F19" s="13"/>
      <c r="G19" s="17" t="s">
        <v>122</v>
      </c>
      <c r="H19" s="14"/>
      <c r="J19" s="56"/>
      <c r="K19" s="55">
        <f>E22+(C10*H20+B10*H24)/(1+I4)</f>
        <v>1050497.5609756098</v>
      </c>
    </row>
    <row r="20" spans="1:11" x14ac:dyDescent="0.2">
      <c r="A20" s="15" t="s">
        <v>128</v>
      </c>
      <c r="B20" s="68">
        <f>(C9*E18+B9*E22)/(1+I4)^1+(C10*H16+B10*H20)/(1+I4)^2+(C10*H20+B10*H24)/(1+I4)^2</f>
        <v>1048442.5936942297</v>
      </c>
      <c r="C20" s="13"/>
      <c r="D20" s="65" t="s">
        <v>123</v>
      </c>
      <c r="E20" s="63">
        <f>D4*F5</f>
        <v>1.08</v>
      </c>
      <c r="F20" s="13"/>
      <c r="G20" s="17" t="s">
        <v>127</v>
      </c>
      <c r="H20" s="64">
        <f>(C6-H18)*B6</f>
        <v>352000.00000000006</v>
      </c>
    </row>
    <row r="21" spans="1:11" x14ac:dyDescent="0.2">
      <c r="A21" s="12"/>
      <c r="B21" s="13"/>
      <c r="C21" s="13"/>
      <c r="D21" s="17" t="s">
        <v>115</v>
      </c>
      <c r="E21" s="16"/>
      <c r="F21" s="13"/>
      <c r="G21" s="13"/>
      <c r="H21" s="18"/>
    </row>
    <row r="22" spans="1:11" x14ac:dyDescent="0.2">
      <c r="A22" s="12"/>
      <c r="B22" s="13"/>
      <c r="C22" s="13"/>
      <c r="D22" s="17" t="s">
        <v>127</v>
      </c>
      <c r="E22" s="63">
        <f>(C5-E20)*B5</f>
        <v>568000</v>
      </c>
      <c r="F22" s="13"/>
      <c r="G22" s="65" t="s">
        <v>123</v>
      </c>
      <c r="H22" s="64">
        <f>E20*F6</f>
        <v>0.97200000000000009</v>
      </c>
    </row>
    <row r="23" spans="1:11" x14ac:dyDescent="0.2">
      <c r="A23" s="12"/>
      <c r="B23" s="13"/>
      <c r="C23" s="13"/>
      <c r="D23" s="13"/>
      <c r="E23" s="13"/>
      <c r="F23" s="13"/>
      <c r="G23" s="17" t="s">
        <v>124</v>
      </c>
      <c r="H23" s="14"/>
    </row>
    <row r="24" spans="1:11" x14ac:dyDescent="0.2">
      <c r="A24" s="19"/>
      <c r="B24" s="20"/>
      <c r="C24" s="20"/>
      <c r="D24" s="20"/>
      <c r="E24" s="20"/>
      <c r="F24" s="20"/>
      <c r="G24" s="21" t="s">
        <v>127</v>
      </c>
      <c r="H24" s="66">
        <f>(C6-H22)*B6</f>
        <v>611200</v>
      </c>
    </row>
    <row r="27" spans="1:11" x14ac:dyDescent="0.2">
      <c r="A27" s="70" t="s">
        <v>6</v>
      </c>
      <c r="B27" s="70"/>
      <c r="C27" s="70"/>
      <c r="D27" s="70"/>
      <c r="E27" s="70"/>
      <c r="F27" s="70"/>
      <c r="G27" s="70"/>
      <c r="H27" s="70"/>
    </row>
    <row r="28" spans="1:11" x14ac:dyDescent="0.2">
      <c r="A28" s="71" t="s">
        <v>129</v>
      </c>
      <c r="B28" s="71"/>
      <c r="C28" s="71"/>
      <c r="D28" s="71"/>
      <c r="E28" s="71"/>
      <c r="F28" s="71"/>
      <c r="G28" s="71"/>
      <c r="H28" s="71"/>
    </row>
    <row r="29" spans="1:11" x14ac:dyDescent="0.2">
      <c r="A29" s="58"/>
      <c r="B29" s="59"/>
      <c r="C29" s="59"/>
      <c r="D29" s="59"/>
      <c r="E29" s="59"/>
      <c r="F29" s="59"/>
      <c r="G29" s="60" t="s">
        <v>123</v>
      </c>
      <c r="H29" s="61">
        <f>H14</f>
        <v>2.6999999999999997</v>
      </c>
    </row>
    <row r="30" spans="1:11" x14ac:dyDescent="0.2">
      <c r="A30" s="12"/>
      <c r="B30" s="62"/>
      <c r="C30" s="62"/>
      <c r="D30" s="62"/>
      <c r="E30" s="13"/>
      <c r="F30" s="13"/>
      <c r="G30" s="17" t="s">
        <v>121</v>
      </c>
      <c r="H30" s="14"/>
    </row>
    <row r="31" spans="1:11" x14ac:dyDescent="0.2">
      <c r="A31" s="12"/>
      <c r="B31" s="13"/>
      <c r="C31" s="13"/>
      <c r="D31" s="17" t="s">
        <v>123</v>
      </c>
      <c r="E31" s="63">
        <f>E16</f>
        <v>1.7999999999999998</v>
      </c>
      <c r="F31" s="13"/>
      <c r="G31" s="17" t="s">
        <v>127</v>
      </c>
      <c r="H31" s="64">
        <f>MAX(C6-H29,0)*600000</f>
        <v>0</v>
      </c>
    </row>
    <row r="32" spans="1:11" x14ac:dyDescent="0.2">
      <c r="A32" s="12"/>
      <c r="B32" s="13"/>
      <c r="C32" s="13"/>
      <c r="D32" s="17" t="s">
        <v>120</v>
      </c>
      <c r="E32" s="16"/>
      <c r="F32" s="13"/>
      <c r="G32" s="13"/>
      <c r="H32" s="18"/>
    </row>
    <row r="33" spans="1:8" x14ac:dyDescent="0.2">
      <c r="A33" s="15" t="s">
        <v>123</v>
      </c>
      <c r="B33" s="63">
        <f>D4</f>
        <v>1.2</v>
      </c>
      <c r="C33" s="13"/>
      <c r="D33" s="17" t="s">
        <v>127</v>
      </c>
      <c r="E33" s="63">
        <f>MAX(C5-E31,0)*B5</f>
        <v>280000.00000000006</v>
      </c>
      <c r="F33" s="13"/>
      <c r="G33" s="65" t="s">
        <v>123</v>
      </c>
      <c r="H33" s="64">
        <f>H18</f>
        <v>1.6199999999999999</v>
      </c>
    </row>
    <row r="34" spans="1:8" x14ac:dyDescent="0.2">
      <c r="A34" s="15" t="s">
        <v>92</v>
      </c>
      <c r="B34" s="16"/>
      <c r="C34" s="13"/>
      <c r="D34" s="13"/>
      <c r="E34" s="13"/>
      <c r="F34" s="13"/>
      <c r="G34" s="17" t="s">
        <v>122</v>
      </c>
      <c r="H34" s="14"/>
    </row>
    <row r="35" spans="1:8" x14ac:dyDescent="0.2">
      <c r="A35" s="15" t="s">
        <v>128</v>
      </c>
      <c r="B35" s="69">
        <f>(C9*E33+B9*E37)/(1+I4)^1+(C10*H31+B10*H35)/(1+I4)^2+(C10*H35+B10*H39)/(1+I4)^2</f>
        <v>1410208.2093991672</v>
      </c>
      <c r="C35" s="13"/>
      <c r="D35" s="65" t="s">
        <v>123</v>
      </c>
      <c r="E35" s="63">
        <f>E20</f>
        <v>1.08</v>
      </c>
      <c r="F35" s="13"/>
      <c r="G35" s="17" t="s">
        <v>127</v>
      </c>
      <c r="H35" s="64">
        <f>MAX(C6-H33)*600000</f>
        <v>528000.00000000012</v>
      </c>
    </row>
    <row r="36" spans="1:8" x14ac:dyDescent="0.2">
      <c r="A36" s="54" t="s">
        <v>130</v>
      </c>
      <c r="B36" s="67">
        <f>B35-B20</f>
        <v>361765.61570493749</v>
      </c>
      <c r="C36" s="13"/>
      <c r="D36" s="17" t="s">
        <v>115</v>
      </c>
      <c r="E36" s="16"/>
      <c r="F36" s="13"/>
      <c r="G36" s="13"/>
      <c r="H36" s="18"/>
    </row>
    <row r="37" spans="1:8" x14ac:dyDescent="0.2">
      <c r="A37" s="12"/>
      <c r="B37" s="13"/>
      <c r="C37" s="13"/>
      <c r="D37" s="17" t="s">
        <v>127</v>
      </c>
      <c r="E37" s="63">
        <f>MAX(C5-E35,0)*B5</f>
        <v>568000</v>
      </c>
      <c r="F37" s="13"/>
      <c r="G37" s="65" t="s">
        <v>123</v>
      </c>
      <c r="H37" s="64">
        <f>H22</f>
        <v>0.97200000000000009</v>
      </c>
    </row>
    <row r="38" spans="1:8" x14ac:dyDescent="0.2">
      <c r="A38" s="12"/>
      <c r="B38" s="13"/>
      <c r="C38" s="13"/>
      <c r="D38" s="13"/>
      <c r="E38" s="13"/>
      <c r="F38" s="13"/>
      <c r="G38" s="17" t="s">
        <v>124</v>
      </c>
      <c r="H38" s="14"/>
    </row>
    <row r="39" spans="1:8" x14ac:dyDescent="0.2">
      <c r="A39" s="19"/>
      <c r="B39" s="20"/>
      <c r="C39" s="20"/>
      <c r="D39" s="20"/>
      <c r="E39" s="20"/>
      <c r="F39" s="20"/>
      <c r="G39" s="21" t="s">
        <v>127</v>
      </c>
      <c r="H39" s="66">
        <f>MAX(C6-H37,0)*600000</f>
        <v>916800</v>
      </c>
    </row>
  </sheetData>
  <mergeCells count="7">
    <mergeCell ref="A27:H27"/>
    <mergeCell ref="A28:H28"/>
    <mergeCell ref="I4:I6"/>
    <mergeCell ref="A1:I1"/>
    <mergeCell ref="A2:I2"/>
    <mergeCell ref="A12:H12"/>
    <mergeCell ref="A13:H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M.C.4.1</vt:lpstr>
      <vt:lpstr>M.C.4.2</vt:lpstr>
      <vt:lpstr>M.C.4.3</vt:lpstr>
      <vt:lpstr>M.C.4.4</vt:lpstr>
      <vt:lpstr>M.C.4.5</vt:lpstr>
      <vt:lpstr>M.C.4.6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Burdukov, Oleh</cp:lastModifiedBy>
  <dcterms:created xsi:type="dcterms:W3CDTF">2026-01-10T10:06:20Z</dcterms:created>
  <dcterms:modified xsi:type="dcterms:W3CDTF">2026-07-04T16:13:19Z</dcterms:modified>
</cp:coreProperties>
</file>