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urdukov/Documents/Österreich/WU/WU Hauptstudium/SBWL/SBWL Finanzen/Course I Principles of CM/Interactive part/Unit 4/MC4 to submit/"/>
    </mc:Choice>
  </mc:AlternateContent>
  <xr:revisionPtr revIDLastSave="0" documentId="13_ncr:1_{9FD485ED-A579-7346-A5EF-4DD7A1E8CC6F}" xr6:coauthVersionLast="47" xr6:coauthVersionMax="47" xr10:uidLastSave="{00000000-0000-0000-0000-000000000000}"/>
  <bookViews>
    <workbookView xWindow="15020" yWindow="740" windowWidth="14380" windowHeight="16620" xr2:uid="{C636DC8B-EA25-1C4C-9AFB-0358261DFB69}"/>
  </bookViews>
  <sheets>
    <sheet name="Unit 4" sheetId="1" r:id="rId1"/>
  </sheets>
  <definedNames>
    <definedName name="solver_adj" localSheetId="0" hidden="1">'Unit 4'!$B$42:$B$45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'Unit 4'!$C$42:$C$45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'Unit 4'!$B$49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'Unit 4'!$F$42:$F$45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3" i="1" l="1"/>
  <c r="J73" i="1"/>
  <c r="I71" i="1"/>
  <c r="I67" i="1"/>
  <c r="B54" i="1"/>
  <c r="B53" i="1" a="1"/>
  <c r="B53" i="1" s="1"/>
  <c r="B52" i="1"/>
  <c r="H43" i="1" a="1"/>
  <c r="H43" i="1" s="1"/>
  <c r="H44" i="1" a="1"/>
  <c r="H44" i="1" s="1"/>
  <c r="H45" i="1" a="1"/>
  <c r="H45" i="1" s="1"/>
  <c r="H42" i="1" a="1"/>
  <c r="H42" i="1" s="1"/>
  <c r="G43" i="1"/>
  <c r="G44" i="1"/>
  <c r="G45" i="1"/>
  <c r="G42" i="1"/>
  <c r="B47" i="1"/>
  <c r="F42" i="1"/>
  <c r="D42" i="1"/>
  <c r="C44" i="1" a="1"/>
  <c r="C44" i="1" s="1"/>
  <c r="C42" i="1" a="1"/>
  <c r="C42" i="1" s="1"/>
  <c r="B36" i="1" a="1"/>
  <c r="B36" i="1" s="1"/>
  <c r="B35" i="1" a="1"/>
  <c r="B35" i="1" s="1"/>
  <c r="E30" i="1"/>
  <c r="E29" i="1"/>
  <c r="E28" i="1"/>
  <c r="E27" i="1"/>
  <c r="C30" i="1" a="1"/>
  <c r="C30" i="1" s="1"/>
  <c r="C29" i="1" a="1"/>
  <c r="C29" i="1" s="1"/>
  <c r="C28" i="1" a="1"/>
  <c r="C28" i="1" s="1"/>
  <c r="C27" i="1" a="1"/>
  <c r="C27" i="1" s="1"/>
  <c r="B21" i="1" a="1"/>
  <c r="B21" i="1" s="1"/>
  <c r="B124" i="1"/>
  <c r="B120" i="1"/>
  <c r="B117" i="1" a="1"/>
  <c r="B117" i="1" s="1"/>
  <c r="L118" i="1" a="1"/>
  <c r="L118" i="1" s="1"/>
  <c r="L119" i="1" a="1"/>
  <c r="L119" i="1" s="1"/>
  <c r="L120" i="1" a="1"/>
  <c r="L120" i="1" s="1"/>
  <c r="L121" i="1" a="1"/>
  <c r="L121" i="1" s="1"/>
  <c r="B116" i="1"/>
  <c r="D43" i="1" l="1"/>
  <c r="F43" i="1" s="1"/>
  <c r="D44" i="1"/>
  <c r="F44" i="1" s="1"/>
  <c r="D45" i="1"/>
  <c r="F45" i="1" s="1"/>
  <c r="B9" i="1"/>
  <c r="I66" i="1" l="1"/>
  <c r="I72" i="1" s="1"/>
  <c r="B19" i="1" l="1"/>
  <c r="C60" i="1" l="1"/>
  <c r="E7" i="1"/>
  <c r="D8" i="1" s="1"/>
  <c r="E6" i="1"/>
  <c r="C8" i="1" s="1"/>
  <c r="D6" i="1"/>
  <c r="C7" i="1" s="1"/>
  <c r="E5" i="1"/>
  <c r="B8" i="1" s="1"/>
  <c r="D5" i="1"/>
  <c r="B7" i="1" s="1"/>
  <c r="C5" i="1"/>
  <c r="B6" i="1" s="1"/>
  <c r="E8" i="1"/>
  <c r="D7" i="1"/>
  <c r="C6" i="1"/>
  <c r="B5" i="1"/>
  <c r="C43" i="1" l="1" a="1"/>
  <c r="C43" i="1" s="1"/>
  <c r="B99" i="1"/>
  <c r="B100" i="1"/>
  <c r="B101" i="1"/>
  <c r="B98" i="1"/>
  <c r="B10" i="1" a="1"/>
  <c r="B10" i="1" s="1"/>
  <c r="C64" i="1"/>
  <c r="C72" i="1"/>
  <c r="C80" i="1"/>
  <c r="C88" i="1"/>
  <c r="C84" i="1"/>
  <c r="C61" i="1"/>
  <c r="C85" i="1"/>
  <c r="C86" i="1"/>
  <c r="C71" i="1"/>
  <c r="C65" i="1"/>
  <c r="C73" i="1"/>
  <c r="C81" i="1"/>
  <c r="C89" i="1"/>
  <c r="C66" i="1"/>
  <c r="C74" i="1"/>
  <c r="C82" i="1"/>
  <c r="C90" i="1"/>
  <c r="C75" i="1"/>
  <c r="C83" i="1"/>
  <c r="C68" i="1"/>
  <c r="C77" i="1"/>
  <c r="C70" i="1"/>
  <c r="C79" i="1"/>
  <c r="C67" i="1"/>
  <c r="C76" i="1"/>
  <c r="C69" i="1"/>
  <c r="C62" i="1"/>
  <c r="C78" i="1"/>
  <c r="C63" i="1"/>
  <c r="C87" i="1"/>
  <c r="B48" i="1" a="1"/>
  <c r="B48" i="1" s="1"/>
  <c r="B49" i="1" s="1"/>
  <c r="C45" i="1" a="1"/>
  <c r="C45" i="1" s="1"/>
  <c r="I60" i="1"/>
  <c r="C98" i="1" l="1"/>
  <c r="C101" i="1"/>
  <c r="C100" i="1"/>
  <c r="C99" i="1"/>
  <c r="J72" i="1"/>
  <c r="J61" i="1"/>
  <c r="I61" i="1"/>
  <c r="J60" i="1"/>
  <c r="B31" i="1"/>
  <c r="D60" i="1" l="1" a="1"/>
  <c r="D60" i="1" s="1"/>
  <c r="C102" i="1"/>
  <c r="D64" i="1" a="1"/>
  <c r="D64" i="1" s="1"/>
  <c r="D65" i="1" a="1"/>
  <c r="D65" i="1" s="1"/>
  <c r="D61" i="1" a="1"/>
  <c r="D61" i="1" s="1"/>
  <c r="D77" i="1" a="1"/>
  <c r="D77" i="1" s="1"/>
  <c r="D75" i="1" a="1"/>
  <c r="D75" i="1" s="1"/>
  <c r="D66" i="1" a="1"/>
  <c r="D66" i="1" s="1"/>
  <c r="D82" i="1" a="1"/>
  <c r="D82" i="1" s="1"/>
  <c r="D81" i="1" a="1"/>
  <c r="D81" i="1" s="1"/>
  <c r="D71" i="1" a="1"/>
  <c r="D71" i="1" s="1"/>
  <c r="D68" i="1" a="1"/>
  <c r="D68" i="1" s="1"/>
  <c r="D76" i="1" a="1"/>
  <c r="D76" i="1" s="1"/>
  <c r="D62" i="1" a="1"/>
  <c r="D62" i="1" s="1"/>
  <c r="D87" i="1" a="1"/>
  <c r="D87" i="1" s="1"/>
  <c r="D84" i="1" a="1"/>
  <c r="D84" i="1" s="1"/>
  <c r="D74" i="1" a="1"/>
  <c r="D74" i="1" s="1"/>
  <c r="D78" i="1" a="1"/>
  <c r="D78" i="1" s="1"/>
  <c r="D86" i="1" a="1"/>
  <c r="D86" i="1" s="1"/>
  <c r="D79" i="1" a="1"/>
  <c r="D79" i="1" s="1"/>
  <c r="D88" i="1" a="1"/>
  <c r="D88" i="1" s="1"/>
  <c r="D83" i="1" a="1"/>
  <c r="D83" i="1" s="1"/>
  <c r="D89" i="1" a="1"/>
  <c r="D89" i="1" s="1"/>
  <c r="D80" i="1" a="1"/>
  <c r="D80" i="1" s="1"/>
  <c r="D69" i="1" a="1"/>
  <c r="D69" i="1" s="1"/>
  <c r="D73" i="1" a="1"/>
  <c r="D73" i="1" s="1"/>
  <c r="D67" i="1" a="1"/>
  <c r="D67" i="1" s="1"/>
  <c r="D72" i="1" a="1"/>
  <c r="D72" i="1" s="1"/>
  <c r="D85" i="1" a="1"/>
  <c r="D85" i="1" s="1"/>
  <c r="D63" i="1" a="1"/>
  <c r="D63" i="1" s="1"/>
  <c r="D70" i="1" a="1"/>
  <c r="D70" i="1" s="1"/>
  <c r="D90" i="1" a="1"/>
  <c r="D9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<sst xmlns="http://schemas.openxmlformats.org/spreadsheetml/2006/main" count="150" uniqueCount="75">
  <si>
    <t>Assets</t>
  </si>
  <si>
    <t>Correlation with</t>
  </si>
  <si>
    <t>Mean 
return</t>
  </si>
  <si>
    <t>Standard deviation</t>
  </si>
  <si>
    <t>GOLD</t>
  </si>
  <si>
    <t>STOCKS</t>
  </si>
  <si>
    <t>REIT</t>
  </si>
  <si>
    <t>BONDS</t>
  </si>
  <si>
    <t>Mini-case 4.1.</t>
  </si>
  <si>
    <t>E(Rp~)</t>
  </si>
  <si>
    <t>var(Rp~)</t>
  </si>
  <si>
    <t>Weights</t>
  </si>
  <si>
    <t>Covariance matrix</t>
  </si>
  <si>
    <t>TASK B</t>
  </si>
  <si>
    <t>Target</t>
  </si>
  <si>
    <t>Constraint</t>
  </si>
  <si>
    <t>Minimum-variance portfolio</t>
  </si>
  <si>
    <t>min var(Rp~)</t>
  </si>
  <si>
    <t>Mini-case 4.2.</t>
  </si>
  <si>
    <t>TASK A</t>
  </si>
  <si>
    <t>Minimum-variance portfolio by means of the marginal variance approach</t>
  </si>
  <si>
    <t>Cov(r~_, R~p)</t>
  </si>
  <si>
    <t>∑ (a-b)^2</t>
  </si>
  <si>
    <t>Rescaled weights</t>
  </si>
  <si>
    <t>Our minimum-variance portfolio possesses the variance of 0,0027444.  Such a portfolio allocates 92,14% into the bonds and another 7,86% into stocks</t>
  </si>
  <si>
    <t>E(Rp)</t>
  </si>
  <si>
    <t>Mean return and variance of the portfolio</t>
  </si>
  <si>
    <t>Mini-case 4.4.</t>
  </si>
  <si>
    <t>cov(r~_,R~p)</t>
  </si>
  <si>
    <t>E(r_)</t>
  </si>
  <si>
    <t>r (risk-free)</t>
  </si>
  <si>
    <t>Risk-premium</t>
  </si>
  <si>
    <t>Var(Rp~)</t>
  </si>
  <si>
    <t>Sharpe Ratio</t>
  </si>
  <si>
    <t>Identification of the tangency portfolio</t>
  </si>
  <si>
    <t>Mini-case 4.5.</t>
  </si>
  <si>
    <t>Identification of the efficient frontier</t>
  </si>
  <si>
    <t xml:space="preserve">E(Rp) </t>
  </si>
  <si>
    <t>Min-var</t>
  </si>
  <si>
    <t>Tangency</t>
  </si>
  <si>
    <t>Covariance table</t>
  </si>
  <si>
    <t>Standard deviation (Rp~)</t>
  </si>
  <si>
    <t>Weight V</t>
  </si>
  <si>
    <t>Weight T</t>
  </si>
  <si>
    <t>σ T</t>
  </si>
  <si>
    <t>Additional data</t>
  </si>
  <si>
    <t>TASK A: efficient frontier diagram</t>
  </si>
  <si>
    <t>TASK A: Plotting the tangency portfolio</t>
  </si>
  <si>
    <t>st.dev</t>
  </si>
  <si>
    <t>TASK A: Plotting the CML</t>
  </si>
  <si>
    <t>Risk-free</t>
  </si>
  <si>
    <t>Return</t>
  </si>
  <si>
    <t>cov(r~_,R~T)</t>
  </si>
  <si>
    <t>cov(r~_,R~T): Covariance of each asset in the Tangency portfolio T considering rescaled weights</t>
  </si>
  <si>
    <t>beta-factor</t>
  </si>
  <si>
    <t>Equaly weighted portfolio</t>
  </si>
  <si>
    <t>Mini-case 4.6.</t>
  </si>
  <si>
    <t>BAC</t>
  </si>
  <si>
    <t>ORCL</t>
  </si>
  <si>
    <t>CVX</t>
  </si>
  <si>
    <t>TGT</t>
  </si>
  <si>
    <t>Portfolio of all 4 Stocks</t>
  </si>
  <si>
    <t>σ P</t>
  </si>
  <si>
    <t>Asset</t>
  </si>
  <si>
    <t>General data</t>
  </si>
  <si>
    <t>Covariance (r_, Rt~) and β</t>
  </si>
  <si>
    <t>β (BAC)</t>
  </si>
  <si>
    <t>cov(r_,Rp)</t>
  </si>
  <si>
    <t>TASK C</t>
  </si>
  <si>
    <t>Risk-free return</t>
  </si>
  <si>
    <t>E(r-BAC))</t>
  </si>
  <si>
    <t xml:space="preserve"> </t>
  </si>
  <si>
    <t>Cov(r~_, R~T) new</t>
  </si>
  <si>
    <t>a Portfolio P</t>
  </si>
  <si>
    <t>The correct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</si>
</sst>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theme="9" tint="0.3999755851924192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7" borderId="7" xfId="0" applyFont="1" applyFill="1" applyBorder="1"/>
    <xf numFmtId="0" fontId="5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7" fillId="7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0" borderId="0" xfId="0" applyFont="1"/>
    <xf numFmtId="0" fontId="0" fillId="7" borderId="7" xfId="0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0" fillId="0" borderId="20" xfId="0" applyBorder="1"/>
    <xf numFmtId="0" fontId="10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Feasible set on the mean-st.dev.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Feasible Set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 4'!$D$60:$D$90</c:f>
              <c:numCache>
                <c:formatCode>General</c:formatCode>
                <c:ptCount val="31"/>
                <c:pt idx="0">
                  <c:v>0.1455804405890064</c:v>
                </c:pt>
                <c:pt idx="1">
                  <c:v>0.13277788057832429</c:v>
                </c:pt>
                <c:pt idx="2">
                  <c:v>0.12017234574513261</c:v>
                </c:pt>
                <c:pt idx="3">
                  <c:v>0.10783295421686756</c:v>
                </c:pt>
                <c:pt idx="4">
                  <c:v>9.5862534760039808E-2</c:v>
                </c:pt>
                <c:pt idx="5">
                  <c:v>8.4418193230701391E-2</c:v>
                </c:pt>
                <c:pt idx="6">
                  <c:v>7.3745259836044075E-2</c:v>
                </c:pt>
                <c:pt idx="7">
                  <c:v>6.4229444731125393E-2</c:v>
                </c:pt>
                <c:pt idx="8">
                  <c:v>5.6458887828978233E-2</c:v>
                </c:pt>
                <c:pt idx="9">
                  <c:v>5.1233940718385301E-2</c:v>
                </c:pt>
                <c:pt idx="10">
                  <c:v>4.9369561173037681E-2</c:v>
                </c:pt>
                <c:pt idx="11">
                  <c:v>5.1233940718385301E-2</c:v>
                </c:pt>
                <c:pt idx="12">
                  <c:v>5.6458887828978239E-2</c:v>
                </c:pt>
                <c:pt idx="13">
                  <c:v>6.4229444731125393E-2</c:v>
                </c:pt>
                <c:pt idx="14">
                  <c:v>7.3745259836044075E-2</c:v>
                </c:pt>
                <c:pt idx="15">
                  <c:v>8.4418193230701391E-2</c:v>
                </c:pt>
                <c:pt idx="16">
                  <c:v>9.5862534760039808E-2</c:v>
                </c:pt>
                <c:pt idx="17">
                  <c:v>0.10783295421686756</c:v>
                </c:pt>
                <c:pt idx="18">
                  <c:v>0.12017234574513262</c:v>
                </c:pt>
                <c:pt idx="19">
                  <c:v>0.13277788057832432</c:v>
                </c:pt>
                <c:pt idx="20">
                  <c:v>0.1455804405890064</c:v>
                </c:pt>
                <c:pt idx="21">
                  <c:v>0.15853229959708562</c:v>
                </c:pt>
                <c:pt idx="22">
                  <c:v>0.17159965492746315</c:v>
                </c:pt>
                <c:pt idx="23">
                  <c:v>0.18475800212478527</c:v>
                </c:pt>
                <c:pt idx="24">
                  <c:v>0.19798920008246232</c:v>
                </c:pt>
                <c:pt idx="25">
                  <c:v>0.21127956259817907</c:v>
                </c:pt>
                <c:pt idx="26">
                  <c:v>0.22461858786907163</c:v>
                </c:pt>
                <c:pt idx="27">
                  <c:v>0.237998093864525</c:v>
                </c:pt>
                <c:pt idx="28">
                  <c:v>0.2514116178147543</c:v>
                </c:pt>
                <c:pt idx="29">
                  <c:v>0.26485399125471054</c:v>
                </c:pt>
                <c:pt idx="30">
                  <c:v>0.27832103409031439</c:v>
                </c:pt>
              </c:numCache>
            </c:numRef>
          </c:xVal>
          <c:yVal>
            <c:numRef>
              <c:f>'Unit 4'!$C$60:$C$90</c:f>
              <c:numCache>
                <c:formatCode>General</c:formatCode>
                <c:ptCount val="31"/>
                <c:pt idx="0">
                  <c:v>-0.16253269026577905</c:v>
                </c:pt>
                <c:pt idx="1">
                  <c:v>-0.14327720352788464</c:v>
                </c:pt>
                <c:pt idx="2">
                  <c:v>-0.12402171678999027</c:v>
                </c:pt>
                <c:pt idx="3">
                  <c:v>-0.10476623005209587</c:v>
                </c:pt>
                <c:pt idx="4">
                  <c:v>-8.5510743314201498E-2</c:v>
                </c:pt>
                <c:pt idx="5">
                  <c:v>-6.6255256576307126E-2</c:v>
                </c:pt>
                <c:pt idx="6">
                  <c:v>-4.699976983841276E-2</c:v>
                </c:pt>
                <c:pt idx="7">
                  <c:v>-2.7744283100518366E-2</c:v>
                </c:pt>
                <c:pt idx="8">
                  <c:v>-8.4887963626239932E-3</c:v>
                </c:pt>
                <c:pt idx="9">
                  <c:v>1.0766690375270394E-2</c:v>
                </c:pt>
                <c:pt idx="10">
                  <c:v>3.0022177113164773E-2</c:v>
                </c:pt>
                <c:pt idx="11">
                  <c:v>4.9277663851059153E-2</c:v>
                </c:pt>
                <c:pt idx="12">
                  <c:v>6.853315058895354E-2</c:v>
                </c:pt>
                <c:pt idx="13">
                  <c:v>8.7788637326847913E-2</c:v>
                </c:pt>
                <c:pt idx="14">
                  <c:v>0.1070441240647423</c:v>
                </c:pt>
                <c:pt idx="15">
                  <c:v>0.12629961080263669</c:v>
                </c:pt>
                <c:pt idx="16">
                  <c:v>0.14555509754053106</c:v>
                </c:pt>
                <c:pt idx="17">
                  <c:v>0.16481058427842543</c:v>
                </c:pt>
                <c:pt idx="18">
                  <c:v>0.18406607101631983</c:v>
                </c:pt>
                <c:pt idx="19">
                  <c:v>0.2033215577542142</c:v>
                </c:pt>
                <c:pt idx="20">
                  <c:v>0.22257704449210858</c:v>
                </c:pt>
                <c:pt idx="21">
                  <c:v>0.24183253123000298</c:v>
                </c:pt>
                <c:pt idx="22">
                  <c:v>0.26108801796789732</c:v>
                </c:pt>
                <c:pt idx="23">
                  <c:v>0.28034350470579172</c:v>
                </c:pt>
                <c:pt idx="24">
                  <c:v>0.29959899144368607</c:v>
                </c:pt>
                <c:pt idx="25">
                  <c:v>0.31885447818158047</c:v>
                </c:pt>
                <c:pt idx="26">
                  <c:v>0.33810996491947487</c:v>
                </c:pt>
                <c:pt idx="27">
                  <c:v>0.35736545165736922</c:v>
                </c:pt>
                <c:pt idx="28">
                  <c:v>0.37662093839526362</c:v>
                </c:pt>
                <c:pt idx="29">
                  <c:v>0.39587642513315796</c:v>
                </c:pt>
                <c:pt idx="30">
                  <c:v>0.41513191187105236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25-A44C-88DF-39367AA56C38}"/>
            </c:ext>
          </c:extLst>
        </c:ser>
        <c:ser>
          <c:idx val="2"/>
          <c:order val="1"/>
          <c:tx>
            <c:v>CML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'Unit 4'!$J$71:$J$73</c:f>
              <c:numCache>
                <c:formatCode>General</c:formatCode>
                <c:ptCount val="3"/>
                <c:pt idx="0">
                  <c:v>0</c:v>
                </c:pt>
                <c:pt idx="1">
                  <c:v>0.1455804405890064</c:v>
                </c:pt>
                <c:pt idx="2">
                  <c:v>7.3745259836044075E-2</c:v>
                </c:pt>
              </c:numCache>
            </c:numRef>
          </c:xVal>
          <c:yVal>
            <c:numRef>
              <c:f>'Unit 4'!$I$71:$I$73</c:f>
              <c:numCache>
                <c:formatCode>0.0000000</c:formatCode>
                <c:ptCount val="3"/>
                <c:pt idx="0" formatCode="General">
                  <c:v>5.0000000000000001E-3</c:v>
                </c:pt>
                <c:pt idx="1">
                  <c:v>0.22257704449210858</c:v>
                </c:pt>
                <c:pt idx="2" formatCode="General">
                  <c:v>0.1070441240647423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C-3E48-97AC-79E5BC5F5C5B}"/>
            </c:ext>
          </c:extLst>
        </c:ser>
        <c:ser>
          <c:idx val="1"/>
          <c:order val="2"/>
          <c:tx>
            <c:v>Tangency portfolio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'Unit 4'!$I$67</c:f>
              <c:numCache>
                <c:formatCode>General</c:formatCode>
                <c:ptCount val="1"/>
                <c:pt idx="0">
                  <c:v>0.1455804405890064</c:v>
                </c:pt>
              </c:numCache>
            </c:numRef>
          </c:xVal>
          <c:yVal>
            <c:numRef>
              <c:f>'Unit 4'!$I$66</c:f>
              <c:numCache>
                <c:formatCode>General</c:formatCode>
                <c:ptCount val="1"/>
                <c:pt idx="0">
                  <c:v>0.22257704449210858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25-A44C-88DF-39367AA5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033647"/>
        <c:axId val="1676571408"/>
      </c:scatterChart>
      <c:valAx>
        <c:axId val="103903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676571408"/>
        <c:crosses val="autoZero"/>
        <c:crossBetween val="midCat"/>
      </c:valAx>
      <c:valAx>
        <c:axId val="1676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3903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14210</xdr:colOff>
      <xdr:row>74</xdr:row>
      <xdr:rowOff>9413</xdr:rowOff>
    </xdr:from>
    <xdr:to>
      <xdr:col>12</xdr:col>
      <xdr:colOff>257552</xdr:colOff>
      <xdr:row>92</xdr:row>
      <xdr:rowOff>88811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BB1DAF-B272-92AD-2F61-787651F0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8882</xdr:colOff>
      <xdr:row>106</xdr:row>
      <xdr:rowOff>26644</xdr:rowOff>
    </xdr:from>
    <xdr:to>
      <xdr:col>22</xdr:col>
      <xdr:colOff>182685</xdr:colOff>
      <xdr:row>120</xdr:row>
      <xdr:rowOff>11723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0ED70-29E7-E852-672B-ACEDF106D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2448" y="23073147"/>
          <a:ext cx="7607300" cy="284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56B5-9CBA-AD47-9DD6-7A14BBB53E9F}">
  <dimension ref="A1:U133"/>
  <sheetViews>
    <sheetView tabSelected="1" topLeftCell="A107" zoomScale="143" workbookViewId="0">
      <selection activeCell="P124" sqref="P124"/>
    </sheetView>
  </sheetViews>
  <sheetFormatPr baseColWidth="10" defaultRowHeight="16" x14ac:dyDescent="0.2"/>
  <cols>
    <col min="4" max="4" width="12.6640625" bestFit="1" customWidth="1"/>
    <col min="7" max="7" width="12.6640625" bestFit="1" customWidth="1"/>
    <col min="9" max="9" width="10.83203125" customWidth="1"/>
    <col min="10" max="10" width="12.6640625" bestFit="1" customWidth="1"/>
  </cols>
  <sheetData>
    <row r="1" spans="1:15" x14ac:dyDescent="0.2">
      <c r="A1" s="55" t="s">
        <v>8</v>
      </c>
      <c r="B1" s="55"/>
      <c r="C1" s="55"/>
      <c r="D1" s="55"/>
      <c r="E1" s="55"/>
      <c r="F1" s="55"/>
      <c r="I1" s="60" t="s">
        <v>0</v>
      </c>
      <c r="J1" s="62" t="s">
        <v>1</v>
      </c>
      <c r="K1" s="62"/>
      <c r="L1" s="62"/>
      <c r="M1" s="62"/>
      <c r="N1" s="53" t="s">
        <v>2</v>
      </c>
      <c r="O1" s="53" t="s">
        <v>3</v>
      </c>
    </row>
    <row r="2" spans="1:15" x14ac:dyDescent="0.2">
      <c r="A2" s="56" t="s">
        <v>19</v>
      </c>
      <c r="B2" s="56"/>
      <c r="C2" s="56"/>
      <c r="D2" s="56"/>
      <c r="E2" s="56"/>
      <c r="F2" s="56"/>
      <c r="I2" s="61"/>
      <c r="J2" s="11" t="s">
        <v>4</v>
      </c>
      <c r="K2" s="11" t="s">
        <v>5</v>
      </c>
      <c r="L2" s="11" t="s">
        <v>6</v>
      </c>
      <c r="M2" s="11" t="s">
        <v>7</v>
      </c>
      <c r="N2" s="53"/>
      <c r="O2" s="53"/>
    </row>
    <row r="3" spans="1:15" x14ac:dyDescent="0.2">
      <c r="A3" s="54" t="s">
        <v>12</v>
      </c>
      <c r="B3" s="54"/>
      <c r="C3" s="54"/>
      <c r="D3" s="54"/>
      <c r="E3" s="54"/>
      <c r="F3" s="3" t="s">
        <v>11</v>
      </c>
      <c r="I3" s="11" t="s">
        <v>4</v>
      </c>
      <c r="J3" s="2">
        <v>1</v>
      </c>
      <c r="K3" s="2">
        <v>0.1</v>
      </c>
      <c r="L3" s="2">
        <v>0.2</v>
      </c>
      <c r="M3" s="2">
        <v>0.45</v>
      </c>
      <c r="N3" s="2">
        <v>0.13139999999999999</v>
      </c>
      <c r="O3" s="2">
        <v>0.1399</v>
      </c>
    </row>
    <row r="4" spans="1:15" x14ac:dyDescent="0.2">
      <c r="A4" s="2"/>
      <c r="B4" s="11" t="s">
        <v>4</v>
      </c>
      <c r="C4" s="11" t="s">
        <v>5</v>
      </c>
      <c r="D4" s="11" t="s">
        <v>6</v>
      </c>
      <c r="E4" s="11" t="s">
        <v>7</v>
      </c>
      <c r="F4" s="2"/>
      <c r="I4" s="11" t="s">
        <v>5</v>
      </c>
      <c r="J4" s="2">
        <v>0.1</v>
      </c>
      <c r="K4" s="2">
        <v>1</v>
      </c>
      <c r="L4" s="2">
        <v>0.78</v>
      </c>
      <c r="M4" s="2">
        <v>0.12</v>
      </c>
      <c r="N4" s="2">
        <v>0.1363</v>
      </c>
      <c r="O4" s="2">
        <v>0.15279999999999999</v>
      </c>
    </row>
    <row r="5" spans="1:15" x14ac:dyDescent="0.2">
      <c r="A5" s="11" t="s">
        <v>4</v>
      </c>
      <c r="B5" s="2">
        <f>O3^2</f>
        <v>1.9572009999999997E-2</v>
      </c>
      <c r="C5" s="2">
        <f>K3*O3*O4</f>
        <v>2.1376720000000002E-3</v>
      </c>
      <c r="D5" s="2">
        <f>L3*O3*O5</f>
        <v>4.8657220000000003E-3</v>
      </c>
      <c r="E5" s="2">
        <f>M3*O3*O6</f>
        <v>3.386979E-3</v>
      </c>
      <c r="F5" s="2">
        <v>0.25</v>
      </c>
      <c r="I5" s="11" t="s">
        <v>6</v>
      </c>
      <c r="J5" s="2">
        <v>0.2</v>
      </c>
      <c r="K5" s="2">
        <v>0.78</v>
      </c>
      <c r="L5" s="2">
        <v>1</v>
      </c>
      <c r="M5" s="2">
        <v>0.34</v>
      </c>
      <c r="N5" s="2">
        <v>4.2599999999999999E-2</v>
      </c>
      <c r="O5" s="2">
        <v>0.1739</v>
      </c>
    </row>
    <row r="6" spans="1:15" x14ac:dyDescent="0.2">
      <c r="A6" s="11" t="s">
        <v>5</v>
      </c>
      <c r="B6" s="2">
        <f>C5</f>
        <v>2.1376720000000002E-3</v>
      </c>
      <c r="C6" s="2">
        <f>O4^2</f>
        <v>2.3347839999999998E-2</v>
      </c>
      <c r="D6" s="2">
        <f>L4*O4*O5</f>
        <v>2.07260976E-2</v>
      </c>
      <c r="E6" s="2">
        <f>M4*O4*O6</f>
        <v>9.8647679999999986E-4</v>
      </c>
      <c r="F6" s="2">
        <v>0.25</v>
      </c>
      <c r="I6" s="11" t="s">
        <v>7</v>
      </c>
      <c r="J6" s="2">
        <v>0.45</v>
      </c>
      <c r="K6" s="2">
        <v>0.12</v>
      </c>
      <c r="L6" s="2">
        <v>0.34</v>
      </c>
      <c r="M6" s="2">
        <v>1</v>
      </c>
      <c r="N6" s="2">
        <v>1.24E-2</v>
      </c>
      <c r="O6" s="2">
        <v>5.3800000000000001E-2</v>
      </c>
    </row>
    <row r="7" spans="1:15" x14ac:dyDescent="0.2">
      <c r="A7" s="11" t="s">
        <v>6</v>
      </c>
      <c r="B7" s="2">
        <f>D5</f>
        <v>4.8657220000000003E-3</v>
      </c>
      <c r="C7" s="2">
        <f>D6</f>
        <v>2.07260976E-2</v>
      </c>
      <c r="D7" s="2">
        <f>O5^2</f>
        <v>3.0241210000000001E-2</v>
      </c>
      <c r="E7" s="2">
        <f>M5*O5*O6</f>
        <v>3.1809788000000004E-3</v>
      </c>
      <c r="F7" s="2">
        <v>0.25</v>
      </c>
    </row>
    <row r="8" spans="1:15" ht="16" customHeight="1" x14ac:dyDescent="0.2">
      <c r="A8" s="12" t="s">
        <v>7</v>
      </c>
      <c r="B8" s="1">
        <f>E5</f>
        <v>3.386979E-3</v>
      </c>
      <c r="C8" s="1">
        <f>E6</f>
        <v>9.8647679999999986E-4</v>
      </c>
      <c r="D8" s="1">
        <f>E7</f>
        <v>3.1809788000000004E-3</v>
      </c>
      <c r="E8" s="1">
        <f>O6^2</f>
        <v>2.8944399999999999E-3</v>
      </c>
      <c r="F8" s="2">
        <v>0.25</v>
      </c>
    </row>
    <row r="9" spans="1:15" x14ac:dyDescent="0.2">
      <c r="A9" s="6" t="s">
        <v>9</v>
      </c>
      <c r="B9" s="85">
        <f>SUM(N3:N6)/4</f>
        <v>8.0675000000000011E-2</v>
      </c>
      <c r="C9" s="85"/>
      <c r="D9" s="85"/>
      <c r="E9" s="85"/>
      <c r="F9" s="5"/>
    </row>
    <row r="10" spans="1:15" x14ac:dyDescent="0.2">
      <c r="A10" s="8" t="s">
        <v>10</v>
      </c>
      <c r="B10" s="85" cm="1">
        <f t="array" ref="B10">MMULT(TRANSPOSE(F5:F8),MMULT(B5:E8,F5:F8))</f>
        <v>9.1639595249999976E-3</v>
      </c>
      <c r="C10" s="85"/>
      <c r="D10" s="85"/>
      <c r="E10" s="85"/>
      <c r="F10" s="5"/>
    </row>
    <row r="12" spans="1:15" x14ac:dyDescent="0.2">
      <c r="A12" s="68" t="s">
        <v>13</v>
      </c>
      <c r="B12" s="68"/>
      <c r="C12" s="68"/>
      <c r="D12" s="68"/>
      <c r="E12" s="68"/>
      <c r="F12" s="68"/>
    </row>
    <row r="13" spans="1:15" ht="31" customHeight="1" x14ac:dyDescent="0.2">
      <c r="A13" s="78" t="s">
        <v>16</v>
      </c>
      <c r="B13" s="78"/>
      <c r="C13" s="69" t="s">
        <v>24</v>
      </c>
      <c r="D13" s="70"/>
      <c r="E13" s="70"/>
      <c r="F13" s="71"/>
    </row>
    <row r="14" spans="1:15" ht="16" customHeight="1" x14ac:dyDescent="0.2">
      <c r="A14" s="15" t="s">
        <v>0</v>
      </c>
      <c r="B14" s="15" t="s">
        <v>11</v>
      </c>
      <c r="C14" s="72"/>
      <c r="D14" s="73"/>
      <c r="E14" s="73"/>
      <c r="F14" s="74"/>
    </row>
    <row r="15" spans="1:15" x14ac:dyDescent="0.2">
      <c r="A15" s="13" t="s">
        <v>4</v>
      </c>
      <c r="B15" s="7">
        <v>-2.7914457257333724E-2</v>
      </c>
      <c r="C15" s="72"/>
      <c r="D15" s="73"/>
      <c r="E15" s="73"/>
      <c r="F15" s="74"/>
    </row>
    <row r="16" spans="1:15" x14ac:dyDescent="0.2">
      <c r="A16" s="13" t="s">
        <v>5</v>
      </c>
      <c r="B16" s="7">
        <v>0.20822058915863581</v>
      </c>
      <c r="C16" s="72"/>
      <c r="D16" s="73"/>
      <c r="E16" s="73"/>
      <c r="F16" s="74"/>
    </row>
    <row r="17" spans="1:8" x14ac:dyDescent="0.2">
      <c r="A17" s="13" t="s">
        <v>6</v>
      </c>
      <c r="B17" s="7">
        <v>-0.16074759020677612</v>
      </c>
      <c r="C17" s="72"/>
      <c r="D17" s="73"/>
      <c r="E17" s="73"/>
      <c r="F17" s="74"/>
    </row>
    <row r="18" spans="1:8" x14ac:dyDescent="0.2">
      <c r="A18" s="13" t="s">
        <v>7</v>
      </c>
      <c r="B18" s="7">
        <v>0.98044145830547424</v>
      </c>
      <c r="C18" s="72"/>
      <c r="D18" s="73"/>
      <c r="E18" s="73"/>
      <c r="F18" s="74"/>
    </row>
    <row r="19" spans="1:8" x14ac:dyDescent="0.2">
      <c r="A19" s="7" t="s">
        <v>15</v>
      </c>
      <c r="B19" s="7">
        <f>SUM(B15:B18)</f>
        <v>1.0000000000000002</v>
      </c>
      <c r="C19" s="72"/>
      <c r="D19" s="73"/>
      <c r="E19" s="73"/>
      <c r="F19" s="74"/>
    </row>
    <row r="20" spans="1:8" x14ac:dyDescent="0.2">
      <c r="A20" s="7" t="s">
        <v>14</v>
      </c>
      <c r="B20" s="7">
        <v>1</v>
      </c>
      <c r="C20" s="75"/>
      <c r="D20" s="76"/>
      <c r="E20" s="76"/>
      <c r="F20" s="77"/>
    </row>
    <row r="21" spans="1:8" x14ac:dyDescent="0.2">
      <c r="A21" s="8" t="s">
        <v>17</v>
      </c>
      <c r="B21" s="63" cm="1">
        <f t="array" ref="B21">MMULT(TRANSPOSE(B15:B18),MMULT(B5:E8,B15:B18))</f>
        <v>2.4373535704286997E-3</v>
      </c>
      <c r="C21" s="64"/>
      <c r="D21" s="64"/>
      <c r="E21" s="64"/>
      <c r="F21" s="65"/>
    </row>
    <row r="22" spans="1:8" x14ac:dyDescent="0.2">
      <c r="A22" s="9"/>
      <c r="B22" s="9"/>
      <c r="C22" s="9"/>
      <c r="D22" s="9"/>
      <c r="E22" s="9"/>
      <c r="F22" s="9"/>
      <c r="H22" s="4"/>
    </row>
    <row r="23" spans="1:8" x14ac:dyDescent="0.2">
      <c r="A23" s="67" t="s">
        <v>18</v>
      </c>
      <c r="B23" s="67"/>
      <c r="C23" s="67"/>
      <c r="D23" s="67"/>
      <c r="E23" s="67"/>
      <c r="F23" s="22"/>
    </row>
    <row r="24" spans="1:8" x14ac:dyDescent="0.2">
      <c r="A24" s="68" t="s">
        <v>19</v>
      </c>
      <c r="B24" s="68"/>
      <c r="C24" s="68"/>
      <c r="D24" s="68"/>
      <c r="E24" s="68"/>
      <c r="F24" s="22"/>
    </row>
    <row r="25" spans="1:8" ht="16" customHeight="1" x14ac:dyDescent="0.2">
      <c r="A25" s="66" t="s">
        <v>20</v>
      </c>
      <c r="B25" s="66"/>
      <c r="C25" s="66"/>
      <c r="D25" s="66"/>
      <c r="E25" s="66"/>
      <c r="F25" s="21"/>
    </row>
    <row r="26" spans="1:8" ht="32" customHeight="1" x14ac:dyDescent="0.2">
      <c r="A26" s="15" t="s">
        <v>0</v>
      </c>
      <c r="B26" s="15" t="s">
        <v>11</v>
      </c>
      <c r="C26" s="16" t="s">
        <v>21</v>
      </c>
      <c r="D26" s="15" t="s">
        <v>14</v>
      </c>
      <c r="E26" s="19" t="s">
        <v>23</v>
      </c>
    </row>
    <row r="27" spans="1:8" x14ac:dyDescent="0.2">
      <c r="A27" s="13" t="s">
        <v>4</v>
      </c>
      <c r="B27" s="7">
        <v>-11.452690226370896</v>
      </c>
      <c r="C27" s="7" cm="1">
        <f t="array" ref="C27">MMULT(B5:E5,$B$27:$B$30)</f>
        <v>1.0000000093344759</v>
      </c>
      <c r="D27" s="7">
        <v>1</v>
      </c>
      <c r="E27" s="7">
        <f>B27/SUM($B$27:$B$30)</f>
        <v>-2.7914227793434492E-2</v>
      </c>
      <c r="F27" s="9"/>
    </row>
    <row r="28" spans="1:8" x14ac:dyDescent="0.2">
      <c r="A28" s="13" t="s">
        <v>5</v>
      </c>
      <c r="B28" s="7">
        <v>85.429057455295165</v>
      </c>
      <c r="C28" s="7" cm="1">
        <f t="array" ref="C28">MMULT(B6:E6,$B$27:$B$30)</f>
        <v>1.0000000256875641</v>
      </c>
      <c r="D28" s="7">
        <v>1</v>
      </c>
      <c r="E28" s="7">
        <f>B28/SUM($B$27:$B$30)</f>
        <v>0.20822061217499346</v>
      </c>
      <c r="F28" s="9"/>
    </row>
    <row r="29" spans="1:8" x14ac:dyDescent="0.2">
      <c r="A29" s="13" t="s">
        <v>6</v>
      </c>
      <c r="B29" s="7">
        <v>-65.951571821359153</v>
      </c>
      <c r="C29" s="7" cm="1">
        <f t="array" ref="C29">MMULT(B7:E7,$B$27:$B$30)</f>
        <v>0.99999997539005259</v>
      </c>
      <c r="D29" s="7">
        <v>1</v>
      </c>
      <c r="E29" s="7">
        <f>B29/SUM($B$27:$B$30)</f>
        <v>-0.16074713999662965</v>
      </c>
      <c r="F29" s="9"/>
    </row>
    <row r="30" spans="1:8" x14ac:dyDescent="0.2">
      <c r="A30" s="13" t="s">
        <v>7</v>
      </c>
      <c r="B30" s="7">
        <v>402.25666790644431</v>
      </c>
      <c r="C30" s="7" cm="1">
        <f t="array" ref="C30">MMULT(B8:E8,$B$27:$B$30)</f>
        <v>1.0000009999999999</v>
      </c>
      <c r="D30" s="7">
        <v>1</v>
      </c>
      <c r="E30" s="7">
        <f>B30/SUM($B$27:$B$30)</f>
        <v>0.9804407556150706</v>
      </c>
      <c r="F30" s="9"/>
    </row>
    <row r="31" spans="1:8" x14ac:dyDescent="0.2">
      <c r="A31" s="7" t="s">
        <v>22</v>
      </c>
      <c r="B31" s="63">
        <f>(C27-D27)^2+(C28-D28)^2+(C29-D29)^2+(C30-D30)^2</f>
        <v>1.001352632734862E-12</v>
      </c>
      <c r="C31" s="64"/>
      <c r="D31" s="64"/>
      <c r="E31" s="65"/>
      <c r="F31" s="9"/>
    </row>
    <row r="32" spans="1:8" x14ac:dyDescent="0.2">
      <c r="A32" s="9"/>
      <c r="B32" s="9"/>
      <c r="C32" s="9"/>
      <c r="D32" s="9"/>
      <c r="E32" s="9"/>
      <c r="F32" s="9"/>
    </row>
    <row r="33" spans="1:8" x14ac:dyDescent="0.2">
      <c r="A33" s="79" t="s">
        <v>13</v>
      </c>
      <c r="B33" s="80"/>
      <c r="C33" s="22"/>
      <c r="D33" s="22"/>
      <c r="E33" s="22"/>
      <c r="F33" s="22"/>
    </row>
    <row r="34" spans="1:8" ht="32" customHeight="1" x14ac:dyDescent="0.2">
      <c r="A34" s="81" t="s">
        <v>26</v>
      </c>
      <c r="B34" s="81"/>
      <c r="C34" s="22"/>
      <c r="D34" s="22"/>
      <c r="E34" s="22"/>
      <c r="F34" s="22"/>
    </row>
    <row r="35" spans="1:8" x14ac:dyDescent="0.2">
      <c r="A35" s="6" t="s">
        <v>25</v>
      </c>
      <c r="B35" s="17" cm="1">
        <f t="array" ref="B35">MMULT(TRANSPOSE(E27:E30),N3:N6)</f>
        <v>3.0022177113164773E-2</v>
      </c>
      <c r="C35" s="18"/>
      <c r="D35" s="18"/>
      <c r="E35" s="18"/>
      <c r="F35" s="9"/>
    </row>
    <row r="36" spans="1:8" x14ac:dyDescent="0.2">
      <c r="A36" s="20" t="s">
        <v>17</v>
      </c>
      <c r="B36" s="17" cm="1">
        <f t="array" ref="B36">MMULT(TRANSPOSE(E27:E30),MMULT(B5:E8,E27:E30))</f>
        <v>2.43735357041831E-3</v>
      </c>
      <c r="C36" s="18"/>
      <c r="D36" s="18"/>
      <c r="E36" s="18"/>
    </row>
    <row r="38" spans="1:8" x14ac:dyDescent="0.2">
      <c r="A38" s="84" t="s">
        <v>27</v>
      </c>
      <c r="B38" s="84"/>
      <c r="C38" s="84"/>
      <c r="D38" s="84"/>
      <c r="E38" s="84"/>
      <c r="F38" s="84"/>
      <c r="G38" s="84"/>
    </row>
    <row r="39" spans="1:8" x14ac:dyDescent="0.2">
      <c r="A39" s="86" t="s">
        <v>19</v>
      </c>
      <c r="B39" s="86"/>
      <c r="C39" s="86"/>
      <c r="D39" s="86"/>
      <c r="E39" s="86"/>
      <c r="F39" s="86"/>
      <c r="G39" s="86"/>
    </row>
    <row r="40" spans="1:8" x14ac:dyDescent="0.2">
      <c r="A40" s="87" t="s">
        <v>34</v>
      </c>
      <c r="B40" s="87"/>
      <c r="C40" s="87"/>
      <c r="D40" s="87"/>
      <c r="E40" s="87"/>
      <c r="F40" s="87"/>
      <c r="G40" s="87"/>
    </row>
    <row r="41" spans="1:8" ht="31" customHeight="1" x14ac:dyDescent="0.2">
      <c r="A41" s="15" t="s">
        <v>0</v>
      </c>
      <c r="B41" s="15" t="s">
        <v>11</v>
      </c>
      <c r="C41" s="15" t="s">
        <v>28</v>
      </c>
      <c r="D41" s="15" t="s">
        <v>29</v>
      </c>
      <c r="E41" s="15" t="s">
        <v>30</v>
      </c>
      <c r="F41" s="24" t="s">
        <v>31</v>
      </c>
      <c r="G41" s="38" t="s">
        <v>23</v>
      </c>
      <c r="H41" s="37" t="s">
        <v>72</v>
      </c>
    </row>
    <row r="42" spans="1:8" x14ac:dyDescent="0.2">
      <c r="A42" s="13" t="s">
        <v>4</v>
      </c>
      <c r="B42" s="10">
        <v>7.372025569416409</v>
      </c>
      <c r="C42" s="10" cm="1">
        <f t="array" ref="C42">MMULT(B5:E5,$B$42:$B$45)</f>
        <v>0.12640000000001195</v>
      </c>
      <c r="D42" s="10">
        <f>N3</f>
        <v>0.13139999999999999</v>
      </c>
      <c r="E42" s="17">
        <v>5.0000000000000001E-3</v>
      </c>
      <c r="F42" s="10">
        <f>D42-E42</f>
        <v>0.12639999999999998</v>
      </c>
      <c r="G42" s="39">
        <f>B42/SUM($B$42:$B$45)</f>
        <v>0.71809155377884815</v>
      </c>
      <c r="H42" cm="1">
        <f t="array" ref="H42">MMULT(B5:E5,$G$42:$G$45)</f>
        <v>1.2312324685119121E-2</v>
      </c>
    </row>
    <row r="43" spans="1:8" x14ac:dyDescent="0.2">
      <c r="A43" s="13" t="s">
        <v>5</v>
      </c>
      <c r="B43" s="10">
        <v>12.354193887708554</v>
      </c>
      <c r="C43" s="10" cm="1">
        <f t="array" ref="C43">MMULT(B6:E6,$B$42:$B$45)</f>
        <v>0.13130000000003297</v>
      </c>
      <c r="D43" s="10">
        <f t="shared" ref="D43:D45" si="0">N4</f>
        <v>0.1363</v>
      </c>
      <c r="E43" s="17">
        <v>5.0000000000000001E-3</v>
      </c>
      <c r="F43" s="10">
        <f t="shared" ref="F43:F45" si="1">D43-E43</f>
        <v>0.1313</v>
      </c>
      <c r="G43" s="39">
        <f t="shared" ref="G43:G45" si="2">B43/SUM($B$42:$B$45)</f>
        <v>1.2033927719016408</v>
      </c>
      <c r="H43" cm="1">
        <f t="array" ref="H43">MMULT(B6:E6,$G$42:$G$45)</f>
        <v>1.2789622081933495E-2</v>
      </c>
    </row>
    <row r="44" spans="1:8" x14ac:dyDescent="0.2">
      <c r="A44" s="13" t="s">
        <v>6</v>
      </c>
      <c r="B44" s="10">
        <v>-8.2864085226106816</v>
      </c>
      <c r="C44" s="10" cm="1">
        <f t="array" ref="C44">MMULT(B7:E7,$B$42:$B$45)</f>
        <v>3.7599999999968464E-2</v>
      </c>
      <c r="D44" s="10">
        <f t="shared" si="0"/>
        <v>4.2599999999999999E-2</v>
      </c>
      <c r="E44" s="17">
        <v>5.0000000000000001E-3</v>
      </c>
      <c r="F44" s="10">
        <f t="shared" si="1"/>
        <v>3.7600000000000001E-2</v>
      </c>
      <c r="G44" s="39">
        <f t="shared" si="2"/>
        <v>-0.80715943199296925</v>
      </c>
      <c r="H44" cm="1">
        <f t="array" ref="H44">MMULT(B7:E7,$G$42:$G$45)</f>
        <v>3.6625269632915131E-3</v>
      </c>
    </row>
    <row r="45" spans="1:8" x14ac:dyDescent="0.2">
      <c r="A45" s="13" t="s">
        <v>7</v>
      </c>
      <c r="B45" s="10">
        <v>-1.1736749096268699</v>
      </c>
      <c r="C45" s="10" cm="1">
        <f t="array" ref="C45">MMULT(B8:E8,$B$42:$B$45)</f>
        <v>7.4000000000184144E-3</v>
      </c>
      <c r="D45" s="10">
        <f t="shared" si="0"/>
        <v>1.24E-2</v>
      </c>
      <c r="E45" s="17">
        <v>5.0000000000000001E-3</v>
      </c>
      <c r="F45" s="10">
        <f t="shared" si="1"/>
        <v>7.3999999999999995E-3</v>
      </c>
      <c r="G45" s="39">
        <f t="shared" si="2"/>
        <v>-0.11432489368751976</v>
      </c>
      <c r="H45" cm="1">
        <f t="array" ref="H45">MMULT(B8:E8,$G$42:$G$45)</f>
        <v>7.2081647682040824E-4</v>
      </c>
    </row>
    <row r="46" spans="1:8" x14ac:dyDescent="0.2">
      <c r="A46" s="23"/>
    </row>
    <row r="47" spans="1:8" x14ac:dyDescent="0.2">
      <c r="A47" s="25" t="s">
        <v>25</v>
      </c>
      <c r="B47" s="10">
        <f>SUMPRODUCT(B42:B45,N3:N6)</f>
        <v>2.285006214773404</v>
      </c>
    </row>
    <row r="48" spans="1:8" x14ac:dyDescent="0.2">
      <c r="A48" s="20" t="s">
        <v>32</v>
      </c>
      <c r="B48" s="10" cm="1">
        <f t="array" ref="B48">MMULT(TRANSPOSE(B42:B45),MMULT(B5:E8,B42:B45))</f>
        <v>2.2336755346497021</v>
      </c>
    </row>
    <row r="49" spans="1:10" x14ac:dyDescent="0.2">
      <c r="A49" s="26" t="s">
        <v>33</v>
      </c>
      <c r="B49" s="10">
        <f>(B47-E42)/SQRT(B48)</f>
        <v>1.5255483870878412</v>
      </c>
    </row>
    <row r="50" spans="1:10" x14ac:dyDescent="0.2">
      <c r="A50" s="23"/>
    </row>
    <row r="51" spans="1:10" x14ac:dyDescent="0.2">
      <c r="A51" s="82" t="s">
        <v>13</v>
      </c>
      <c r="B51" s="83"/>
      <c r="C51" s="27"/>
      <c r="D51" s="27"/>
      <c r="E51" s="27"/>
      <c r="F51" s="27"/>
      <c r="G51" s="27"/>
    </row>
    <row r="52" spans="1:10" x14ac:dyDescent="0.2">
      <c r="A52" s="25" t="s">
        <v>25</v>
      </c>
      <c r="B52" s="17">
        <f>SUMPRODUCT(G42:G45,N3:N6)</f>
        <v>0.22257704449210858</v>
      </c>
      <c r="C52" s="18"/>
      <c r="D52" s="18"/>
      <c r="E52" s="18"/>
      <c r="F52" s="18"/>
      <c r="G52" s="18"/>
    </row>
    <row r="53" spans="1:10" x14ac:dyDescent="0.2">
      <c r="A53" s="20" t="s">
        <v>32</v>
      </c>
      <c r="B53" s="17" cm="1">
        <f t="array" ref="B53">MMULT(TRANSPOSE(G42:G45),MMULT(B5:E8,G42:G45))</f>
        <v>2.1193664682089223E-2</v>
      </c>
      <c r="C53" s="18"/>
      <c r="D53" s="18"/>
      <c r="E53" s="18"/>
      <c r="F53" s="18"/>
      <c r="G53" s="18"/>
    </row>
    <row r="54" spans="1:10" x14ac:dyDescent="0.2">
      <c r="A54" s="26" t="s">
        <v>33</v>
      </c>
      <c r="B54" s="17">
        <f>(B52-E42)/SQRT(B53)</f>
        <v>1.4945486056492883</v>
      </c>
      <c r="C54" s="18"/>
      <c r="D54" s="18"/>
      <c r="E54" s="18"/>
      <c r="F54" s="18"/>
      <c r="G54" s="18"/>
    </row>
    <row r="56" spans="1:10" x14ac:dyDescent="0.2">
      <c r="A56" s="67" t="s">
        <v>35</v>
      </c>
      <c r="B56" s="67"/>
      <c r="C56" s="67"/>
      <c r="D56" s="67"/>
    </row>
    <row r="57" spans="1:10" x14ac:dyDescent="0.2">
      <c r="A57" s="86" t="s">
        <v>46</v>
      </c>
      <c r="B57" s="86"/>
      <c r="C57" s="86"/>
      <c r="D57" s="86"/>
    </row>
    <row r="58" spans="1:10" x14ac:dyDescent="0.2">
      <c r="A58" s="88" t="s">
        <v>36</v>
      </c>
      <c r="B58" s="88"/>
      <c r="C58" s="88"/>
      <c r="D58" s="88"/>
      <c r="H58" s="57" t="s">
        <v>40</v>
      </c>
      <c r="I58" s="57"/>
      <c r="J58" s="57"/>
    </row>
    <row r="59" spans="1:10" ht="32" customHeight="1" x14ac:dyDescent="0.2">
      <c r="A59" s="28" t="s">
        <v>42</v>
      </c>
      <c r="B59" s="28" t="s">
        <v>43</v>
      </c>
      <c r="C59" s="28" t="s">
        <v>37</v>
      </c>
      <c r="D59" s="29" t="s">
        <v>41</v>
      </c>
      <c r="H59" s="14"/>
      <c r="I59" s="14" t="s">
        <v>38</v>
      </c>
      <c r="J59" s="14" t="s">
        <v>39</v>
      </c>
    </row>
    <row r="60" spans="1:10" x14ac:dyDescent="0.2">
      <c r="A60" s="10">
        <v>2</v>
      </c>
      <c r="B60" s="10">
        <v>-1</v>
      </c>
      <c r="C60" s="10">
        <f>A60*$B$35+B60*$B$52</f>
        <v>-0.16253269026577905</v>
      </c>
      <c r="D60" s="10" cm="1">
        <f t="array" ref="D60">SQRT(MMULT(A60:B60,MMULT($I$60:$J$61,TRANSPOSE(A60:B60))))</f>
        <v>0.1455804405890064</v>
      </c>
      <c r="H60" s="14" t="s">
        <v>38</v>
      </c>
      <c r="I60" s="10">
        <f>B36</f>
        <v>2.43735357041831E-3</v>
      </c>
      <c r="J60" s="10">
        <f>I60</f>
        <v>2.43735357041831E-3</v>
      </c>
    </row>
    <row r="61" spans="1:10" x14ac:dyDescent="0.2">
      <c r="A61" s="10">
        <v>1.9</v>
      </c>
      <c r="B61" s="10">
        <v>-0.9</v>
      </c>
      <c r="C61" s="10">
        <f t="shared" ref="C61:C90" si="3">A61*$B$35+B61*$B$52</f>
        <v>-0.14327720352788464</v>
      </c>
      <c r="D61" s="10" cm="1">
        <f t="array" ref="D61">SQRT(MMULT(A61:B61,MMULT($I$60:$J$61,TRANSPOSE(A61:B61))))</f>
        <v>0.13277788057832429</v>
      </c>
      <c r="H61" s="14" t="s">
        <v>39</v>
      </c>
      <c r="I61" s="10">
        <f>I60</f>
        <v>2.43735357041831E-3</v>
      </c>
      <c r="J61" s="10">
        <f>B53</f>
        <v>2.1193664682089223E-2</v>
      </c>
    </row>
    <row r="62" spans="1:10" x14ac:dyDescent="0.2">
      <c r="A62" s="10">
        <v>1.8</v>
      </c>
      <c r="B62" s="10">
        <v>-0.8</v>
      </c>
      <c r="C62" s="10">
        <f t="shared" si="3"/>
        <v>-0.12402171678999027</v>
      </c>
      <c r="D62" s="10" cm="1">
        <f t="array" ref="D62">SQRT(MMULT(A62:B62,MMULT($I$60:$J$61,TRANSPOSE(A62:B62))))</f>
        <v>0.12017234574513261</v>
      </c>
    </row>
    <row r="63" spans="1:10" ht="16" customHeight="1" x14ac:dyDescent="0.2">
      <c r="A63" s="10">
        <v>1.7</v>
      </c>
      <c r="B63" s="10">
        <v>-0.7</v>
      </c>
      <c r="C63" s="10">
        <f t="shared" si="3"/>
        <v>-0.10476623005209587</v>
      </c>
      <c r="D63" s="10" cm="1">
        <f t="array" ref="D63">SQRT(MMULT(A63:B63,MMULT($I$60:$J$61,TRANSPOSE(A63:B63))))</f>
        <v>0.10783295421686756</v>
      </c>
      <c r="H63" s="89" t="s">
        <v>47</v>
      </c>
      <c r="I63" s="89"/>
    </row>
    <row r="64" spans="1:10" x14ac:dyDescent="0.2">
      <c r="A64" s="10">
        <v>1.6</v>
      </c>
      <c r="B64" s="10">
        <v>-0.6</v>
      </c>
      <c r="C64" s="10">
        <f t="shared" si="3"/>
        <v>-8.5510743314201498E-2</v>
      </c>
      <c r="D64" s="10" cm="1">
        <f t="array" ref="D64">SQRT(MMULT(A64:B64,MMULT($I$60:$J$61,TRANSPOSE(A64:B64))))</f>
        <v>9.5862534760039808E-2</v>
      </c>
      <c r="H64" s="89"/>
      <c r="I64" s="89"/>
    </row>
    <row r="65" spans="1:10" x14ac:dyDescent="0.2">
      <c r="A65" s="10">
        <v>1.5</v>
      </c>
      <c r="B65" s="10">
        <v>-0.5</v>
      </c>
      <c r="C65" s="10">
        <f t="shared" si="3"/>
        <v>-6.6255256576307126E-2</v>
      </c>
      <c r="D65" s="10" cm="1">
        <f t="array" ref="D65">SQRT(MMULT(A65:B65,MMULT($I$60:$J$61,TRANSPOSE(A65:B65))))</f>
        <v>8.4418193230701391E-2</v>
      </c>
      <c r="H65" s="88" t="s">
        <v>45</v>
      </c>
      <c r="I65" s="88"/>
    </row>
    <row r="66" spans="1:10" ht="16" customHeight="1" x14ac:dyDescent="0.2">
      <c r="A66" s="10">
        <v>1.4</v>
      </c>
      <c r="B66" s="10">
        <v>-0.4</v>
      </c>
      <c r="C66" s="10">
        <f t="shared" si="3"/>
        <v>-4.699976983841276E-2</v>
      </c>
      <c r="D66" s="10" cm="1">
        <f t="array" ref="D66">SQRT(MMULT(A66:B66,MMULT($I$60:$J$61,TRANSPOSE(A66:B66))))</f>
        <v>7.3745259836044075E-2</v>
      </c>
      <c r="H66" s="25" t="s">
        <v>25</v>
      </c>
      <c r="I66" s="10">
        <f>B52</f>
        <v>0.22257704449210858</v>
      </c>
    </row>
    <row r="67" spans="1:10" ht="16" customHeight="1" x14ac:dyDescent="0.2">
      <c r="A67" s="10">
        <v>1.3</v>
      </c>
      <c r="B67" s="10">
        <v>-0.3</v>
      </c>
      <c r="C67" s="10">
        <f t="shared" si="3"/>
        <v>-2.7744283100518366E-2</v>
      </c>
      <c r="D67" s="10" cm="1">
        <f t="array" ref="D67">SQRT(MMULT(A67:B67,MMULT($I$60:$J$61,TRANSPOSE(A67:B67))))</f>
        <v>6.4229444731125393E-2</v>
      </c>
      <c r="H67" s="30" t="s">
        <v>44</v>
      </c>
      <c r="I67" s="10">
        <f>SQRT(B53)</f>
        <v>0.1455804405890064</v>
      </c>
    </row>
    <row r="68" spans="1:10" x14ac:dyDescent="0.2">
      <c r="A68" s="10">
        <v>1.2</v>
      </c>
      <c r="B68" s="10">
        <v>-0.2</v>
      </c>
      <c r="C68" s="10">
        <f t="shared" si="3"/>
        <v>-8.4887963626239932E-3</v>
      </c>
      <c r="D68" s="10" cm="1">
        <f t="array" ref="D68">SQRT(MMULT(A68:B68,MMULT($I$60:$J$61,TRANSPOSE(A68:B68))))</f>
        <v>5.6458887828978233E-2</v>
      </c>
    </row>
    <row r="69" spans="1:10" x14ac:dyDescent="0.2">
      <c r="A69" s="10">
        <v>1.1000000000000001</v>
      </c>
      <c r="B69" s="10">
        <v>-0.1</v>
      </c>
      <c r="C69" s="10">
        <f t="shared" si="3"/>
        <v>1.0766690375270394E-2</v>
      </c>
      <c r="D69" s="10" cm="1">
        <f t="array" ref="D69">SQRT(MMULT(A69:B69,MMULT($I$60:$J$61,TRANSPOSE(A69:B69))))</f>
        <v>5.1233940718385301E-2</v>
      </c>
      <c r="H69" s="68" t="s">
        <v>49</v>
      </c>
      <c r="I69" s="68"/>
      <c r="J69" s="68"/>
    </row>
    <row r="70" spans="1:10" x14ac:dyDescent="0.2">
      <c r="A70" s="10">
        <v>1</v>
      </c>
      <c r="B70" s="10">
        <v>0</v>
      </c>
      <c r="C70" s="10">
        <f t="shared" si="3"/>
        <v>3.0022177113164773E-2</v>
      </c>
      <c r="D70" s="10" cm="1">
        <f t="array" ref="D70">SQRT(MMULT(A70:B70,MMULT($I$60:$J$61,TRANSPOSE(A70:B70))))</f>
        <v>4.9369561173037681E-2</v>
      </c>
      <c r="H70" s="31"/>
      <c r="I70" s="98" t="s">
        <v>51</v>
      </c>
      <c r="J70" s="99" t="s">
        <v>48</v>
      </c>
    </row>
    <row r="71" spans="1:10" x14ac:dyDescent="0.2">
      <c r="A71" s="10">
        <v>0.9</v>
      </c>
      <c r="B71" s="10">
        <v>0.1</v>
      </c>
      <c r="C71" s="10">
        <f t="shared" si="3"/>
        <v>4.9277663851059153E-2</v>
      </c>
      <c r="D71" s="10" cm="1">
        <f t="array" ref="D71">SQRT(MMULT(A71:B71,MMULT($I$60:$J$61,TRANSPOSE(A71:B71))))</f>
        <v>5.1233940718385301E-2</v>
      </c>
      <c r="H71" s="15" t="s">
        <v>50</v>
      </c>
      <c r="I71" s="7">
        <f>E42</f>
        <v>5.0000000000000001E-3</v>
      </c>
      <c r="J71" s="7">
        <v>0</v>
      </c>
    </row>
    <row r="72" spans="1:10" x14ac:dyDescent="0.2">
      <c r="A72" s="10">
        <v>0.8</v>
      </c>
      <c r="B72" s="10">
        <v>0.2</v>
      </c>
      <c r="C72" s="10">
        <f t="shared" si="3"/>
        <v>6.853315058895354E-2</v>
      </c>
      <c r="D72" s="10" cm="1">
        <f t="array" ref="D72">SQRT(MMULT(A72:B72,MMULT($I$60:$J$61,TRANSPOSE(A72:B72))))</f>
        <v>5.6458887828978239E-2</v>
      </c>
      <c r="H72" s="15" t="s">
        <v>39</v>
      </c>
      <c r="I72" s="32">
        <f>I66</f>
        <v>0.22257704449210858</v>
      </c>
      <c r="J72" s="7">
        <f>I67</f>
        <v>0.1455804405890064</v>
      </c>
    </row>
    <row r="73" spans="1:10" x14ac:dyDescent="0.2">
      <c r="A73" s="10">
        <v>0.7</v>
      </c>
      <c r="B73" s="10">
        <v>0.3</v>
      </c>
      <c r="C73" s="10">
        <f t="shared" si="3"/>
        <v>8.7788637326847913E-2</v>
      </c>
      <c r="D73" s="10" cm="1">
        <f t="array" ref="D73">SQRT(MMULT(A73:B73,MMULT($I$60:$J$61,TRANSPOSE(A73:B73))))</f>
        <v>6.4229444731125393E-2</v>
      </c>
      <c r="H73" s="15" t="s">
        <v>73</v>
      </c>
      <c r="I73" s="7">
        <f>A74*B35+B74*B52</f>
        <v>0.1070441240647423</v>
      </c>
      <c r="J73" s="7">
        <f>SQRT(A74^2*B36+B74^2*B53+2*A74*B74*I60)</f>
        <v>7.3745259836044075E-2</v>
      </c>
    </row>
    <row r="74" spans="1:10" x14ac:dyDescent="0.2">
      <c r="A74" s="10">
        <v>0.6</v>
      </c>
      <c r="B74" s="10">
        <v>0.4</v>
      </c>
      <c r="C74" s="10">
        <f t="shared" si="3"/>
        <v>0.1070441240647423</v>
      </c>
      <c r="D74" s="10" cm="1">
        <f t="array" ref="D74">SQRT(MMULT(A74:B74,MMULT($I$60:$J$61,TRANSPOSE(A74:B74))))</f>
        <v>7.3745259836044075E-2</v>
      </c>
      <c r="H74" s="18"/>
    </row>
    <row r="75" spans="1:10" x14ac:dyDescent="0.2">
      <c r="A75" s="10">
        <v>0.5</v>
      </c>
      <c r="B75" s="10">
        <v>0.5</v>
      </c>
      <c r="C75" s="10">
        <f t="shared" si="3"/>
        <v>0.12629961080263669</v>
      </c>
      <c r="D75" s="10" cm="1">
        <f t="array" ref="D75">SQRT(MMULT(A75:B75,MMULT($I$60:$J$61,TRANSPOSE(A75:B75))))</f>
        <v>8.4418193230701391E-2</v>
      </c>
    </row>
    <row r="76" spans="1:10" x14ac:dyDescent="0.2">
      <c r="A76" s="10">
        <v>0.4</v>
      </c>
      <c r="B76" s="10">
        <v>0.6</v>
      </c>
      <c r="C76" s="10">
        <f t="shared" si="3"/>
        <v>0.14555509754053106</v>
      </c>
      <c r="D76" s="10" cm="1">
        <f t="array" ref="D76">SQRT(MMULT(A76:B76,MMULT($I$60:$J$61,TRANSPOSE(A76:B76))))</f>
        <v>9.5862534760039808E-2</v>
      </c>
    </row>
    <row r="77" spans="1:10" x14ac:dyDescent="0.2">
      <c r="A77" s="10">
        <v>0.3</v>
      </c>
      <c r="B77" s="10">
        <v>0.7</v>
      </c>
      <c r="C77" s="10">
        <f t="shared" si="3"/>
        <v>0.16481058427842543</v>
      </c>
      <c r="D77" s="10" cm="1">
        <f t="array" ref="D77">SQRT(MMULT(A77:B77,MMULT($I$60:$J$61,TRANSPOSE(A77:B77))))</f>
        <v>0.10783295421686756</v>
      </c>
    </row>
    <row r="78" spans="1:10" x14ac:dyDescent="0.2">
      <c r="A78" s="10">
        <v>0.2</v>
      </c>
      <c r="B78" s="10">
        <v>0.8</v>
      </c>
      <c r="C78" s="10">
        <f t="shared" si="3"/>
        <v>0.18406607101631983</v>
      </c>
      <c r="D78" s="10" cm="1">
        <f t="array" ref="D78">SQRT(MMULT(A78:B78,MMULT($I$60:$J$61,TRANSPOSE(A78:B78))))</f>
        <v>0.12017234574513262</v>
      </c>
    </row>
    <row r="79" spans="1:10" x14ac:dyDescent="0.2">
      <c r="A79" s="10">
        <v>0.1</v>
      </c>
      <c r="B79" s="10">
        <v>0.9</v>
      </c>
      <c r="C79" s="10">
        <f t="shared" si="3"/>
        <v>0.2033215577542142</v>
      </c>
      <c r="D79" s="10" cm="1">
        <f t="array" ref="D79">SQRT(MMULT(A79:B79,MMULT($I$60:$J$61,TRANSPOSE(A79:B79))))</f>
        <v>0.13277788057832432</v>
      </c>
    </row>
    <row r="80" spans="1:10" x14ac:dyDescent="0.2">
      <c r="A80" s="10">
        <v>0</v>
      </c>
      <c r="B80" s="10">
        <v>1</v>
      </c>
      <c r="C80" s="10">
        <f t="shared" si="3"/>
        <v>0.22257704449210858</v>
      </c>
      <c r="D80" s="10" cm="1">
        <f t="array" ref="D80">SQRT(MMULT(A80:B80,MMULT($I$60:$J$61,TRANSPOSE(A80:B80))))</f>
        <v>0.1455804405890064</v>
      </c>
    </row>
    <row r="81" spans="1:4" x14ac:dyDescent="0.2">
      <c r="A81" s="10">
        <v>-0.1</v>
      </c>
      <c r="B81" s="10">
        <v>1.1000000000000001</v>
      </c>
      <c r="C81" s="10">
        <f t="shared" si="3"/>
        <v>0.24183253123000298</v>
      </c>
      <c r="D81" s="10" cm="1">
        <f t="array" ref="D81">SQRT(MMULT(A81:B81,MMULT($I$60:$J$61,TRANSPOSE(A81:B81))))</f>
        <v>0.15853229959708562</v>
      </c>
    </row>
    <row r="82" spans="1:4" x14ac:dyDescent="0.2">
      <c r="A82" s="10">
        <v>-0.2</v>
      </c>
      <c r="B82" s="10">
        <v>1.2</v>
      </c>
      <c r="C82" s="10">
        <f t="shared" si="3"/>
        <v>0.26108801796789732</v>
      </c>
      <c r="D82" s="10" cm="1">
        <f t="array" ref="D82">SQRT(MMULT(A82:B82,MMULT($I$60:$J$61,TRANSPOSE(A82:B82))))</f>
        <v>0.17159965492746315</v>
      </c>
    </row>
    <row r="83" spans="1:4" x14ac:dyDescent="0.2">
      <c r="A83" s="10">
        <v>-0.3</v>
      </c>
      <c r="B83" s="10">
        <v>1.3</v>
      </c>
      <c r="C83" s="10">
        <f t="shared" si="3"/>
        <v>0.28034350470579172</v>
      </c>
      <c r="D83" s="10" cm="1">
        <f t="array" ref="D83">SQRT(MMULT(A83:B83,MMULT($I$60:$J$61,TRANSPOSE(A83:B83))))</f>
        <v>0.18475800212478527</v>
      </c>
    </row>
    <row r="84" spans="1:4" x14ac:dyDescent="0.2">
      <c r="A84" s="10">
        <v>-0.4</v>
      </c>
      <c r="B84" s="10">
        <v>1.4</v>
      </c>
      <c r="C84" s="10">
        <f t="shared" si="3"/>
        <v>0.29959899144368607</v>
      </c>
      <c r="D84" s="10" cm="1">
        <f t="array" ref="D84">SQRT(MMULT(A84:B84,MMULT($I$60:$J$61,TRANSPOSE(A84:B84))))</f>
        <v>0.19798920008246232</v>
      </c>
    </row>
    <row r="85" spans="1:4" x14ac:dyDescent="0.2">
      <c r="A85" s="10">
        <v>-0.5</v>
      </c>
      <c r="B85" s="10">
        <v>1.5</v>
      </c>
      <c r="C85" s="10">
        <f t="shared" si="3"/>
        <v>0.31885447818158047</v>
      </c>
      <c r="D85" s="10" cm="1">
        <f t="array" ref="D85">SQRT(MMULT(A85:B85,MMULT($I$60:$J$61,TRANSPOSE(A85:B85))))</f>
        <v>0.21127956259817907</v>
      </c>
    </row>
    <row r="86" spans="1:4" x14ac:dyDescent="0.2">
      <c r="A86" s="10">
        <v>-0.6</v>
      </c>
      <c r="B86" s="10">
        <v>1.6</v>
      </c>
      <c r="C86" s="10">
        <f t="shared" si="3"/>
        <v>0.33810996491947487</v>
      </c>
      <c r="D86" s="10" cm="1">
        <f t="array" ref="D86">SQRT(MMULT(A86:B86,MMULT($I$60:$J$61,TRANSPOSE(A86:B86))))</f>
        <v>0.22461858786907163</v>
      </c>
    </row>
    <row r="87" spans="1:4" x14ac:dyDescent="0.2">
      <c r="A87" s="10">
        <v>-0.7</v>
      </c>
      <c r="B87" s="10">
        <v>1.7</v>
      </c>
      <c r="C87" s="10">
        <f t="shared" si="3"/>
        <v>0.35736545165736922</v>
      </c>
      <c r="D87" s="10" cm="1">
        <f t="array" ref="D87">SQRT(MMULT(A87:B87,MMULT($I$60:$J$61,TRANSPOSE(A87:B87))))</f>
        <v>0.237998093864525</v>
      </c>
    </row>
    <row r="88" spans="1:4" x14ac:dyDescent="0.2">
      <c r="A88" s="10">
        <v>-0.8</v>
      </c>
      <c r="B88" s="10">
        <v>1.8</v>
      </c>
      <c r="C88" s="10">
        <f t="shared" si="3"/>
        <v>0.37662093839526362</v>
      </c>
      <c r="D88" s="10" cm="1">
        <f t="array" ref="D88">SQRT(MMULT(A88:B88,MMULT($I$60:$J$61,TRANSPOSE(A88:B88))))</f>
        <v>0.2514116178147543</v>
      </c>
    </row>
    <row r="89" spans="1:4" x14ac:dyDescent="0.2">
      <c r="A89" s="10">
        <v>-0.9</v>
      </c>
      <c r="B89" s="10">
        <v>1.9</v>
      </c>
      <c r="C89" s="10">
        <f t="shared" si="3"/>
        <v>0.39587642513315796</v>
      </c>
      <c r="D89" s="10" cm="1">
        <f t="array" ref="D89">SQRT(MMULT(A89:B89,MMULT($I$60:$J$61,TRANSPOSE(A89:B89))))</f>
        <v>0.26485399125471054</v>
      </c>
    </row>
    <row r="90" spans="1:4" x14ac:dyDescent="0.2">
      <c r="A90" s="10">
        <v>-1</v>
      </c>
      <c r="B90" s="10">
        <v>2</v>
      </c>
      <c r="C90" s="10">
        <f t="shared" si="3"/>
        <v>0.41513191187105236</v>
      </c>
      <c r="D90" s="10" cm="1">
        <f t="array" ref="D90">SQRT(MMULT(A90:B90,MMULT($I$60:$J$61,TRANSPOSE(A90:B90))))</f>
        <v>0.27832103409031439</v>
      </c>
    </row>
    <row r="95" spans="1:4" x14ac:dyDescent="0.2">
      <c r="A95" s="68" t="s">
        <v>13</v>
      </c>
      <c r="B95" s="68"/>
      <c r="C95" s="68"/>
      <c r="D95" s="22"/>
    </row>
    <row r="96" spans="1:4" x14ac:dyDescent="0.2">
      <c r="A96" s="57" t="s">
        <v>65</v>
      </c>
      <c r="B96" s="57"/>
      <c r="C96" s="57"/>
      <c r="D96" s="22"/>
    </row>
    <row r="97" spans="1:16" x14ac:dyDescent="0.2">
      <c r="A97" s="7"/>
      <c r="B97" s="13" t="s">
        <v>52</v>
      </c>
      <c r="C97" s="13" t="s">
        <v>54</v>
      </c>
      <c r="D97" s="33"/>
      <c r="E97" s="33"/>
    </row>
    <row r="98" spans="1:16" x14ac:dyDescent="0.2">
      <c r="A98" s="13" t="s">
        <v>4</v>
      </c>
      <c r="B98" s="7">
        <f>H42</f>
        <v>1.2312324685119121E-2</v>
      </c>
      <c r="C98" s="7">
        <f>B98/$B$53</f>
        <v>0.58094363904531676</v>
      </c>
      <c r="D98" s="9"/>
    </row>
    <row r="99" spans="1:16" x14ac:dyDescent="0.2">
      <c r="A99" s="13" t="s">
        <v>5</v>
      </c>
      <c r="B99" s="7">
        <f t="shared" ref="B99:B101" si="4">H43</f>
        <v>1.2789622081933495E-2</v>
      </c>
      <c r="C99" s="7">
        <f t="shared" ref="C99:C101" si="5">B99/$B$53</f>
        <v>0.60346439720460476</v>
      </c>
      <c r="D99" s="9"/>
    </row>
    <row r="100" spans="1:16" x14ac:dyDescent="0.2">
      <c r="A100" s="13" t="s">
        <v>6</v>
      </c>
      <c r="B100" s="7">
        <f t="shared" si="4"/>
        <v>3.6625269632915131E-3</v>
      </c>
      <c r="C100" s="7">
        <f t="shared" si="5"/>
        <v>0.17281234832344575</v>
      </c>
      <c r="D100" s="9"/>
    </row>
    <row r="101" spans="1:16" x14ac:dyDescent="0.2">
      <c r="A101" s="13" t="s">
        <v>7</v>
      </c>
      <c r="B101" s="7">
        <f t="shared" si="4"/>
        <v>7.2081647682040824E-4</v>
      </c>
      <c r="C101" s="7">
        <f t="shared" si="5"/>
        <v>3.4010940893557245E-2</v>
      </c>
      <c r="D101" s="9"/>
    </row>
    <row r="102" spans="1:16" ht="48" customHeight="1" x14ac:dyDescent="0.2">
      <c r="A102" s="35" t="s">
        <v>55</v>
      </c>
      <c r="B102" s="7"/>
      <c r="C102" s="36">
        <f>SUM(C98:C101)/4</f>
        <v>0.34780783136673116</v>
      </c>
      <c r="D102" s="9"/>
    </row>
    <row r="103" spans="1:16" ht="16" customHeight="1" x14ac:dyDescent="0.2">
      <c r="A103" s="58" t="s">
        <v>53</v>
      </c>
      <c r="B103" s="58"/>
      <c r="C103" s="58"/>
      <c r="D103" s="34"/>
    </row>
    <row r="104" spans="1:16" x14ac:dyDescent="0.2">
      <c r="A104" s="58"/>
      <c r="B104" s="58"/>
      <c r="C104" s="58"/>
      <c r="D104" s="34"/>
    </row>
    <row r="105" spans="1:16" x14ac:dyDescent="0.2">
      <c r="A105" s="58"/>
      <c r="B105" s="58"/>
      <c r="C105" s="58"/>
      <c r="D105" s="34"/>
    </row>
    <row r="106" spans="1:16" s="9" customFormat="1" x14ac:dyDescent="0.2">
      <c r="N106" s="100" t="s">
        <v>74</v>
      </c>
      <c r="O106" s="100"/>
      <c r="P106" s="100"/>
    </row>
    <row r="107" spans="1:16" s="9" customFormat="1" x14ac:dyDescent="0.2">
      <c r="A107" s="67" t="s">
        <v>56</v>
      </c>
      <c r="B107" s="67"/>
      <c r="F107" s="92" t="s">
        <v>64</v>
      </c>
      <c r="G107" s="92"/>
      <c r="H107" s="92"/>
      <c r="I107" s="92"/>
      <c r="J107" s="92"/>
      <c r="K107" s="92"/>
      <c r="L107" s="92"/>
    </row>
    <row r="108" spans="1:16" s="9" customFormat="1" x14ac:dyDescent="0.2">
      <c r="A108" s="68" t="s">
        <v>19</v>
      </c>
      <c r="B108" s="68"/>
      <c r="F108" s="93"/>
      <c r="G108" s="93"/>
      <c r="H108" s="93"/>
      <c r="I108" s="93"/>
      <c r="J108" s="93"/>
      <c r="K108" s="93"/>
      <c r="L108" s="93"/>
    </row>
    <row r="109" spans="1:16" s="9" customFormat="1" x14ac:dyDescent="0.2">
      <c r="A109" s="57" t="s">
        <v>61</v>
      </c>
      <c r="B109" s="57"/>
      <c r="F109" s="96" t="s">
        <v>0</v>
      </c>
      <c r="G109" s="59" t="s">
        <v>1</v>
      </c>
      <c r="H109" s="59"/>
      <c r="I109" s="59"/>
      <c r="J109" s="59"/>
      <c r="K109" s="95" t="s">
        <v>2</v>
      </c>
      <c r="L109" s="95" t="s">
        <v>3</v>
      </c>
    </row>
    <row r="110" spans="1:16" s="9" customFormat="1" x14ac:dyDescent="0.2">
      <c r="A110" s="31" t="s">
        <v>63</v>
      </c>
      <c r="B110" s="31" t="s">
        <v>11</v>
      </c>
      <c r="F110" s="97"/>
      <c r="G110" s="13" t="s">
        <v>58</v>
      </c>
      <c r="H110" s="13" t="s">
        <v>59</v>
      </c>
      <c r="I110" s="13" t="s">
        <v>60</v>
      </c>
      <c r="J110" s="13" t="s">
        <v>57</v>
      </c>
      <c r="K110" s="95"/>
      <c r="L110" s="95"/>
    </row>
    <row r="111" spans="1:16" s="9" customFormat="1" x14ac:dyDescent="0.2">
      <c r="A111" s="13" t="s">
        <v>58</v>
      </c>
      <c r="B111" s="7">
        <v>0.25</v>
      </c>
      <c r="F111" s="13" t="s">
        <v>58</v>
      </c>
      <c r="G111" s="7">
        <v>1</v>
      </c>
      <c r="H111" s="40">
        <v>0.33770334800000001</v>
      </c>
      <c r="I111" s="40">
        <v>0.27471828199999998</v>
      </c>
      <c r="J111" s="40">
        <v>0.43010883700000002</v>
      </c>
      <c r="K111" s="40">
        <v>1.31231E-2</v>
      </c>
      <c r="L111" s="40">
        <v>0.23676739999999999</v>
      </c>
    </row>
    <row r="112" spans="1:16" s="9" customFormat="1" x14ac:dyDescent="0.2">
      <c r="A112" s="13" t="s">
        <v>59</v>
      </c>
      <c r="B112" s="7">
        <v>0.25</v>
      </c>
      <c r="F112" s="13" t="s">
        <v>59</v>
      </c>
      <c r="G112" s="40">
        <v>0.33770334800000001</v>
      </c>
      <c r="H112" s="7">
        <v>1</v>
      </c>
      <c r="I112" s="40">
        <v>0.26235618500000002</v>
      </c>
      <c r="J112" s="40">
        <v>0.54887033799999996</v>
      </c>
      <c r="K112" s="40">
        <v>4.2892470000000004E-3</v>
      </c>
      <c r="L112" s="40">
        <v>0.25742430500000002</v>
      </c>
    </row>
    <row r="113" spans="1:21" s="9" customFormat="1" x14ac:dyDescent="0.2">
      <c r="A113" s="13" t="s">
        <v>60</v>
      </c>
      <c r="B113" s="7">
        <v>0.25</v>
      </c>
      <c r="F113" s="13" t="s">
        <v>60</v>
      </c>
      <c r="G113" s="40">
        <v>0.27471828199999998</v>
      </c>
      <c r="H113" s="40">
        <v>0.26235618500000002</v>
      </c>
      <c r="I113" s="7">
        <v>1</v>
      </c>
      <c r="J113" s="40">
        <v>0.30193205699999998</v>
      </c>
      <c r="K113" s="40">
        <v>9.1027750000000004E-3</v>
      </c>
      <c r="L113" s="40">
        <v>0.28908793900000002</v>
      </c>
    </row>
    <row r="114" spans="1:21" s="9" customFormat="1" x14ac:dyDescent="0.2">
      <c r="A114" s="13" t="s">
        <v>57</v>
      </c>
      <c r="B114" s="7">
        <v>0.25</v>
      </c>
      <c r="F114" s="13" t="s">
        <v>57</v>
      </c>
      <c r="G114" s="40">
        <v>0.43010883700000002</v>
      </c>
      <c r="H114" s="40">
        <v>0.54887033799999996</v>
      </c>
      <c r="I114" s="40">
        <v>0.30193205699999998</v>
      </c>
      <c r="J114" s="7">
        <v>1</v>
      </c>
      <c r="K114" s="40">
        <v>1.2940815E-2</v>
      </c>
      <c r="L114" s="40">
        <v>0.28629796800000001</v>
      </c>
    </row>
    <row r="115" spans="1:21" s="9" customFormat="1" x14ac:dyDescent="0.2">
      <c r="A115" s="33"/>
    </row>
    <row r="116" spans="1:21" s="9" customFormat="1" x14ac:dyDescent="0.2">
      <c r="A116" s="6" t="s">
        <v>25</v>
      </c>
      <c r="B116" s="7">
        <f>SUMPRODUCT(B111:B114,K111:K114)</f>
        <v>9.8639842500000009E-3</v>
      </c>
      <c r="F116" s="57" t="s">
        <v>12</v>
      </c>
      <c r="G116" s="57"/>
      <c r="H116" s="57"/>
      <c r="I116" s="57"/>
      <c r="J116" s="57"/>
      <c r="L116" s="94" t="s">
        <v>67</v>
      </c>
    </row>
    <row r="117" spans="1:21" s="9" customFormat="1" x14ac:dyDescent="0.2">
      <c r="A117" s="8" t="s">
        <v>62</v>
      </c>
      <c r="B117" s="7" cm="1">
        <f t="array" ref="B117">SQRT(MMULT(TRANSPOSE(B111:B114),MMULT(G118:J121,B111:B114)))</f>
        <v>5.5662610880194974E-2</v>
      </c>
      <c r="F117" s="7"/>
      <c r="G117" s="13" t="s">
        <v>58</v>
      </c>
      <c r="H117" s="13" t="s">
        <v>59</v>
      </c>
      <c r="I117" s="13" t="s">
        <v>60</v>
      </c>
      <c r="J117" s="13" t="s">
        <v>57</v>
      </c>
      <c r="L117" s="94"/>
    </row>
    <row r="118" spans="1:21" s="9" customFormat="1" x14ac:dyDescent="0.2">
      <c r="F118" s="13" t="s">
        <v>58</v>
      </c>
      <c r="G118" s="40">
        <v>4.6715699999999999E-3</v>
      </c>
      <c r="H118" s="40">
        <v>1.71524E-3</v>
      </c>
      <c r="I118" s="40">
        <v>1.5669600000000001E-3</v>
      </c>
      <c r="J118" s="40">
        <v>2.42961E-3</v>
      </c>
      <c r="L118" s="7" cm="1">
        <f t="array" ref="L118">MMULT(G118:J118,$B$111:$B$114)</f>
        <v>2.5958449999999998E-3</v>
      </c>
    </row>
    <row r="119" spans="1:21" s="9" customFormat="1" x14ac:dyDescent="0.2">
      <c r="A119" s="90" t="s">
        <v>13</v>
      </c>
      <c r="B119" s="91"/>
      <c r="F119" s="13" t="s">
        <v>59</v>
      </c>
      <c r="G119" s="40">
        <v>1.71524E-3</v>
      </c>
      <c r="H119" s="40">
        <v>5.5222700000000001E-3</v>
      </c>
      <c r="I119" s="40">
        <v>1.6270099999999999E-3</v>
      </c>
      <c r="J119" s="40">
        <v>3.37098E-3</v>
      </c>
      <c r="L119" s="7" cm="1">
        <f t="array" ref="L119">MMULT(G119:J119,$B$111:$B$114)</f>
        <v>3.058875E-3</v>
      </c>
    </row>
    <row r="120" spans="1:21" s="9" customFormat="1" x14ac:dyDescent="0.2">
      <c r="A120" s="49" t="s">
        <v>66</v>
      </c>
      <c r="B120" s="52">
        <f>L121/(B117^2)</f>
        <v>1.1872208422208603</v>
      </c>
      <c r="F120" s="13" t="s">
        <v>60</v>
      </c>
      <c r="G120" s="40">
        <v>1.5669600000000001E-3</v>
      </c>
      <c r="H120" s="40">
        <v>1.6270099999999999E-3</v>
      </c>
      <c r="I120" s="40">
        <v>6.9643200000000004E-3</v>
      </c>
      <c r="J120" s="40">
        <v>2.08246E-3</v>
      </c>
      <c r="L120" s="7" cm="1">
        <f t="array" ref="L120">MMULT(G120:J120,$B$111:$B$114)</f>
        <v>3.0601875E-3</v>
      </c>
    </row>
    <row r="121" spans="1:21" s="9" customFormat="1" x14ac:dyDescent="0.2">
      <c r="F121" s="13" t="s">
        <v>57</v>
      </c>
      <c r="G121" s="40">
        <v>2.42961E-3</v>
      </c>
      <c r="H121" s="40">
        <v>3.37098E-3</v>
      </c>
      <c r="I121" s="40">
        <v>2.08246E-3</v>
      </c>
      <c r="J121" s="40">
        <v>6.8305400000000004E-3</v>
      </c>
      <c r="L121" s="7" cm="1">
        <f t="array" ref="L121">MMULT(G121:J121,$B$111:$B$114)</f>
        <v>3.6783974999999997E-3</v>
      </c>
    </row>
    <row r="122" spans="1:21" s="9" customFormat="1" x14ac:dyDescent="0.2">
      <c r="A122" s="68" t="s">
        <v>68</v>
      </c>
      <c r="B122" s="68"/>
    </row>
    <row r="123" spans="1:21" s="9" customFormat="1" ht="34" x14ac:dyDescent="0.2">
      <c r="A123" s="50" t="s">
        <v>69</v>
      </c>
      <c r="B123" s="7">
        <v>0.02</v>
      </c>
    </row>
    <row r="124" spans="1:21" s="9" customFormat="1" x14ac:dyDescent="0.2">
      <c r="A124" s="6" t="s">
        <v>70</v>
      </c>
      <c r="B124" s="51">
        <f>B123+B120*(B116-B123)</f>
        <v>7.9663108445210962E-3</v>
      </c>
      <c r="C124" s="23"/>
      <c r="D124" s="23"/>
      <c r="E124" s="48"/>
      <c r="F124" s="48"/>
      <c r="G124" s="48"/>
    </row>
    <row r="125" spans="1:21" x14ac:dyDescent="0.2">
      <c r="A125" s="23"/>
      <c r="B125" s="23"/>
      <c r="C125" s="23"/>
      <c r="D125" s="23"/>
      <c r="E125" s="45"/>
      <c r="F125" s="46"/>
      <c r="G125" s="41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</row>
    <row r="126" spans="1:21" x14ac:dyDescent="0.2">
      <c r="A126" s="23"/>
      <c r="B126" s="18"/>
      <c r="C126" s="18"/>
      <c r="D126" s="47"/>
      <c r="E126" s="44"/>
      <c r="F126" s="44"/>
      <c r="G126" s="44"/>
      <c r="H126" s="18"/>
      <c r="I126" s="18"/>
      <c r="J126" s="18" t="s">
        <v>71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</row>
    <row r="127" spans="1:21" x14ac:dyDescent="0.2">
      <c r="A127" s="23"/>
      <c r="D127" s="43"/>
      <c r="E127" s="44"/>
      <c r="F127" s="42"/>
      <c r="G127" s="42"/>
    </row>
    <row r="128" spans="1:21" x14ac:dyDescent="0.2">
      <c r="A128" s="23"/>
      <c r="D128" s="43"/>
      <c r="E128" s="44"/>
      <c r="F128" s="42"/>
      <c r="G128" s="42"/>
    </row>
    <row r="129" spans="1:7" x14ac:dyDescent="0.2">
      <c r="A129" s="23"/>
      <c r="D129" s="43"/>
      <c r="E129" s="44"/>
      <c r="F129" s="42"/>
      <c r="G129" s="42"/>
    </row>
    <row r="131" spans="1:7" x14ac:dyDescent="0.2">
      <c r="A131" s="23"/>
    </row>
    <row r="132" spans="1:7" x14ac:dyDescent="0.2">
      <c r="A132" s="23"/>
    </row>
    <row r="133" spans="1:7" x14ac:dyDescent="0.2">
      <c r="A133" s="23"/>
    </row>
  </sheetData>
  <mergeCells count="46">
    <mergeCell ref="N106:P106"/>
    <mergeCell ref="A119:B119"/>
    <mergeCell ref="A122:B122"/>
    <mergeCell ref="F107:L108"/>
    <mergeCell ref="F116:J116"/>
    <mergeCell ref="L116:L117"/>
    <mergeCell ref="A107:B107"/>
    <mergeCell ref="A108:B108"/>
    <mergeCell ref="A109:B109"/>
    <mergeCell ref="K109:K110"/>
    <mergeCell ref="L109:L110"/>
    <mergeCell ref="F109:F110"/>
    <mergeCell ref="B9:E9"/>
    <mergeCell ref="B10:E10"/>
    <mergeCell ref="A12:F12"/>
    <mergeCell ref="H69:J69"/>
    <mergeCell ref="A95:C95"/>
    <mergeCell ref="A39:G39"/>
    <mergeCell ref="A40:G40"/>
    <mergeCell ref="H58:J58"/>
    <mergeCell ref="A56:D56"/>
    <mergeCell ref="A57:D57"/>
    <mergeCell ref="A58:D58"/>
    <mergeCell ref="H65:I65"/>
    <mergeCell ref="H63:I64"/>
    <mergeCell ref="A96:C96"/>
    <mergeCell ref="A103:C105"/>
    <mergeCell ref="G109:J109"/>
    <mergeCell ref="I1:I2"/>
    <mergeCell ref="J1:M1"/>
    <mergeCell ref="B31:E31"/>
    <mergeCell ref="A25:E25"/>
    <mergeCell ref="A23:E23"/>
    <mergeCell ref="A24:E24"/>
    <mergeCell ref="C13:F20"/>
    <mergeCell ref="B21:F21"/>
    <mergeCell ref="A13:B13"/>
    <mergeCell ref="A33:B33"/>
    <mergeCell ref="A34:B34"/>
    <mergeCell ref="A51:B51"/>
    <mergeCell ref="A38:G38"/>
    <mergeCell ref="N1:N2"/>
    <mergeCell ref="O1:O2"/>
    <mergeCell ref="A3:E3"/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Бурдуков</dc:creator>
  <cp:lastModifiedBy>Олег Бурдуков</cp:lastModifiedBy>
  <dcterms:created xsi:type="dcterms:W3CDTF">2025-11-10T16:20:24Z</dcterms:created>
  <dcterms:modified xsi:type="dcterms:W3CDTF">2025-11-15T16:11:28Z</dcterms:modified>
</cp:coreProperties>
</file>