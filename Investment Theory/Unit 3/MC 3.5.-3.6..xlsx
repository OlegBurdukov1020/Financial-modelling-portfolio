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zen/Course I Principles of CM/Interactive part/Unit 3/MC3 to submit/"/>
    </mc:Choice>
  </mc:AlternateContent>
  <xr:revisionPtr revIDLastSave="0" documentId="13_ncr:1_{920AA972-EC9E-1B4D-AEF1-B641B607354C}" xr6:coauthVersionLast="47" xr6:coauthVersionMax="47" xr10:uidLastSave="{00000000-0000-0000-0000-000000000000}"/>
  <bookViews>
    <workbookView xWindow="0" yWindow="740" windowWidth="29400" windowHeight="16620" xr2:uid="{C305B589-FADE-0145-B7BD-330398886069}"/>
  </bookViews>
  <sheets>
    <sheet name="Unit 3" sheetId="1" r:id="rId1"/>
  </sheets>
  <definedNames>
    <definedName name="solver_adj" localSheetId="0" hidden="1">'Unit 3'!$B$119:$B$120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'Unit 3'!$B$122</definedName>
    <definedName name="solver_lhs2" localSheetId="0" hidden="1">'Unit 3'!$B$122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'Unit 3'!$C$121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 a="1"/>
  <c r="K31" i="1" s="1"/>
  <c r="C121" i="1" a="1"/>
  <c r="C121" i="1" s="1"/>
  <c r="B122" i="1"/>
  <c r="B111" i="1"/>
  <c r="H84" i="1"/>
  <c r="H85" i="1"/>
  <c r="H86" i="1"/>
  <c r="H87" i="1"/>
  <c r="H88" i="1"/>
  <c r="H89" i="1"/>
  <c r="H90" i="1"/>
  <c r="H91" i="1"/>
  <c r="H92" i="1"/>
  <c r="H93" i="1"/>
  <c r="H83" i="1"/>
  <c r="H69" i="1"/>
  <c r="H70" i="1"/>
  <c r="H71" i="1"/>
  <c r="H72" i="1"/>
  <c r="H73" i="1"/>
  <c r="H74" i="1"/>
  <c r="H75" i="1"/>
  <c r="H76" i="1"/>
  <c r="H77" i="1"/>
  <c r="H78" i="1"/>
  <c r="H68" i="1"/>
  <c r="J32" i="1"/>
  <c r="J33" i="1"/>
  <c r="J34" i="1"/>
  <c r="J35" i="1"/>
  <c r="J36" i="1"/>
  <c r="J37" i="1"/>
  <c r="J38" i="1"/>
  <c r="J39" i="1"/>
  <c r="J40" i="1"/>
  <c r="J41" i="1"/>
  <c r="J31" i="1"/>
  <c r="B31" i="1"/>
  <c r="B85" i="1" s="1"/>
  <c r="C31" i="1"/>
  <c r="B32" i="1"/>
  <c r="C32" i="1"/>
  <c r="D31" i="1"/>
  <c r="B33" i="1" s="1"/>
  <c r="E31" i="1"/>
  <c r="B34" i="1" s="1"/>
  <c r="D32" i="1"/>
  <c r="C33" i="1" s="1"/>
  <c r="E32" i="1"/>
  <c r="C34" i="1" s="1"/>
  <c r="D33" i="1"/>
  <c r="C71" i="1" s="1"/>
  <c r="E33" i="1"/>
  <c r="D34" i="1" s="1"/>
  <c r="E34" i="1"/>
  <c r="C86" i="1" s="1"/>
  <c r="C110" i="1" l="1" a="1"/>
  <c r="C110" i="1" s="1"/>
  <c r="B70" i="1"/>
  <c r="C70" i="1"/>
  <c r="B71" i="1" s="1"/>
  <c r="I77" i="1" a="1"/>
  <c r="I77" i="1" s="1"/>
  <c r="I71" i="1" a="1"/>
  <c r="I71" i="1" s="1"/>
  <c r="I78" i="1" a="1"/>
  <c r="I78" i="1" s="1"/>
  <c r="I73" i="1" a="1"/>
  <c r="I73" i="1" s="1"/>
  <c r="I68" i="1" a="1"/>
  <c r="I68" i="1" s="1"/>
  <c r="I70" i="1" a="1"/>
  <c r="I70" i="1" s="1"/>
  <c r="I76" i="1" a="1"/>
  <c r="I76" i="1" s="1"/>
  <c r="I69" i="1" a="1"/>
  <c r="I69" i="1" s="1"/>
  <c r="I75" i="1" a="1"/>
  <c r="I75" i="1" s="1"/>
  <c r="I74" i="1" a="1"/>
  <c r="I74" i="1" s="1"/>
  <c r="C85" i="1"/>
  <c r="B86" i="1" s="1"/>
  <c r="I84" i="1" s="1" a="1"/>
  <c r="I84" i="1" s="1"/>
  <c r="K32" i="1" a="1"/>
  <c r="K32" i="1" s="1"/>
  <c r="K38" i="1" a="1"/>
  <c r="K38" i="1" s="1"/>
  <c r="K35" i="1" a="1"/>
  <c r="K35" i="1" s="1"/>
  <c r="K41" i="1" a="1"/>
  <c r="K41" i="1" s="1"/>
  <c r="K34" i="1" a="1"/>
  <c r="K34" i="1" s="1"/>
  <c r="K37" i="1" a="1"/>
  <c r="K37" i="1" s="1"/>
  <c r="K36" i="1" a="1"/>
  <c r="K36" i="1" s="1"/>
  <c r="K40" i="1" a="1"/>
  <c r="K40" i="1" s="1"/>
  <c r="K33" i="1" a="1"/>
  <c r="K33" i="1" s="1"/>
  <c r="K39" i="1" a="1"/>
  <c r="K39" i="1" s="1"/>
  <c r="I72" i="1" l="1" a="1"/>
  <c r="I72" i="1" s="1"/>
  <c r="I88" i="1" a="1"/>
  <c r="I88" i="1" s="1"/>
  <c r="I89" i="1" a="1"/>
  <c r="I89" i="1" s="1"/>
  <c r="I91" i="1" a="1"/>
  <c r="I91" i="1" s="1"/>
  <c r="I83" i="1" a="1"/>
  <c r="I83" i="1" s="1"/>
  <c r="I86" i="1" a="1"/>
  <c r="I86" i="1" s="1"/>
  <c r="I90" i="1" a="1"/>
  <c r="I90" i="1" s="1"/>
  <c r="I85" i="1" a="1"/>
  <c r="I85" i="1" s="1"/>
  <c r="I93" i="1" a="1"/>
  <c r="I93" i="1" s="1"/>
  <c r="I87" i="1" a="1"/>
  <c r="I87" i="1" s="1"/>
  <c r="I92" i="1" a="1"/>
  <c r="I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<sst xmlns="http://schemas.openxmlformats.org/spreadsheetml/2006/main" count="71" uniqueCount="38">
  <si>
    <t>TASK A</t>
  </si>
  <si>
    <t>Assets</t>
  </si>
  <si>
    <t>Correlation with</t>
  </si>
  <si>
    <t>Gold</t>
  </si>
  <si>
    <t>Stocks</t>
  </si>
  <si>
    <t>REIT</t>
  </si>
  <si>
    <t>BONDS</t>
  </si>
  <si>
    <t>STOCKS</t>
  </si>
  <si>
    <t>GOLD</t>
  </si>
  <si>
    <t>Standard deviation</t>
  </si>
  <si>
    <t>Mean 
return</t>
  </si>
  <si>
    <t>MINI-CASE 3.5.</t>
  </si>
  <si>
    <t>Covariance matrix</t>
  </si>
  <si>
    <t>Mean-standard deviation frontier</t>
  </si>
  <si>
    <t>Gold-Stocks return</t>
  </si>
  <si>
    <t>Gold-Stock standard deviation</t>
  </si>
  <si>
    <t>1st asset's weight</t>
  </si>
  <si>
    <t>2nd asset's weight</t>
  </si>
  <si>
    <t>TASK B</t>
  </si>
  <si>
    <t>TASK C</t>
  </si>
  <si>
    <t>TASK D (REIT)</t>
  </si>
  <si>
    <t>Gold-REIT return</t>
  </si>
  <si>
    <t>Gold-REIT standard deviation</t>
  </si>
  <si>
    <t>TASK D (Bonds)</t>
  </si>
  <si>
    <t>Bonds</t>
  </si>
  <si>
    <t>MINI-CASE 3.6.</t>
  </si>
  <si>
    <t>Our initial portfolio offered us the annual return of 13,14% with the volatility value of 0,1399. If in a gold&amp;stock portfolio we want to find a better return and hold our volatility rate, then the new volatility must be lower or equal to 0,1399 and annual return must exceed 13,14%. Considering graph from the task c we immediately find that the best return under such conditions is offered by portfolio with merely 10% in gold and 90% in stocks.</t>
  </si>
  <si>
    <t>Weights</t>
  </si>
  <si>
    <t>Variance of the gold-stocks portfolio</t>
  </si>
  <si>
    <t>Constraint</t>
  </si>
  <si>
    <t>Target</t>
  </si>
  <si>
    <t>Therefore in order to get the minimum-variance-portfolio, we need to have 54,89% of our portfolio invested in gold and 45,11% invested in stocks</t>
  </si>
  <si>
    <t>Variance of the gold-REIT portfolio</t>
  </si>
  <si>
    <t>Therefore in order to get the minimum-variance-portfolio, we need to have 63,3% of our portfolio invested in gold and 36,7% invested in a real estate investment trust</t>
  </si>
  <si>
    <t>Gold-Bonds standard deviation</t>
  </si>
  <si>
    <t>Gold-Bonds return</t>
  </si>
  <si>
    <t>Gold return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</si>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</sst>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6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Mean-standard deviation diagram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3'!$G$3:$G$6</c:f>
              <c:numCache>
                <c:formatCode>General</c:formatCode>
                <c:ptCount val="4"/>
                <c:pt idx="0">
                  <c:v>0.1399</c:v>
                </c:pt>
                <c:pt idx="1">
                  <c:v>0.15279999999999999</c:v>
                </c:pt>
                <c:pt idx="2">
                  <c:v>0.1739</c:v>
                </c:pt>
                <c:pt idx="3">
                  <c:v>5.3800000000000001E-2</c:v>
                </c:pt>
              </c:numCache>
            </c:numRef>
          </c:xVal>
          <c:yVal>
            <c:numRef>
              <c:f>'Unit 3'!$H$3:$H$6</c:f>
              <c:numCache>
                <c:formatCode>General</c:formatCode>
                <c:ptCount val="4"/>
                <c:pt idx="0">
                  <c:v>0.13139999999999999</c:v>
                </c:pt>
                <c:pt idx="1">
                  <c:v>0.1363</c:v>
                </c:pt>
                <c:pt idx="2">
                  <c:v>4.2599999999999999E-2</c:v>
                </c:pt>
                <c:pt idx="3">
                  <c:v>1.24E-2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67-034F-88EA-06B1BE3FC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15567"/>
        <c:axId val="506068895"/>
      </c:scatterChart>
      <c:valAx>
        <c:axId val="110201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506068895"/>
        <c:crosses val="autoZero"/>
        <c:crossBetween val="midCat"/>
      </c:valAx>
      <c:valAx>
        <c:axId val="5060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10201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Mean-Standard Deviation diagram of gold-stock portfolios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3'!$K$31:$K$41</c:f>
              <c:numCache>
                <c:formatCode>General</c:formatCode>
                <c:ptCount val="11"/>
                <c:pt idx="0">
                  <c:v>0.1399</c:v>
                </c:pt>
                <c:pt idx="1">
                  <c:v>0.12834168247299862</c:v>
                </c:pt>
                <c:pt idx="2">
                  <c:v>0.11892878137776407</c:v>
                </c:pt>
                <c:pt idx="3">
                  <c:v>0.11220255228826125</c:v>
                </c:pt>
                <c:pt idx="4">
                  <c:v>0.10866305977654044</c:v>
                </c:pt>
                <c:pt idx="5">
                  <c:v>0.10862227441920004</c:v>
                </c:pt>
                <c:pt idx="6">
                  <c:v>0.11208401563113271</c:v>
                </c:pt>
                <c:pt idx="7">
                  <c:v>0.11874234602701766</c:v>
                </c:pt>
                <c:pt idx="8">
                  <c:v>0.1280997776734995</c:v>
                </c:pt>
                <c:pt idx="9">
                  <c:v>0.13961465345729293</c:v>
                </c:pt>
                <c:pt idx="10">
                  <c:v>0.15279999999999999</c:v>
                </c:pt>
              </c:numCache>
            </c:numRef>
          </c:xVal>
          <c:yVal>
            <c:numRef>
              <c:f>'Unit 3'!$J$31:$J$41</c:f>
              <c:numCache>
                <c:formatCode>General</c:formatCode>
                <c:ptCount val="11"/>
                <c:pt idx="0">
                  <c:v>0.13139999999999999</c:v>
                </c:pt>
                <c:pt idx="1">
                  <c:v>0.13188999999999998</c:v>
                </c:pt>
                <c:pt idx="2">
                  <c:v>0.13238</c:v>
                </c:pt>
                <c:pt idx="3">
                  <c:v>0.13286999999999999</c:v>
                </c:pt>
                <c:pt idx="4">
                  <c:v>0.13336000000000001</c:v>
                </c:pt>
                <c:pt idx="5">
                  <c:v>0.13385</c:v>
                </c:pt>
                <c:pt idx="6">
                  <c:v>0.13434000000000001</c:v>
                </c:pt>
                <c:pt idx="7">
                  <c:v>0.13483000000000001</c:v>
                </c:pt>
                <c:pt idx="8">
                  <c:v>0.13532</c:v>
                </c:pt>
                <c:pt idx="9">
                  <c:v>0.13580999999999999</c:v>
                </c:pt>
                <c:pt idx="10">
                  <c:v>0.1363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2-F24A-8641-971358845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110607"/>
        <c:axId val="726250079"/>
      </c:scatterChart>
      <c:valAx>
        <c:axId val="72611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726250079"/>
        <c:crosses val="autoZero"/>
        <c:crossBetween val="midCat"/>
      </c:valAx>
      <c:valAx>
        <c:axId val="7262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72611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Mean-Standard Deviation diagram of gold-REIT portfolios</a:t>
            </a:r>
          </a:p>
        </c:rich>
      </c:tx>
      <c:layout>
        <c:manualLayout>
          <c:xMode val="edge"/>
          <c:yMode val="edge"/>
          <c:x val="0.12772711452010591"/>
          <c:y val="1.6321295628141771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3'!$I$68:$I$78</c:f>
              <c:numCache>
                <c:formatCode>General</c:formatCode>
                <c:ptCount val="11"/>
                <c:pt idx="0">
                  <c:v>0.1399</c:v>
                </c:pt>
                <c:pt idx="1">
                  <c:v>0.13050505798627116</c:v>
                </c:pt>
                <c:pt idx="2">
                  <c:v>0.1236639229524925</c:v>
                </c:pt>
                <c:pt idx="3">
                  <c:v>0.1198148448231687</c:v>
                </c:pt>
                <c:pt idx="4">
                  <c:v>0.11924790882862474</c:v>
                </c:pt>
                <c:pt idx="5">
                  <c:v>0.1220088767262448</c:v>
                </c:pt>
                <c:pt idx="6">
                  <c:v>0.12788238252394268</c:v>
                </c:pt>
                <c:pt idx="7">
                  <c:v>0.13646712805653968</c:v>
                </c:pt>
                <c:pt idx="8">
                  <c:v>0.14728980222676655</c:v>
                </c:pt>
                <c:pt idx="9">
                  <c:v>0.15989662335396579</c:v>
                </c:pt>
                <c:pt idx="10">
                  <c:v>0.1739</c:v>
                </c:pt>
              </c:numCache>
            </c:numRef>
          </c:xVal>
          <c:yVal>
            <c:numRef>
              <c:f>'Unit 3'!$H$68:$H$78</c:f>
              <c:numCache>
                <c:formatCode>General</c:formatCode>
                <c:ptCount val="11"/>
                <c:pt idx="0">
                  <c:v>0.13139999999999999</c:v>
                </c:pt>
                <c:pt idx="1">
                  <c:v>0.12251999999999999</c:v>
                </c:pt>
                <c:pt idx="2">
                  <c:v>0.11363999999999999</c:v>
                </c:pt>
                <c:pt idx="3">
                  <c:v>0.10475999999999999</c:v>
                </c:pt>
                <c:pt idx="4">
                  <c:v>9.5879999999999993E-2</c:v>
                </c:pt>
                <c:pt idx="5">
                  <c:v>8.6999999999999994E-2</c:v>
                </c:pt>
                <c:pt idx="6">
                  <c:v>7.8119999999999995E-2</c:v>
                </c:pt>
                <c:pt idx="7">
                  <c:v>6.9239999999999996E-2</c:v>
                </c:pt>
                <c:pt idx="8">
                  <c:v>6.0359999999999997E-2</c:v>
                </c:pt>
                <c:pt idx="9">
                  <c:v>5.1479999999999998E-2</c:v>
                </c:pt>
                <c:pt idx="10">
                  <c:v>4.2599999999999999E-2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72-2643-8988-29E972DC3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48335"/>
        <c:axId val="1074373823"/>
      </c:scatterChart>
      <c:valAx>
        <c:axId val="107514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74373823"/>
        <c:crosses val="autoZero"/>
        <c:crossBetween val="midCat"/>
      </c:valAx>
      <c:valAx>
        <c:axId val="10743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7514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Mean-Standard Deviation diagram of gold-Bonds portfolios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3'!$I$83:$I$93</c:f>
              <c:numCache>
                <c:formatCode>General</c:formatCode>
                <c:ptCount val="11"/>
                <c:pt idx="0">
                  <c:v>0.1399</c:v>
                </c:pt>
                <c:pt idx="1">
                  <c:v>0.12842090452881882</c:v>
                </c:pt>
                <c:pt idx="2">
                  <c:v>0.11715672101932523</c:v>
                </c:pt>
                <c:pt idx="3">
                  <c:v>0.10617587145863225</c:v>
                </c:pt>
                <c:pt idx="4">
                  <c:v>9.5576063530572339E-2</c:v>
                </c:pt>
                <c:pt idx="5">
                  <c:v>8.5499134498543322E-2</c:v>
                </c:pt>
                <c:pt idx="6">
                  <c:v>7.6152937697767112E-2</c:v>
                </c:pt>
                <c:pt idx="7">
                  <c:v>6.7840162735653867E-2</c:v>
                </c:pt>
                <c:pt idx="8">
                  <c:v>6.0984877469746547E-2</c:v>
                </c:pt>
                <c:pt idx="9">
                  <c:v>5.6123726889792343E-2</c:v>
                </c:pt>
                <c:pt idx="10">
                  <c:v>5.3800000000000001E-2</c:v>
                </c:pt>
              </c:numCache>
            </c:numRef>
          </c:xVal>
          <c:yVal>
            <c:numRef>
              <c:f>'Unit 3'!$H$83:$H$93</c:f>
              <c:numCache>
                <c:formatCode>General</c:formatCode>
                <c:ptCount val="11"/>
                <c:pt idx="0">
                  <c:v>0.13139999999999999</c:v>
                </c:pt>
                <c:pt idx="1">
                  <c:v>0.1195</c:v>
                </c:pt>
                <c:pt idx="2">
                  <c:v>0.10759999999999999</c:v>
                </c:pt>
                <c:pt idx="3">
                  <c:v>9.5699999999999993E-2</c:v>
                </c:pt>
                <c:pt idx="4">
                  <c:v>8.3799999999999999E-2</c:v>
                </c:pt>
                <c:pt idx="5">
                  <c:v>7.1899999999999992E-2</c:v>
                </c:pt>
                <c:pt idx="6">
                  <c:v>0.06</c:v>
                </c:pt>
                <c:pt idx="7">
                  <c:v>4.8099999999999997E-2</c:v>
                </c:pt>
                <c:pt idx="8">
                  <c:v>3.6199999999999996E-2</c:v>
                </c:pt>
                <c:pt idx="9">
                  <c:v>2.4299999999999999E-2</c:v>
                </c:pt>
                <c:pt idx="10">
                  <c:v>1.24E-2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51-3F43-969C-DDD943C81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46895"/>
        <c:axId val="1086034671"/>
      </c:scatterChart>
      <c:valAx>
        <c:axId val="108604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86034671"/>
        <c:crosses val="autoZero"/>
        <c:crossBetween val="midCat"/>
      </c:valAx>
      <c:valAx>
        <c:axId val="10860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860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14269</xdr:rowOff>
    </xdr:from>
    <xdr:to>
      <xdr:col>6</xdr:col>
      <xdr:colOff>799101</xdr:colOff>
      <xdr:row>26</xdr:row>
      <xdr:rowOff>14269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2D9384-8377-6BE2-732F-B5891A290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42807</xdr:rowOff>
    </xdr:from>
    <xdr:to>
      <xdr:col>6</xdr:col>
      <xdr:colOff>799101</xdr:colOff>
      <xdr:row>62</xdr:row>
      <xdr:rowOff>42808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CCD4C5-D5DB-C3CD-7D3E-75B96B79C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927530</xdr:colOff>
      <xdr:row>65</xdr:row>
      <xdr:rowOff>41097</xdr:rowOff>
    </xdr:from>
    <xdr:to>
      <xdr:col>15</xdr:col>
      <xdr:colOff>1</xdr:colOff>
      <xdr:row>78</xdr:row>
      <xdr:rowOff>14270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6BAFFB-C0E3-E379-FDF6-3339A5ACF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898989</xdr:colOff>
      <xdr:row>80</xdr:row>
      <xdr:rowOff>26826</xdr:rowOff>
    </xdr:from>
    <xdr:to>
      <xdr:col>14</xdr:col>
      <xdr:colOff>823359</xdr:colOff>
      <xdr:row>93</xdr:row>
      <xdr:rowOff>42809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8959B42-1F69-CC9E-0EEB-B41ACD4B1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A521-1FB9-9D44-9D9E-292DCCD27797}">
  <dimension ref="A1:O128"/>
  <sheetViews>
    <sheetView tabSelected="1" topLeftCell="A7" zoomScale="116" workbookViewId="0">
      <selection activeCell="C31" sqref="C31"/>
    </sheetView>
  </sheetViews>
  <sheetFormatPr baseColWidth="10" defaultRowHeight="16" x14ac:dyDescent="0.2"/>
  <cols>
    <col min="8" max="8" width="16" customWidth="1"/>
    <col min="9" max="9" width="16.6640625" customWidth="1"/>
    <col min="10" max="10" width="18.5" customWidth="1"/>
    <col min="11" max="11" width="27.6640625" customWidth="1"/>
  </cols>
  <sheetData>
    <row r="1" spans="1:14" ht="16" customHeight="1" x14ac:dyDescent="0.2">
      <c r="A1" s="40" t="s">
        <v>1</v>
      </c>
      <c r="B1" s="42" t="s">
        <v>2</v>
      </c>
      <c r="C1" s="43"/>
      <c r="D1" s="43"/>
      <c r="E1" s="44"/>
      <c r="F1" s="45" t="s">
        <v>10</v>
      </c>
      <c r="G1" s="45" t="s">
        <v>9</v>
      </c>
      <c r="H1" s="5"/>
      <c r="L1" s="5"/>
      <c r="M1" s="5"/>
      <c r="N1" s="5"/>
    </row>
    <row r="2" spans="1:14" x14ac:dyDescent="0.2">
      <c r="A2" s="41"/>
      <c r="B2" s="2" t="s">
        <v>8</v>
      </c>
      <c r="C2" s="2" t="s">
        <v>7</v>
      </c>
      <c r="D2" s="2" t="s">
        <v>5</v>
      </c>
      <c r="E2" s="2" t="s">
        <v>6</v>
      </c>
      <c r="F2" s="46"/>
      <c r="G2" s="46"/>
      <c r="H2" s="5"/>
      <c r="L2" s="5"/>
      <c r="M2" s="5"/>
      <c r="N2" s="5"/>
    </row>
    <row r="3" spans="1:14" ht="16" customHeight="1" x14ac:dyDescent="0.2">
      <c r="A3" s="2" t="s">
        <v>8</v>
      </c>
      <c r="B3" s="2">
        <v>1</v>
      </c>
      <c r="C3" s="2">
        <v>0.1</v>
      </c>
      <c r="D3" s="2">
        <v>0.2</v>
      </c>
      <c r="E3" s="2">
        <v>0.45</v>
      </c>
      <c r="F3" s="2">
        <v>0.13139999999999999</v>
      </c>
      <c r="G3" s="3">
        <v>0.1399</v>
      </c>
      <c r="H3" s="19">
        <v>0.13139999999999999</v>
      </c>
      <c r="L3" s="5"/>
      <c r="M3" s="5"/>
      <c r="N3" s="5"/>
    </row>
    <row r="4" spans="1:14" x14ac:dyDescent="0.2">
      <c r="A4" s="2" t="s">
        <v>7</v>
      </c>
      <c r="B4" s="2">
        <v>0.1</v>
      </c>
      <c r="C4" s="2">
        <v>1</v>
      </c>
      <c r="D4" s="2">
        <v>0.78</v>
      </c>
      <c r="E4" s="2">
        <v>0.12</v>
      </c>
      <c r="F4" s="2">
        <v>0.1363</v>
      </c>
      <c r="G4" s="3">
        <v>0.15279999999999999</v>
      </c>
      <c r="H4" s="19">
        <v>0.1363</v>
      </c>
      <c r="L4" s="5"/>
      <c r="M4" s="5"/>
      <c r="N4" s="5"/>
    </row>
    <row r="5" spans="1:14" x14ac:dyDescent="0.2">
      <c r="A5" s="2" t="s">
        <v>5</v>
      </c>
      <c r="B5" s="2">
        <v>0.2</v>
      </c>
      <c r="C5" s="2">
        <v>0.78</v>
      </c>
      <c r="D5" s="2">
        <v>1</v>
      </c>
      <c r="E5" s="2">
        <v>0.34</v>
      </c>
      <c r="F5" s="2">
        <v>4.2599999999999999E-2</v>
      </c>
      <c r="G5" s="3">
        <v>0.1739</v>
      </c>
      <c r="H5" s="19">
        <v>4.2599999999999999E-2</v>
      </c>
      <c r="L5" s="5"/>
      <c r="M5" s="5"/>
      <c r="N5" s="5"/>
    </row>
    <row r="6" spans="1:14" x14ac:dyDescent="0.2">
      <c r="A6" s="2" t="s">
        <v>6</v>
      </c>
      <c r="B6" s="2">
        <v>0.45</v>
      </c>
      <c r="C6" s="2">
        <v>0.12</v>
      </c>
      <c r="D6" s="2">
        <v>0.34</v>
      </c>
      <c r="E6" s="2">
        <v>1</v>
      </c>
      <c r="F6" s="2">
        <v>1.24E-2</v>
      </c>
      <c r="G6" s="3">
        <v>5.3800000000000001E-2</v>
      </c>
      <c r="H6" s="19">
        <v>1.24E-2</v>
      </c>
      <c r="L6" s="5"/>
      <c r="M6" s="5"/>
      <c r="N6" s="5"/>
    </row>
    <row r="7" spans="1:14" x14ac:dyDescent="0.2">
      <c r="A7" s="5"/>
      <c r="B7" s="5"/>
      <c r="C7" s="5"/>
      <c r="D7" s="5"/>
      <c r="E7" s="5"/>
      <c r="F7" s="5"/>
      <c r="G7" s="5"/>
      <c r="H7" s="5"/>
      <c r="L7" s="5"/>
      <c r="M7" s="5"/>
      <c r="N7" s="5"/>
    </row>
    <row r="8" spans="1:14" x14ac:dyDescent="0.2">
      <c r="A8" s="35" t="s">
        <v>11</v>
      </c>
      <c r="B8" s="35"/>
      <c r="L8" s="5"/>
      <c r="M8" s="5"/>
      <c r="N8" s="5"/>
    </row>
    <row r="9" spans="1:14" x14ac:dyDescent="0.2">
      <c r="A9" s="37" t="s">
        <v>0</v>
      </c>
      <c r="B9" s="37"/>
      <c r="C9" s="37"/>
      <c r="D9" s="37"/>
      <c r="E9" s="37"/>
      <c r="F9" s="37"/>
      <c r="G9" s="37"/>
    </row>
    <row r="28" spans="1:14" x14ac:dyDescent="0.2">
      <c r="A28" s="37" t="s">
        <v>18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spans="1:14" ht="17" thickBot="1" x14ac:dyDescent="0.25">
      <c r="A29" s="47" t="s">
        <v>12</v>
      </c>
      <c r="B29" s="47"/>
      <c r="C29" s="47"/>
      <c r="D29" s="47"/>
      <c r="E29" s="47"/>
      <c r="H29" s="33" t="s">
        <v>13</v>
      </c>
      <c r="I29" s="33"/>
      <c r="J29" s="33"/>
      <c r="K29" s="33"/>
    </row>
    <row r="30" spans="1:14" ht="17" thickBot="1" x14ac:dyDescent="0.25">
      <c r="A30" s="10"/>
      <c r="B30" s="9" t="s">
        <v>8</v>
      </c>
      <c r="C30" s="7" t="s">
        <v>7</v>
      </c>
      <c r="D30" s="7" t="s">
        <v>5</v>
      </c>
      <c r="E30" s="8" t="s">
        <v>6</v>
      </c>
      <c r="H30" s="16" t="s">
        <v>16</v>
      </c>
      <c r="I30" s="17" t="s">
        <v>17</v>
      </c>
      <c r="J30" s="17" t="s">
        <v>14</v>
      </c>
      <c r="K30" s="18" t="s">
        <v>15</v>
      </c>
      <c r="M30" s="48" t="s">
        <v>36</v>
      </c>
      <c r="N30" s="48" t="s">
        <v>37</v>
      </c>
    </row>
    <row r="31" spans="1:14" x14ac:dyDescent="0.2">
      <c r="A31" s="11" t="s">
        <v>8</v>
      </c>
      <c r="B31" s="14">
        <f>B3*G3*G3</f>
        <v>1.9572009999999997E-2</v>
      </c>
      <c r="C31" s="6">
        <f>C3*G3*G4</f>
        <v>2.1376720000000002E-3</v>
      </c>
      <c r="D31" s="6">
        <f>D3*G3*G5</f>
        <v>4.8657220000000003E-3</v>
      </c>
      <c r="E31" s="6">
        <f>E3*G3*G6</f>
        <v>3.386979E-3</v>
      </c>
      <c r="H31" s="6">
        <v>1</v>
      </c>
      <c r="I31" s="6">
        <v>0</v>
      </c>
      <c r="J31" s="6">
        <f t="shared" ref="J31:J41" si="0">H31*$F$3+I31*$F$4</f>
        <v>0.13139999999999999</v>
      </c>
      <c r="K31" s="6" cm="1">
        <f t="array" ref="K31">SQRT(MMULT(H31:I31,MMULT($B$31:$C$32,TRANSPOSE(H31:I31))))</f>
        <v>0.1399</v>
      </c>
    </row>
    <row r="32" spans="1:14" x14ac:dyDescent="0.2">
      <c r="A32" s="12" t="s">
        <v>7</v>
      </c>
      <c r="B32" s="4">
        <f>B4*G4*G3</f>
        <v>2.1376720000000002E-3</v>
      </c>
      <c r="C32" s="2">
        <f>C4*G4*G4</f>
        <v>2.3347839999999998E-2</v>
      </c>
      <c r="D32" s="2">
        <f>D4*G4*G5</f>
        <v>2.07260976E-2</v>
      </c>
      <c r="E32" s="2">
        <f>E4*G4*G6</f>
        <v>9.8647679999999986E-4</v>
      </c>
      <c r="H32" s="2">
        <v>0.9</v>
      </c>
      <c r="I32" s="2">
        <v>0.1</v>
      </c>
      <c r="J32" s="2">
        <f t="shared" si="0"/>
        <v>0.13188999999999998</v>
      </c>
      <c r="K32" s="2" cm="1">
        <f t="array" ref="K32">SQRT(MMULT(H32:I32,MMULT($B$31:$C$32,TRANSPOSE(H32:I32))))</f>
        <v>0.12834168247299862</v>
      </c>
    </row>
    <row r="33" spans="1:11" x14ac:dyDescent="0.2">
      <c r="A33" s="12" t="s">
        <v>5</v>
      </c>
      <c r="B33" s="4">
        <f>D31</f>
        <v>4.8657220000000003E-3</v>
      </c>
      <c r="C33" s="2">
        <f>D32</f>
        <v>2.07260976E-2</v>
      </c>
      <c r="D33" s="2">
        <f>D5*G5*G5</f>
        <v>3.0241210000000001E-2</v>
      </c>
      <c r="E33" s="2">
        <f>E5*G5*G6</f>
        <v>3.1809788000000004E-3</v>
      </c>
      <c r="H33" s="2">
        <v>0.8</v>
      </c>
      <c r="I33" s="2">
        <v>0.2</v>
      </c>
      <c r="J33" s="2">
        <f t="shared" si="0"/>
        <v>0.13238</v>
      </c>
      <c r="K33" s="2" cm="1">
        <f t="array" ref="K33">SQRT(MMULT(H33:I33,MMULT($B$31:$C$32,TRANSPOSE(H33:I33))))</f>
        <v>0.11892878137776407</v>
      </c>
    </row>
    <row r="34" spans="1:11" ht="17" thickBot="1" x14ac:dyDescent="0.25">
      <c r="A34" s="13" t="s">
        <v>6</v>
      </c>
      <c r="B34" s="4">
        <f>E31</f>
        <v>3.386979E-3</v>
      </c>
      <c r="C34" s="2">
        <f>E32</f>
        <v>9.8647679999999986E-4</v>
      </c>
      <c r="D34" s="2">
        <f>E33</f>
        <v>3.1809788000000004E-3</v>
      </c>
      <c r="E34" s="2">
        <f>E6*G6*G6</f>
        <v>2.8944399999999999E-3</v>
      </c>
      <c r="H34" s="2">
        <v>0.7</v>
      </c>
      <c r="I34" s="2">
        <v>0.3</v>
      </c>
      <c r="J34" s="2">
        <f t="shared" si="0"/>
        <v>0.13286999999999999</v>
      </c>
      <c r="K34" s="2" cm="1">
        <f t="array" ref="K34">SQRT(MMULT(H34:I34,MMULT($B$31:$C$32,TRANSPOSE(H34:I34))))</f>
        <v>0.11220255228826125</v>
      </c>
    </row>
    <row r="35" spans="1:11" x14ac:dyDescent="0.2">
      <c r="H35" s="2">
        <v>0.6</v>
      </c>
      <c r="I35" s="2">
        <v>0.4</v>
      </c>
      <c r="J35" s="2">
        <f t="shared" si="0"/>
        <v>0.13336000000000001</v>
      </c>
      <c r="K35" s="2" cm="1">
        <f t="array" ref="K35">SQRT(MMULT(H35:I35,MMULT($B$31:$C$32,TRANSPOSE(H35:I35))))</f>
        <v>0.10866305977654044</v>
      </c>
    </row>
    <row r="36" spans="1:11" x14ac:dyDescent="0.2">
      <c r="H36" s="2">
        <v>0.5</v>
      </c>
      <c r="I36" s="2">
        <v>0.5</v>
      </c>
      <c r="J36" s="2">
        <f t="shared" si="0"/>
        <v>0.13385</v>
      </c>
      <c r="K36" s="2" cm="1">
        <f t="array" ref="K36">SQRT(MMULT(H36:I36,MMULT($B$31:$C$32,TRANSPOSE(H36:I36))))</f>
        <v>0.10862227441920004</v>
      </c>
    </row>
    <row r="37" spans="1:11" x14ac:dyDescent="0.2">
      <c r="H37" s="2">
        <v>0.4</v>
      </c>
      <c r="I37" s="2">
        <v>0.6</v>
      </c>
      <c r="J37" s="2">
        <f t="shared" si="0"/>
        <v>0.13434000000000001</v>
      </c>
      <c r="K37" s="2" cm="1">
        <f t="array" ref="K37">SQRT(MMULT(H37:I37,MMULT($B$31:$C$32,TRANSPOSE(H37:I37))))</f>
        <v>0.11208401563113271</v>
      </c>
    </row>
    <row r="38" spans="1:11" x14ac:dyDescent="0.2">
      <c r="H38" s="2">
        <v>0.3</v>
      </c>
      <c r="I38" s="2">
        <v>0.7</v>
      </c>
      <c r="J38" s="2">
        <f t="shared" si="0"/>
        <v>0.13483000000000001</v>
      </c>
      <c r="K38" s="2" cm="1">
        <f t="array" ref="K38">SQRT(MMULT(H38:I38,MMULT($B$31:$C$32,TRANSPOSE(H38:I38))))</f>
        <v>0.11874234602701766</v>
      </c>
    </row>
    <row r="39" spans="1:11" x14ac:dyDescent="0.2">
      <c r="H39" s="2">
        <v>0.2</v>
      </c>
      <c r="I39" s="2">
        <v>0.8</v>
      </c>
      <c r="J39" s="2">
        <f t="shared" si="0"/>
        <v>0.13532</v>
      </c>
      <c r="K39" s="2" cm="1">
        <f t="array" ref="K39">SQRT(MMULT(H39:I39,MMULT($B$31:$C$32,TRANSPOSE(H39:I39))))</f>
        <v>0.1280997776734995</v>
      </c>
    </row>
    <row r="40" spans="1:11" x14ac:dyDescent="0.2">
      <c r="H40" s="2">
        <v>0.1</v>
      </c>
      <c r="I40" s="2">
        <v>0.9</v>
      </c>
      <c r="J40" s="2">
        <f t="shared" si="0"/>
        <v>0.13580999999999999</v>
      </c>
      <c r="K40" s="2" cm="1">
        <f t="array" ref="K40">SQRT(MMULT(H40:I40,MMULT($B$31:$C$32,TRANSPOSE(H40:I40))))</f>
        <v>0.13961465345729293</v>
      </c>
    </row>
    <row r="41" spans="1:11" x14ac:dyDescent="0.2">
      <c r="H41" s="2">
        <v>0</v>
      </c>
      <c r="I41" s="2">
        <v>1</v>
      </c>
      <c r="J41" s="2">
        <f t="shared" si="0"/>
        <v>0.1363</v>
      </c>
      <c r="K41" s="2" cm="1">
        <f t="array" ref="K41">SQRT(MMULT(H41:I41,MMULT($B$31:$C$32,TRANSPOSE(H41:I41))))</f>
        <v>0.15279999999999999</v>
      </c>
    </row>
    <row r="43" spans="1:11" x14ac:dyDescent="0.2">
      <c r="A43" s="34" t="s">
        <v>19</v>
      </c>
      <c r="B43" s="34"/>
      <c r="C43" s="34"/>
      <c r="D43" s="34"/>
      <c r="E43" s="34"/>
      <c r="F43" s="34"/>
      <c r="G43" s="34"/>
    </row>
    <row r="65" spans="1:15" x14ac:dyDescent="0.2">
      <c r="A65" s="34" t="s">
        <v>20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spans="1:15" ht="17" thickBot="1" x14ac:dyDescent="0.25">
      <c r="F66" s="33" t="s">
        <v>13</v>
      </c>
      <c r="G66" s="33"/>
      <c r="H66" s="33"/>
      <c r="I66" s="33"/>
    </row>
    <row r="67" spans="1:15" ht="51" customHeight="1" thickBot="1" x14ac:dyDescent="0.25">
      <c r="F67" s="20" t="s">
        <v>16</v>
      </c>
      <c r="G67" s="21" t="s">
        <v>17</v>
      </c>
      <c r="H67" s="21" t="s">
        <v>21</v>
      </c>
      <c r="I67" s="22" t="s">
        <v>22</v>
      </c>
    </row>
    <row r="68" spans="1:15" ht="17" thickBot="1" x14ac:dyDescent="0.25">
      <c r="F68" s="6">
        <v>1</v>
      </c>
      <c r="G68" s="6">
        <v>0</v>
      </c>
      <c r="H68" s="6">
        <f>F68*$F$3+G68*$F$5</f>
        <v>0.13139999999999999</v>
      </c>
      <c r="I68" s="6" cm="1">
        <f t="array" ref="I68">SQRT(MMULT(F68:G68,MMULT($B$70:$C$71,TRANSPOSE(F68:G68))))</f>
        <v>0.1399</v>
      </c>
    </row>
    <row r="69" spans="1:15" ht="17" thickBot="1" x14ac:dyDescent="0.25">
      <c r="A69" s="25"/>
      <c r="B69" s="26" t="s">
        <v>3</v>
      </c>
      <c r="C69" s="27" t="s">
        <v>5</v>
      </c>
      <c r="F69" s="2">
        <v>0.9</v>
      </c>
      <c r="G69" s="2">
        <v>0.1</v>
      </c>
      <c r="H69" s="6">
        <f t="shared" ref="H69:H78" si="1">F69*$F$3+G69*$F$5</f>
        <v>0.12251999999999999</v>
      </c>
      <c r="I69" s="6" cm="1">
        <f t="array" ref="I69">SQRT(MMULT(F69:G69,MMULT($B$70:$C$71,TRANSPOSE(F69:G69))))</f>
        <v>0.13050505798627116</v>
      </c>
    </row>
    <row r="70" spans="1:15" x14ac:dyDescent="0.2">
      <c r="A70" s="23" t="s">
        <v>3</v>
      </c>
      <c r="B70" s="15">
        <f>B31</f>
        <v>1.9572009999999997E-2</v>
      </c>
      <c r="C70" s="28">
        <f>D31</f>
        <v>4.8657220000000003E-3</v>
      </c>
      <c r="F70" s="2">
        <v>0.8</v>
      </c>
      <c r="G70" s="2">
        <v>0.2</v>
      </c>
      <c r="H70" s="6">
        <f t="shared" si="1"/>
        <v>0.11363999999999999</v>
      </c>
      <c r="I70" s="6" cm="1">
        <f t="array" ref="I70">SQRT(MMULT(F70:G70,MMULT($B$70:$C$71,TRANSPOSE(F70:G70))))</f>
        <v>0.1236639229524925</v>
      </c>
    </row>
    <row r="71" spans="1:15" ht="17" thickBot="1" x14ac:dyDescent="0.25">
      <c r="A71" s="24" t="s">
        <v>5</v>
      </c>
      <c r="B71" s="29">
        <f>C70</f>
        <v>4.8657220000000003E-3</v>
      </c>
      <c r="C71" s="1">
        <f>D33</f>
        <v>3.0241210000000001E-2</v>
      </c>
      <c r="F71" s="2">
        <v>0.7</v>
      </c>
      <c r="G71" s="2">
        <v>0.3</v>
      </c>
      <c r="H71" s="6">
        <f t="shared" si="1"/>
        <v>0.10475999999999999</v>
      </c>
      <c r="I71" s="6" cm="1">
        <f t="array" ref="I71">SQRT(MMULT(F71:G71,MMULT($B$70:$C$71,TRANSPOSE(F71:G71))))</f>
        <v>0.1198148448231687</v>
      </c>
    </row>
    <row r="72" spans="1:15" x14ac:dyDescent="0.2">
      <c r="F72" s="2">
        <v>0.6</v>
      </c>
      <c r="G72" s="2">
        <v>0.4</v>
      </c>
      <c r="H72" s="6">
        <f t="shared" si="1"/>
        <v>9.5879999999999993E-2</v>
      </c>
      <c r="I72" s="6" cm="1">
        <f t="array" ref="I72">SQRT(MMULT(F72:G72,MMULT($B$70:$C$71,TRANSPOSE(F72:G72))))</f>
        <v>0.11924790882862474</v>
      </c>
    </row>
    <row r="73" spans="1:15" x14ac:dyDescent="0.2">
      <c r="F73" s="2">
        <v>0.5</v>
      </c>
      <c r="G73" s="2">
        <v>0.5</v>
      </c>
      <c r="H73" s="6">
        <f t="shared" si="1"/>
        <v>8.6999999999999994E-2</v>
      </c>
      <c r="I73" s="6" cm="1">
        <f t="array" ref="I73">SQRT(MMULT(F73:G73,MMULT($B$70:$C$71,TRANSPOSE(F73:G73))))</f>
        <v>0.1220088767262448</v>
      </c>
    </row>
    <row r="74" spans="1:15" x14ac:dyDescent="0.2">
      <c r="F74" s="2">
        <v>0.4</v>
      </c>
      <c r="G74" s="2">
        <v>0.6</v>
      </c>
      <c r="H74" s="6">
        <f t="shared" si="1"/>
        <v>7.8119999999999995E-2</v>
      </c>
      <c r="I74" s="6" cm="1">
        <f t="array" ref="I74">SQRT(MMULT(F74:G74,MMULT($B$70:$C$71,TRANSPOSE(F74:G74))))</f>
        <v>0.12788238252394268</v>
      </c>
    </row>
    <row r="75" spans="1:15" x14ac:dyDescent="0.2">
      <c r="F75" s="2">
        <v>0.3</v>
      </c>
      <c r="G75" s="2">
        <v>0.7</v>
      </c>
      <c r="H75" s="6">
        <f t="shared" si="1"/>
        <v>6.9239999999999996E-2</v>
      </c>
      <c r="I75" s="6" cm="1">
        <f t="array" ref="I75">SQRT(MMULT(F75:G75,MMULT($B$70:$C$71,TRANSPOSE(F75:G75))))</f>
        <v>0.13646712805653968</v>
      </c>
    </row>
    <row r="76" spans="1:15" x14ac:dyDescent="0.2">
      <c r="F76" s="2">
        <v>0.2</v>
      </c>
      <c r="G76" s="2">
        <v>0.8</v>
      </c>
      <c r="H76" s="6">
        <f t="shared" si="1"/>
        <v>6.0359999999999997E-2</v>
      </c>
      <c r="I76" s="6" cm="1">
        <f t="array" ref="I76">SQRT(MMULT(F76:G76,MMULT($B$70:$C$71,TRANSPOSE(F76:G76))))</f>
        <v>0.14728980222676655</v>
      </c>
    </row>
    <row r="77" spans="1:15" x14ac:dyDescent="0.2">
      <c r="F77" s="2">
        <v>0.1</v>
      </c>
      <c r="G77" s="2">
        <v>0.9</v>
      </c>
      <c r="H77" s="6">
        <f t="shared" si="1"/>
        <v>5.1479999999999998E-2</v>
      </c>
      <c r="I77" s="6" cm="1">
        <f t="array" ref="I77">SQRT(MMULT(F77:G77,MMULT($B$70:$C$71,TRANSPOSE(F77:G77))))</f>
        <v>0.15989662335396579</v>
      </c>
    </row>
    <row r="78" spans="1:15" x14ac:dyDescent="0.2">
      <c r="F78" s="2">
        <v>0</v>
      </c>
      <c r="G78" s="2">
        <v>1</v>
      </c>
      <c r="H78" s="6">
        <f t="shared" si="1"/>
        <v>4.2599999999999999E-2</v>
      </c>
      <c r="I78" s="6" cm="1">
        <f t="array" ref="I78">SQRT(MMULT(F78:G78,MMULT($B$70:$C$71,TRANSPOSE(F78:G78))))</f>
        <v>0.1739</v>
      </c>
    </row>
    <row r="80" spans="1:15" x14ac:dyDescent="0.2">
      <c r="A80" s="34" t="s">
        <v>23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</row>
    <row r="81" spans="1:9" ht="17" thickBot="1" x14ac:dyDescent="0.25">
      <c r="F81" s="33" t="s">
        <v>13</v>
      </c>
      <c r="G81" s="33"/>
      <c r="H81" s="33"/>
      <c r="I81" s="33"/>
    </row>
    <row r="82" spans="1:9" ht="35" thickBot="1" x14ac:dyDescent="0.25">
      <c r="F82" s="20" t="s">
        <v>16</v>
      </c>
      <c r="G82" s="21" t="s">
        <v>17</v>
      </c>
      <c r="H82" s="21" t="s">
        <v>35</v>
      </c>
      <c r="I82" s="22" t="s">
        <v>34</v>
      </c>
    </row>
    <row r="83" spans="1:9" ht="17" thickBot="1" x14ac:dyDescent="0.25">
      <c r="F83" s="6">
        <v>1</v>
      </c>
      <c r="G83" s="6">
        <v>0</v>
      </c>
      <c r="H83" s="6">
        <f>F83*$F$3+G83*$F$6</f>
        <v>0.13139999999999999</v>
      </c>
      <c r="I83" s="6" cm="1">
        <f t="array" ref="I83">SQRT(MMULT(F83:G83,MMULT($B$85:$C$86, TRANSPOSE(F83:G83))))</f>
        <v>0.1399</v>
      </c>
    </row>
    <row r="84" spans="1:9" ht="17" thickBot="1" x14ac:dyDescent="0.25">
      <c r="A84" s="25"/>
      <c r="B84" s="26" t="s">
        <v>3</v>
      </c>
      <c r="C84" s="27" t="s">
        <v>24</v>
      </c>
      <c r="F84" s="2">
        <v>0.9</v>
      </c>
      <c r="G84" s="2">
        <v>0.1</v>
      </c>
      <c r="H84" s="6">
        <f t="shared" ref="H84:H93" si="2">F84*$F$3+G84*$F$6</f>
        <v>0.1195</v>
      </c>
      <c r="I84" s="6" cm="1">
        <f t="array" ref="I84">SQRT(MMULT(F84:G84,MMULT($B$85:$C$86, TRANSPOSE(F84:G84))))</f>
        <v>0.12842090452881882</v>
      </c>
    </row>
    <row r="85" spans="1:9" x14ac:dyDescent="0.2">
      <c r="A85" s="23" t="s">
        <v>3</v>
      </c>
      <c r="B85" s="15">
        <f>B31</f>
        <v>1.9572009999999997E-2</v>
      </c>
      <c r="C85" s="28">
        <f>E31</f>
        <v>3.386979E-3</v>
      </c>
      <c r="F85" s="2">
        <v>0.8</v>
      </c>
      <c r="G85" s="2">
        <v>0.2</v>
      </c>
      <c r="H85" s="6">
        <f t="shared" si="2"/>
        <v>0.10759999999999999</v>
      </c>
      <c r="I85" s="6" cm="1">
        <f t="array" ref="I85">SQRT(MMULT(F85:G85,MMULT($B$85:$C$86, TRANSPOSE(F85:G85))))</f>
        <v>0.11715672101932523</v>
      </c>
    </row>
    <row r="86" spans="1:9" ht="17" thickBot="1" x14ac:dyDescent="0.25">
      <c r="A86" s="24" t="s">
        <v>24</v>
      </c>
      <c r="B86" s="29">
        <f>C85</f>
        <v>3.386979E-3</v>
      </c>
      <c r="C86" s="1">
        <f>E34</f>
        <v>2.8944399999999999E-3</v>
      </c>
      <c r="F86" s="2">
        <v>0.7</v>
      </c>
      <c r="G86" s="2">
        <v>0.3</v>
      </c>
      <c r="H86" s="6">
        <f t="shared" si="2"/>
        <v>9.5699999999999993E-2</v>
      </c>
      <c r="I86" s="6" cm="1">
        <f t="array" ref="I86">SQRT(MMULT(F86:G86,MMULT($B$85:$C$86, TRANSPOSE(F86:G86))))</f>
        <v>0.10617587145863225</v>
      </c>
    </row>
    <row r="87" spans="1:9" x14ac:dyDescent="0.2">
      <c r="F87" s="2">
        <v>0.6</v>
      </c>
      <c r="G87" s="2">
        <v>0.4</v>
      </c>
      <c r="H87" s="6">
        <f t="shared" si="2"/>
        <v>8.3799999999999999E-2</v>
      </c>
      <c r="I87" s="6" cm="1">
        <f t="array" ref="I87">SQRT(MMULT(F87:G87,MMULT($B$85:$C$86, TRANSPOSE(F87:G87))))</f>
        <v>9.5576063530572339E-2</v>
      </c>
    </row>
    <row r="88" spans="1:9" x14ac:dyDescent="0.2">
      <c r="F88" s="2">
        <v>0.5</v>
      </c>
      <c r="G88" s="2">
        <v>0.5</v>
      </c>
      <c r="H88" s="6">
        <f t="shared" si="2"/>
        <v>7.1899999999999992E-2</v>
      </c>
      <c r="I88" s="6" cm="1">
        <f t="array" ref="I88">SQRT(MMULT(F88:G88,MMULT($B$85:$C$86, TRANSPOSE(F88:G88))))</f>
        <v>8.5499134498543322E-2</v>
      </c>
    </row>
    <row r="89" spans="1:9" x14ac:dyDescent="0.2">
      <c r="F89" s="2">
        <v>0.4</v>
      </c>
      <c r="G89" s="2">
        <v>0.6</v>
      </c>
      <c r="H89" s="6">
        <f t="shared" si="2"/>
        <v>0.06</v>
      </c>
      <c r="I89" s="6" cm="1">
        <f t="array" ref="I89">SQRT(MMULT(F89:G89,MMULT($B$85:$C$86, TRANSPOSE(F89:G89))))</f>
        <v>7.6152937697767112E-2</v>
      </c>
    </row>
    <row r="90" spans="1:9" x14ac:dyDescent="0.2">
      <c r="F90" s="2">
        <v>0.3</v>
      </c>
      <c r="G90" s="2">
        <v>0.7</v>
      </c>
      <c r="H90" s="6">
        <f t="shared" si="2"/>
        <v>4.8099999999999997E-2</v>
      </c>
      <c r="I90" s="6" cm="1">
        <f t="array" ref="I90">SQRT(MMULT(F90:G90,MMULT($B$85:$C$86, TRANSPOSE(F90:G90))))</f>
        <v>6.7840162735653867E-2</v>
      </c>
    </row>
    <row r="91" spans="1:9" x14ac:dyDescent="0.2">
      <c r="F91" s="2">
        <v>0.2</v>
      </c>
      <c r="G91" s="2">
        <v>0.8</v>
      </c>
      <c r="H91" s="6">
        <f t="shared" si="2"/>
        <v>3.6199999999999996E-2</v>
      </c>
      <c r="I91" s="6" cm="1">
        <f t="array" ref="I91">SQRT(MMULT(F91:G91,MMULT($B$85:$C$86, TRANSPOSE(F91:G91))))</f>
        <v>6.0984877469746547E-2</v>
      </c>
    </row>
    <row r="92" spans="1:9" x14ac:dyDescent="0.2">
      <c r="F92" s="2">
        <v>0.1</v>
      </c>
      <c r="G92" s="2">
        <v>0.9</v>
      </c>
      <c r="H92" s="6">
        <f t="shared" si="2"/>
        <v>2.4299999999999999E-2</v>
      </c>
      <c r="I92" s="6" cm="1">
        <f t="array" ref="I92">SQRT(MMULT(F92:G92,MMULT($B$85:$C$86, TRANSPOSE(F92:G92))))</f>
        <v>5.6123726889792343E-2</v>
      </c>
    </row>
    <row r="93" spans="1:9" x14ac:dyDescent="0.2">
      <c r="F93" s="2">
        <v>0</v>
      </c>
      <c r="G93" s="2">
        <v>1</v>
      </c>
      <c r="H93" s="6">
        <f t="shared" si="2"/>
        <v>1.24E-2</v>
      </c>
      <c r="I93" s="6" cm="1">
        <f t="array" ref="I93">SQRT(MMULT(F93:G93,MMULT($B$85:$C$86, TRANSPOSE(F93:G93))))</f>
        <v>5.3800000000000001E-2</v>
      </c>
    </row>
    <row r="96" spans="1:9" x14ac:dyDescent="0.2">
      <c r="A96" s="35" t="s">
        <v>25</v>
      </c>
      <c r="B96" s="35"/>
    </row>
    <row r="97" spans="1:8" x14ac:dyDescent="0.2">
      <c r="A97" s="37" t="s">
        <v>0</v>
      </c>
      <c r="B97" s="37"/>
      <c r="C97" s="37"/>
      <c r="D97" s="37"/>
      <c r="E97" s="37"/>
      <c r="F97" s="37"/>
      <c r="G97" s="37"/>
      <c r="H97" s="37"/>
    </row>
    <row r="98" spans="1:8" x14ac:dyDescent="0.2">
      <c r="A98" s="36" t="s">
        <v>26</v>
      </c>
      <c r="B98" s="36"/>
      <c r="C98" s="36"/>
      <c r="D98" s="36"/>
      <c r="E98" s="36"/>
      <c r="F98" s="36"/>
      <c r="G98" s="36"/>
      <c r="H98" s="36"/>
    </row>
    <row r="99" spans="1:8" x14ac:dyDescent="0.2">
      <c r="A99" s="36"/>
      <c r="B99" s="36"/>
      <c r="C99" s="36"/>
      <c r="D99" s="36"/>
      <c r="E99" s="36"/>
      <c r="F99" s="36"/>
      <c r="G99" s="36"/>
      <c r="H99" s="36"/>
    </row>
    <row r="100" spans="1:8" x14ac:dyDescent="0.2">
      <c r="A100" s="36"/>
      <c r="B100" s="36"/>
      <c r="C100" s="36"/>
      <c r="D100" s="36"/>
      <c r="E100" s="36"/>
      <c r="F100" s="36"/>
      <c r="G100" s="36"/>
      <c r="H100" s="36"/>
    </row>
    <row r="101" spans="1:8" x14ac:dyDescent="0.2">
      <c r="A101" s="36"/>
      <c r="B101" s="36"/>
      <c r="C101" s="36"/>
      <c r="D101" s="36"/>
      <c r="E101" s="36"/>
      <c r="F101" s="36"/>
      <c r="G101" s="36"/>
      <c r="H101" s="36"/>
    </row>
    <row r="102" spans="1:8" x14ac:dyDescent="0.2">
      <c r="A102" s="36"/>
      <c r="B102" s="36"/>
      <c r="C102" s="36"/>
      <c r="D102" s="36"/>
      <c r="E102" s="36"/>
      <c r="F102" s="36"/>
      <c r="G102" s="36"/>
      <c r="H102" s="36"/>
    </row>
    <row r="103" spans="1:8" x14ac:dyDescent="0.2">
      <c r="A103" s="36"/>
      <c r="B103" s="36"/>
      <c r="C103" s="36"/>
      <c r="D103" s="36"/>
      <c r="E103" s="36"/>
      <c r="F103" s="36"/>
      <c r="G103" s="36"/>
      <c r="H103" s="36"/>
    </row>
    <row r="104" spans="1:8" x14ac:dyDescent="0.2">
      <c r="A104" s="36"/>
      <c r="B104" s="36"/>
      <c r="C104" s="36"/>
      <c r="D104" s="36"/>
      <c r="E104" s="36"/>
      <c r="F104" s="36"/>
      <c r="G104" s="36"/>
      <c r="H104" s="36"/>
    </row>
    <row r="105" spans="1:8" x14ac:dyDescent="0.2">
      <c r="A105" s="36"/>
      <c r="B105" s="36"/>
      <c r="C105" s="36"/>
      <c r="D105" s="36"/>
      <c r="E105" s="36"/>
      <c r="F105" s="36"/>
      <c r="G105" s="36"/>
      <c r="H105" s="36"/>
    </row>
    <row r="106" spans="1:8" ht="17" thickBot="1" x14ac:dyDescent="0.25">
      <c r="A106" s="38" t="s">
        <v>18</v>
      </c>
      <c r="B106" s="38"/>
      <c r="C106" s="38"/>
    </row>
    <row r="107" spans="1:8" ht="69" thickBot="1" x14ac:dyDescent="0.25">
      <c r="A107" s="25"/>
      <c r="B107" s="30" t="s">
        <v>27</v>
      </c>
      <c r="C107" s="31" t="s">
        <v>28</v>
      </c>
    </row>
    <row r="108" spans="1:8" x14ac:dyDescent="0.2">
      <c r="A108" s="23" t="s">
        <v>3</v>
      </c>
      <c r="B108" s="15">
        <v>0.5488533868177794</v>
      </c>
      <c r="C108" s="28"/>
    </row>
    <row r="109" spans="1:8" x14ac:dyDescent="0.2">
      <c r="A109" s="23" t="s">
        <v>4</v>
      </c>
      <c r="B109" s="29">
        <v>0.45114661318222055</v>
      </c>
      <c r="C109" s="1"/>
    </row>
    <row r="110" spans="1:8" x14ac:dyDescent="0.2">
      <c r="A110" s="23"/>
      <c r="B110" s="29"/>
      <c r="C110" s="1" cm="1">
        <f t="array" ref="C110">MMULT(TRANSPOSE(B108:B109),MMULT($B$31:$C$32,B108:B109))</f>
        <v>1.170656745822591E-2</v>
      </c>
    </row>
    <row r="111" spans="1:8" x14ac:dyDescent="0.2">
      <c r="A111" s="23" t="s">
        <v>29</v>
      </c>
      <c r="B111" s="29">
        <f>SUM(B108:B109)</f>
        <v>1</v>
      </c>
      <c r="C111" s="1"/>
    </row>
    <row r="112" spans="1:8" ht="17" thickBot="1" x14ac:dyDescent="0.25">
      <c r="A112" s="24" t="s">
        <v>30</v>
      </c>
      <c r="B112" s="29">
        <v>1</v>
      </c>
      <c r="C112" s="1"/>
    </row>
    <row r="113" spans="1:8" ht="16" customHeight="1" x14ac:dyDescent="0.2">
      <c r="A113" s="36" t="s">
        <v>31</v>
      </c>
      <c r="B113" s="36"/>
      <c r="C113" s="36"/>
      <c r="D113" s="36"/>
      <c r="E113" s="36"/>
      <c r="F113" s="36"/>
      <c r="G113" s="36"/>
      <c r="H113" s="36"/>
    </row>
    <row r="114" spans="1:8" ht="16" customHeight="1" x14ac:dyDescent="0.2">
      <c r="A114" s="36"/>
      <c r="B114" s="36"/>
      <c r="C114" s="36"/>
      <c r="D114" s="36"/>
      <c r="E114" s="36"/>
      <c r="F114" s="36"/>
      <c r="G114" s="36"/>
      <c r="H114" s="36"/>
    </row>
    <row r="115" spans="1:8" ht="16" customHeight="1" x14ac:dyDescent="0.2">
      <c r="A115" s="36"/>
      <c r="B115" s="36"/>
      <c r="C115" s="36"/>
      <c r="D115" s="36"/>
      <c r="E115" s="36"/>
      <c r="F115" s="36"/>
      <c r="G115" s="36"/>
      <c r="H115" s="36"/>
    </row>
    <row r="116" spans="1:8" ht="16" customHeight="1" x14ac:dyDescent="0.2">
      <c r="A116" s="36"/>
      <c r="B116" s="36"/>
      <c r="C116" s="36"/>
      <c r="D116" s="36"/>
      <c r="E116" s="36"/>
      <c r="F116" s="36"/>
      <c r="G116" s="36"/>
      <c r="H116" s="36"/>
    </row>
    <row r="117" spans="1:8" ht="16" customHeight="1" thickBot="1" x14ac:dyDescent="0.25">
      <c r="A117" s="39" t="s">
        <v>19</v>
      </c>
      <c r="B117" s="39"/>
      <c r="C117" s="39"/>
      <c r="D117" s="32"/>
      <c r="E117" s="32"/>
      <c r="F117" s="32"/>
      <c r="G117" s="32"/>
      <c r="H117" s="32"/>
    </row>
    <row r="118" spans="1:8" ht="69" thickBot="1" x14ac:dyDescent="0.25">
      <c r="A118" s="25"/>
      <c r="B118" s="30" t="s">
        <v>27</v>
      </c>
      <c r="C118" s="31" t="s">
        <v>32</v>
      </c>
    </row>
    <row r="119" spans="1:8" x14ac:dyDescent="0.2">
      <c r="A119" s="23" t="s">
        <v>3</v>
      </c>
      <c r="B119" s="15">
        <v>0.63309290486529346</v>
      </c>
      <c r="C119" s="28"/>
    </row>
    <row r="120" spans="1:8" x14ac:dyDescent="0.2">
      <c r="A120" s="23" t="s">
        <v>5</v>
      </c>
      <c r="B120" s="29">
        <v>0.36690709513470654</v>
      </c>
      <c r="C120" s="1"/>
    </row>
    <row r="121" spans="1:8" x14ac:dyDescent="0.2">
      <c r="A121" s="23"/>
      <c r="B121" s="29"/>
      <c r="C121" s="1" cm="1">
        <f t="array" ref="C121">MMULT(TRANSPOSE(B119:B120),MMULT($B$70:$C$71,B119:B120))</f>
        <v>1.4176168589705603E-2</v>
      </c>
    </row>
    <row r="122" spans="1:8" x14ac:dyDescent="0.2">
      <c r="A122" s="23" t="s">
        <v>29</v>
      </c>
      <c r="B122" s="29">
        <f>SUM(B119:B120)</f>
        <v>1</v>
      </c>
      <c r="C122" s="1"/>
    </row>
    <row r="123" spans="1:8" ht="17" thickBot="1" x14ac:dyDescent="0.25">
      <c r="A123" s="24" t="s">
        <v>30</v>
      </c>
      <c r="B123" s="29">
        <v>1</v>
      </c>
      <c r="C123" s="1"/>
    </row>
    <row r="124" spans="1:8" x14ac:dyDescent="0.2">
      <c r="A124" s="36" t="s">
        <v>33</v>
      </c>
      <c r="B124" s="36"/>
      <c r="C124" s="36"/>
      <c r="D124" s="36"/>
      <c r="E124" s="36"/>
      <c r="F124" s="36"/>
      <c r="G124" s="36"/>
      <c r="H124" s="36"/>
    </row>
    <row r="125" spans="1:8" ht="16" customHeight="1" x14ac:dyDescent="0.2">
      <c r="A125" s="36"/>
      <c r="B125" s="36"/>
      <c r="C125" s="36"/>
      <c r="D125" s="36"/>
      <c r="E125" s="36"/>
      <c r="F125" s="36"/>
      <c r="G125" s="36"/>
      <c r="H125" s="36"/>
    </row>
    <row r="126" spans="1:8" ht="16" customHeight="1" x14ac:dyDescent="0.2">
      <c r="A126" s="36"/>
      <c r="B126" s="36"/>
      <c r="C126" s="36"/>
      <c r="D126" s="36"/>
      <c r="E126" s="36"/>
      <c r="F126" s="36"/>
      <c r="G126" s="36"/>
      <c r="H126" s="36"/>
    </row>
    <row r="127" spans="1:8" ht="16" customHeight="1" x14ac:dyDescent="0.2">
      <c r="A127" s="36"/>
      <c r="B127" s="36"/>
      <c r="C127" s="36"/>
      <c r="D127" s="36"/>
      <c r="E127" s="36"/>
      <c r="F127" s="36"/>
      <c r="G127" s="36"/>
      <c r="H127" s="36"/>
    </row>
    <row r="128" spans="1:8" ht="16" customHeight="1" x14ac:dyDescent="0.2"/>
  </sheetData>
  <mergeCells count="21">
    <mergeCell ref="A124:H127"/>
    <mergeCell ref="A97:H97"/>
    <mergeCell ref="A106:C106"/>
    <mergeCell ref="A117:C117"/>
    <mergeCell ref="A1:A2"/>
    <mergeCell ref="B1:E1"/>
    <mergeCell ref="F1:F2"/>
    <mergeCell ref="G1:G2"/>
    <mergeCell ref="A29:E29"/>
    <mergeCell ref="A9:G9"/>
    <mergeCell ref="A43:G43"/>
    <mergeCell ref="A28:K28"/>
    <mergeCell ref="A8:B8"/>
    <mergeCell ref="H29:K29"/>
    <mergeCell ref="A113:H116"/>
    <mergeCell ref="F66:I66"/>
    <mergeCell ref="F81:I81"/>
    <mergeCell ref="A65:O65"/>
    <mergeCell ref="A80:O80"/>
    <mergeCell ref="A96:B96"/>
    <mergeCell ref="A98:H10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Олег Бурдуков</cp:lastModifiedBy>
  <dcterms:created xsi:type="dcterms:W3CDTF">2025-11-04T11:02:30Z</dcterms:created>
  <dcterms:modified xsi:type="dcterms:W3CDTF">2025-11-12T00:03:02Z</dcterms:modified>
</cp:coreProperties>
</file>