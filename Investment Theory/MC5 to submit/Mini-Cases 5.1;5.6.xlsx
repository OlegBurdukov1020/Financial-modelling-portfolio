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zen/Course I Principles of CM/Interactive part/Unit 5/MC5 to submit/"/>
    </mc:Choice>
  </mc:AlternateContent>
  <xr:revisionPtr revIDLastSave="0" documentId="13_ncr:1_{B041FE50-3028-9C42-B084-4541B0C0289A}" xr6:coauthVersionLast="47" xr6:coauthVersionMax="47" xr10:uidLastSave="{00000000-0000-0000-0000-000000000000}"/>
  <bookViews>
    <workbookView xWindow="0" yWindow="720" windowWidth="29400" windowHeight="18400" activeTab="2" xr2:uid="{A7A8E767-3F9C-E547-A143-3649671024BC}"/>
  </bookViews>
  <sheets>
    <sheet name="MC 5.1." sheetId="1" r:id="rId1"/>
    <sheet name="MarketDataUnit5 (2)" sheetId="4" r:id="rId2"/>
    <sheet name="MC 5.6." sheetId="2" r:id="rId3"/>
  </sheets>
  <definedNames>
    <definedName name="ExternalData_1" localSheetId="1" hidden="1">'MarketDataUnit5 (2)'!$A$1:$G$289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2" i="2" l="1"/>
  <c r="D73" i="2"/>
  <c r="C72" i="2"/>
  <c r="C73" i="2"/>
  <c r="B72" i="2"/>
  <c r="B73" i="2"/>
  <c r="E73" i="2"/>
  <c r="F9" i="1"/>
  <c r="F8" i="1"/>
  <c r="C6" i="1"/>
  <c r="C7" i="1"/>
  <c r="C8" i="1"/>
  <c r="C9" i="1"/>
  <c r="C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255499-2325-A744-8AF6-488CB8F3D02F}" keepAlive="1" name="Query - MarketDataUnit5" description="Connection to the 'MarketDataUnit5' query in the workbook." type="5" refreshedVersion="0" background="1">
    <dbPr connection="Provider=Microsoft.Mashup.OleDb.1;Data Source=$Workbook$;Location=MarketDataUnit5;Extended Properties=&quot;&quot;" command="SELECT * FROM [MarketDataUnit5]"/>
  </connection>
  <connection id="2" xr16:uid="{EFCB2C68-5CA4-F74B-9D7C-266BF3534555}" keepAlive="1" name="Query - MarketDataUnit5 (2)" description="Connection to the 'MarketDataUnit5 (2)' query in the workbook." type="5" refreshedVersion="8" background="1" saveData="1">
    <dbPr connection="Provider=Microsoft.Mashup.OleDb.1;Data Source=$Workbook$;Location=&quot;MarketDataUnit5 (2)&quot;;Extended Properties=&quot;&quot;" command="SELECT * FROM [MarketDataUnit5 (2)]"/>
  </connection>
</connections>
</file>

<file path=xl/sharedStrings.xml><?xml version="1.0" encoding="utf-8"?>
<sst xmlns="http://schemas.openxmlformats.org/spreadsheetml/2006/main" count="127" uniqueCount="67">
  <si>
    <t>Company</t>
  </si>
  <si>
    <t>ß unadjusted</t>
  </si>
  <si>
    <t>The Bloomberg-adjustment of ß</t>
  </si>
  <si>
    <t>OMV</t>
  </si>
  <si>
    <t>BMW AG</t>
  </si>
  <si>
    <t>Palantir Tech.</t>
  </si>
  <si>
    <t>Goldman Sachs</t>
  </si>
  <si>
    <t>Trump Group</t>
  </si>
  <si>
    <t>Mini-case 5.1.</t>
  </si>
  <si>
    <t>TASK A</t>
  </si>
  <si>
    <t>The calculation of an adjusted ß</t>
  </si>
  <si>
    <t>Task B</t>
  </si>
  <si>
    <t>ß Estimate</t>
  </si>
  <si>
    <t>ß-adjusted</t>
  </si>
  <si>
    <t>TeamViewer SE</t>
  </si>
  <si>
    <t>Shell plc.</t>
  </si>
  <si>
    <t>.) As a company with low ß I suggest considering TeamViewer SE.
.) For a high- beta company I'd prefer to suggest a British-Dutch oil &amp; gas company Shell plc.
.) The reported values surprize me a lot in both cases. It appears that TeamViewer's return reacts slightly stronger to the market changes than the market's average, what I didn't expect. 
.) Secondly, my expectations about Shell were completely wrong. In relation to a market change, the stocks of Shell moves slightly in the opposite direction. And beyond this, this company's stocks have  considerably low reaction on what happens to the market. In case of the Bloomberg-adjusted value, Shell still possesses a relatively low ß</t>
  </si>
  <si>
    <t>Date</t>
  </si>
  <si>
    <t>COST</t>
  </si>
  <si>
    <t>IBM</t>
  </si>
  <si>
    <t>LUV</t>
  </si>
  <si>
    <t>F1: Mkt-RF</t>
  </si>
  <si>
    <t>F2: SMB</t>
  </si>
  <si>
    <t>F3: HML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</si>
  <si>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</si>
  <si>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</si>
  <si>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</si>
  <si>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</si>
  <si>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</si>
  <si>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</si>
  <si>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</si>
  <si>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</si>
  <si>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</si>
  <si>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</si>
  <si>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</si>
  <si>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</si>
  <si>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</si>
  <si>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</si>
  <si>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</si>
  <si>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</si>
  <si>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</si>
  <si>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</si>
  <si>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</si>
  <si>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</si>
  <si>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</si>
  <si>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</si>
  <si>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</si>
  <si>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</si>
  <si>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</si>
  <si>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Mini-Case 5.6.</t>
  </si>
  <si>
    <t>Fama-French three-factor model of the Costco stocks</t>
  </si>
  <si>
    <t>X Variable 2</t>
  </si>
  <si>
    <t>X Variable 3</t>
  </si>
  <si>
    <t xml:space="preserve">Considering the regression output, we can state that for Costco stocks the coefficients of Fama-French three factor model are as follows: 
α(COST)=0,009193164; 
β(COST)=0,760324678; 
δ(COST)=-0,062977554;
γ(COST)=-0,289579458;
</t>
  </si>
  <si>
    <t>Fama-French three-factor model of the IBM stocks</t>
  </si>
  <si>
    <t>Considering the regression output, we can state that for IBM stocks the coefficients of Fama-French three factor model are as follows: 
α(IBM)=0,001880027;
β(IBM)=0,94847541;
δ(IBM)=-0,112872567;
γ(IBM)=-0,104448283;</t>
  </si>
  <si>
    <t>Considering the regression output, we can state that for Southwest-Airlines stocks the coefficients of Fama-French three factor model are as follows: 
α(LUV)=-0,001534617;
β(LUV)=1,081388162;
δ(LUV)=0,109276309;
γ(LUV)=0,466110803;</t>
  </si>
  <si>
    <t>Fama-French three-factor model of the Southwest-Airlines stocks</t>
  </si>
  <si>
    <t>TASK B</t>
  </si>
  <si>
    <t>Expected monthly return according to the Fama-French three-factor model</t>
  </si>
  <si>
    <t>E(r) annual</t>
  </si>
  <si>
    <t>E(r) monthly</t>
  </si>
  <si>
    <t>Costco</t>
  </si>
  <si>
    <t>Southwest-Airlines</t>
  </si>
  <si>
    <t>Risk-free</t>
  </si>
  <si>
    <t>TASK C</t>
  </si>
  <si>
    <t>To my mind, the Fama-French three-factor model considers reasonable factors that help to evaluate a stock return much better. The reason for this is that in addition to the β from the classic CAPM, this model considers the factors that are proven to be useful by historical observations in the market. So SMB takes into account the fact that in average, small-cap stocks outperformed the large-cap ones. And on the other hand HML considers the ratio between the book value of the stock (in terms of the comany's balance sheet) and the price on it in the market.
Considering this I think this model provides significant explanatory 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</si>
</sst>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theme="0"/>
      <name val="Aptos Narrow"/>
      <family val="2"/>
      <scheme val="minor"/>
    </font>
    <font>
      <sz val="10"/>
      <color theme="1"/>
      <name val="Aptos Narrow"/>
      <family val="2"/>
      <scheme val="minor"/>
    </font>
    <font>
      <sz val="10"/>
      <color rgb="FF202122"/>
      <name val="Arial"/>
      <family val="2"/>
    </font>
    <font>
      <sz val="9"/>
      <color theme="1"/>
      <name val="Aptos Narrow"/>
      <family val="2"/>
      <scheme val="minor"/>
    </font>
    <font>
      <i/>
      <sz val="12"/>
      <color theme="1"/>
      <name val="Aptos Narrow"/>
      <family val="2"/>
      <scheme val="minor"/>
    </font>
    <font>
      <sz val="10"/>
      <color theme="0"/>
      <name val="Helvetica"/>
      <family val="2"/>
    </font>
    <font>
      <sz val="12"/>
      <color theme="1"/>
      <name val="Aptos Narrow (Body)"/>
    </font>
  </fonts>
  <fills count="8">
    <fill>
      <patternFill patternType="none"/>
    </fill>
    <fill>
      <patternFill patternType="gray125"/>
    </fill>
    <fill>
      <patternFill patternType="solid">
        <fgColor theme="2" tint="-0.499984740745262"/>
        <bgColor indexed="64"/>
      </patternFill>
    </fill>
    <fill>
      <patternFill patternType="solid">
        <fgColor theme="2" tint="-0.749992370372631"/>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9" tint="0.59999389629810485"/>
        <bgColor indexed="64"/>
      </patternFill>
    </fill>
    <fill>
      <patternFill patternType="solid">
        <fgColor theme="9"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slantDashDot">
        <color rgb="FFFF0000"/>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style="medium">
        <color indexed="64"/>
      </top>
      <bottom style="thin">
        <color indexed="64"/>
      </bottom>
      <diagonal/>
    </border>
    <border>
      <left style="thin">
        <color theme="1"/>
      </left>
      <right/>
      <top/>
      <bottom style="medium">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s>
  <cellStyleXfs count="1">
    <xf numFmtId="0" fontId="0" fillId="0" borderId="0"/>
  </cellStyleXfs>
  <cellXfs count="59">
    <xf numFmtId="0" fontId="0" fillId="0" borderId="0" xfId="0"/>
    <xf numFmtId="0" fontId="2"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1" xfId="0" applyBorder="1"/>
    <xf numFmtId="0" fontId="4"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0" fillId="4" borderId="4" xfId="0" applyFill="1" applyBorder="1" applyAlignment="1">
      <alignment horizontal="center" vertical="center" wrapText="1"/>
    </xf>
    <xf numFmtId="0" fontId="0" fillId="4" borderId="4" xfId="0" applyFill="1" applyBorder="1" applyAlignment="1">
      <alignment horizontal="center" vertical="center"/>
    </xf>
    <xf numFmtId="0" fontId="3" fillId="4" borderId="5" xfId="0" applyFont="1" applyFill="1" applyBorder="1" applyAlignment="1">
      <alignment horizontal="center" vertical="center" wrapText="1"/>
    </xf>
    <xf numFmtId="0" fontId="0" fillId="0" borderId="5" xfId="0" applyBorder="1"/>
    <xf numFmtId="0" fontId="0" fillId="0" borderId="9" xfId="0" applyBorder="1"/>
    <xf numFmtId="0" fontId="5" fillId="0" borderId="10" xfId="0" applyFont="1" applyBorder="1" applyAlignment="1">
      <alignment horizontal="center"/>
    </xf>
    <xf numFmtId="0" fontId="5" fillId="0" borderId="10" xfId="0" applyFont="1" applyBorder="1" applyAlignment="1">
      <alignment horizontal="centerContinuous"/>
    </xf>
    <xf numFmtId="0" fontId="0" fillId="0" borderId="15" xfId="0" applyBorder="1"/>
    <xf numFmtId="0" fontId="5" fillId="0" borderId="17" xfId="0" applyFont="1" applyBorder="1" applyAlignment="1">
      <alignment horizontal="centerContinuous"/>
    </xf>
    <xf numFmtId="0" fontId="0" fillId="0" borderId="18" xfId="0" applyBorder="1"/>
    <xf numFmtId="0" fontId="5" fillId="0" borderId="17" xfId="0" applyFont="1" applyBorder="1" applyAlignment="1">
      <alignment horizontal="center"/>
    </xf>
    <xf numFmtId="0" fontId="0" fillId="0" borderId="19" xfId="0" applyBorder="1"/>
    <xf numFmtId="0" fontId="0" fillId="0" borderId="20" xfId="0" applyBorder="1"/>
    <xf numFmtId="0" fontId="5" fillId="0" borderId="8" xfId="0" applyFont="1" applyBorder="1" applyAlignment="1">
      <alignment horizontal="center"/>
    </xf>
    <xf numFmtId="0" fontId="0" fillId="6" borderId="11" xfId="0" applyFill="1" applyBorder="1"/>
    <xf numFmtId="0" fontId="7" fillId="0" borderId="0" xfId="0" applyFont="1"/>
    <xf numFmtId="0" fontId="0" fillId="4" borderId="11" xfId="0" applyFill="1" applyBorder="1" applyAlignment="1">
      <alignment horizontal="center" vertical="center" wrapText="1"/>
    </xf>
    <xf numFmtId="0" fontId="0" fillId="7" borderId="11" xfId="0" applyFill="1" applyBorder="1"/>
    <xf numFmtId="0" fontId="0" fillId="0" borderId="11" xfId="0" applyBorder="1"/>
    <xf numFmtId="0" fontId="0" fillId="0" borderId="1" xfId="0" applyBorder="1" applyAlignment="1">
      <alignment horizontal="center" vertical="center" wrapText="1"/>
    </xf>
    <xf numFmtId="0" fontId="1" fillId="3" borderId="7" xfId="0" applyFont="1" applyFill="1" applyBorder="1" applyAlignment="1">
      <alignment horizontal="center" vertical="center"/>
    </xf>
    <xf numFmtId="0" fontId="1" fillId="3" borderId="6"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0" fillId="4" borderId="1" xfId="0" applyFill="1" applyBorder="1" applyAlignment="1">
      <alignment horizontal="center" vertical="center" wrapText="1"/>
    </xf>
    <xf numFmtId="0" fontId="6" fillId="5" borderId="15" xfId="0" applyFont="1" applyFill="1" applyBorder="1" applyAlignment="1">
      <alignment horizontal="center" vertical="center"/>
    </xf>
    <xf numFmtId="0" fontId="6" fillId="5" borderId="0" xfId="0" applyFont="1" applyFill="1" applyAlignment="1">
      <alignment horizontal="center" vertical="center"/>
    </xf>
    <xf numFmtId="0" fontId="6" fillId="5" borderId="16" xfId="0" applyFont="1" applyFill="1" applyBorder="1" applyAlignment="1">
      <alignment horizontal="center" vertical="center"/>
    </xf>
    <xf numFmtId="0" fontId="0" fillId="0" borderId="0" xfId="0" applyAlignment="1">
      <alignment horizontal="left" vertical="center" wrapText="1"/>
    </xf>
    <xf numFmtId="0" fontId="1" fillId="2" borderId="0" xfId="0" applyFont="1" applyFill="1" applyAlignment="1">
      <alignment horizontal="center" wrapText="1"/>
    </xf>
    <xf numFmtId="0" fontId="0" fillId="0" borderId="16"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1" fillId="5" borderId="11" xfId="0" applyFont="1" applyFill="1" applyBorder="1" applyAlignment="1">
      <alignment horizontal="center" vertical="center" wrapText="1"/>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0" xfId="0" applyFont="1" applyFill="1" applyAlignment="1">
      <alignment horizontal="center" vertical="center"/>
    </xf>
    <xf numFmtId="0" fontId="1" fillId="2" borderId="16" xfId="0" applyFont="1" applyFill="1" applyBorder="1" applyAlignment="1">
      <alignment horizontal="center" vertical="center"/>
    </xf>
    <xf numFmtId="0" fontId="0" fillId="7" borderId="22" xfId="0" applyFill="1" applyBorder="1"/>
    <xf numFmtId="0" fontId="0" fillId="0" borderId="0" xfId="0" applyBorder="1"/>
    <xf numFmtId="0" fontId="0" fillId="0" borderId="0" xfId="0" applyBorder="1" applyAlignment="1">
      <alignment horizontal="left" vertical="center" wrapText="1"/>
    </xf>
    <xf numFmtId="0" fontId="1" fillId="2" borderId="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56988</xdr:colOff>
      <xdr:row>6</xdr:row>
      <xdr:rowOff>64476</xdr:rowOff>
    </xdr:from>
    <xdr:to>
      <xdr:col>13</xdr:col>
      <xdr:colOff>756353</xdr:colOff>
      <xdr:row>7</xdr:row>
      <xdr:rowOff>201179</xdr:rowOff>
    </xdr:to>
    <xdr:pic>
      <xdr:nvPicPr>
        <xdr:cNvPr id="2" name="Picture 1">
          <a:extLst>
            <a:ext uri="{FF2B5EF4-FFF2-40B4-BE49-F238E27FC236}">
              <a16:creationId xmlns:a16="http://schemas.microsoft.com/office/drawing/2014/main" id="{D819271B-CA84-630F-349E-673E559DB485}"/>
            </a:ext>
          </a:extLst>
        </xdr:cNvPr>
        <xdr:cNvPicPr>
          <a:picLocks noChangeAspect="1"/>
        </xdr:cNvPicPr>
      </xdr:nvPicPr>
      <xdr:blipFill>
        <a:blip xmlns:r="http://schemas.openxmlformats.org/officeDocument/2006/relationships" r:embed="rId1"/>
        <a:stretch>
          <a:fillRect/>
        </a:stretch>
      </xdr:blipFill>
      <xdr:spPr>
        <a:xfrm>
          <a:off x="7457180" y="1301912"/>
          <a:ext cx="3988340" cy="34022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9</xdr:col>
      <xdr:colOff>40705</xdr:colOff>
      <xdr:row>29</xdr:row>
      <xdr:rowOff>138399</xdr:rowOff>
    </xdr:from>
    <xdr:to>
      <xdr:col>13</xdr:col>
      <xdr:colOff>771656</xdr:colOff>
      <xdr:row>31</xdr:row>
      <xdr:rowOff>74272</xdr:rowOff>
    </xdr:to>
    <xdr:pic>
      <xdr:nvPicPr>
        <xdr:cNvPr id="3" name="Picture 2">
          <a:extLst>
            <a:ext uri="{FF2B5EF4-FFF2-40B4-BE49-F238E27FC236}">
              <a16:creationId xmlns:a16="http://schemas.microsoft.com/office/drawing/2014/main" id="{C87C3F76-FEDC-D14C-B7F8-0B6843C9C4ED}"/>
            </a:ext>
          </a:extLst>
        </xdr:cNvPr>
        <xdr:cNvPicPr>
          <a:picLocks noChangeAspect="1"/>
        </xdr:cNvPicPr>
      </xdr:nvPicPr>
      <xdr:blipFill>
        <a:blip xmlns:r="http://schemas.openxmlformats.org/officeDocument/2006/relationships" r:embed="rId1"/>
        <a:stretch>
          <a:fillRect/>
        </a:stretch>
      </xdr:blipFill>
      <xdr:spPr>
        <a:xfrm>
          <a:off x="7440897" y="6138335"/>
          <a:ext cx="4019926" cy="34292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9</xdr:col>
      <xdr:colOff>65129</xdr:colOff>
      <xdr:row>51</xdr:row>
      <xdr:rowOff>105833</xdr:rowOff>
    </xdr:from>
    <xdr:to>
      <xdr:col>13</xdr:col>
      <xdr:colOff>763516</xdr:colOff>
      <xdr:row>53</xdr:row>
      <xdr:rowOff>38927</xdr:rowOff>
    </xdr:to>
    <xdr:pic>
      <xdr:nvPicPr>
        <xdr:cNvPr id="4" name="Picture 3">
          <a:extLst>
            <a:ext uri="{FF2B5EF4-FFF2-40B4-BE49-F238E27FC236}">
              <a16:creationId xmlns:a16="http://schemas.microsoft.com/office/drawing/2014/main" id="{1AADDDFC-653F-9349-9F76-00C22B5F9BCB}"/>
            </a:ext>
          </a:extLst>
        </xdr:cNvPr>
        <xdr:cNvPicPr>
          <a:picLocks noChangeAspect="1"/>
        </xdr:cNvPicPr>
      </xdr:nvPicPr>
      <xdr:blipFill>
        <a:blip xmlns:r="http://schemas.openxmlformats.org/officeDocument/2006/relationships" r:embed="rId1"/>
        <a:stretch>
          <a:fillRect/>
        </a:stretch>
      </xdr:blipFill>
      <xdr:spPr>
        <a:xfrm>
          <a:off x="7465321" y="10681025"/>
          <a:ext cx="3987362" cy="34014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105832</xdr:colOff>
      <xdr:row>69</xdr:row>
      <xdr:rowOff>97692</xdr:rowOff>
    </xdr:from>
    <xdr:to>
      <xdr:col>13</xdr:col>
      <xdr:colOff>735854</xdr:colOff>
      <xdr:row>71</xdr:row>
      <xdr:rowOff>0</xdr:rowOff>
    </xdr:to>
    <xdr:pic>
      <xdr:nvPicPr>
        <xdr:cNvPr id="5" name="Picture 4">
          <a:extLst>
            <a:ext uri="{FF2B5EF4-FFF2-40B4-BE49-F238E27FC236}">
              <a16:creationId xmlns:a16="http://schemas.microsoft.com/office/drawing/2014/main" id="{EF53E9A2-7C27-6551-EAE0-552A7DDBFF2C}"/>
            </a:ext>
          </a:extLst>
        </xdr:cNvPr>
        <xdr:cNvPicPr>
          <a:picLocks noChangeAspect="1"/>
        </xdr:cNvPicPr>
      </xdr:nvPicPr>
      <xdr:blipFill>
        <a:blip xmlns:r="http://schemas.openxmlformats.org/officeDocument/2006/relationships" r:embed="rId2"/>
        <a:stretch>
          <a:fillRect/>
        </a:stretch>
      </xdr:blipFill>
      <xdr:spPr>
        <a:xfrm>
          <a:off x="4217050" y="14417756"/>
          <a:ext cx="7207971" cy="71641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113974</xdr:colOff>
      <xdr:row>72</xdr:row>
      <xdr:rowOff>8142</xdr:rowOff>
    </xdr:from>
    <xdr:to>
      <xdr:col>10</xdr:col>
      <xdr:colOff>333456</xdr:colOff>
      <xdr:row>75</xdr:row>
      <xdr:rowOff>19865</xdr:rowOff>
    </xdr:to>
    <xdr:pic>
      <xdr:nvPicPr>
        <xdr:cNvPr id="6" name="Picture 5">
          <a:extLst>
            <a:ext uri="{FF2B5EF4-FFF2-40B4-BE49-F238E27FC236}">
              <a16:creationId xmlns:a16="http://schemas.microsoft.com/office/drawing/2014/main" id="{34612C8E-07B7-1C4C-A4CB-F364B35D3363}"/>
            </a:ext>
          </a:extLst>
        </xdr:cNvPr>
        <xdr:cNvPicPr>
          <a:picLocks noChangeAspect="1"/>
        </xdr:cNvPicPr>
      </xdr:nvPicPr>
      <xdr:blipFill>
        <a:blip xmlns:r="http://schemas.openxmlformats.org/officeDocument/2006/relationships" r:embed="rId3"/>
        <a:stretch>
          <a:fillRect/>
        </a:stretch>
      </xdr:blipFill>
      <xdr:spPr>
        <a:xfrm>
          <a:off x="4225192" y="15345834"/>
          <a:ext cx="4330700" cy="6223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C5B40BA-1765-0C42-9668-4C8DF7A8BD37}" autoFormatId="16" applyNumberFormats="0" applyBorderFormats="0" applyFontFormats="0" applyPatternFormats="0" applyAlignmentFormats="0" applyWidthHeightFormats="0">
  <queryTableRefresh nextId="8">
    <queryTableFields count="7">
      <queryTableField id="1" name="Date" tableColumnId="1"/>
      <queryTableField id="2" name="COST" tableColumnId="2"/>
      <queryTableField id="3" name="IBM" tableColumnId="3"/>
      <queryTableField id="4" name="LUV" tableColumnId="4"/>
      <queryTableField id="5" name="F1: Mkt-RF" tableColumnId="5"/>
      <queryTableField id="6" name="F2: SMB" tableColumnId="6"/>
      <queryTableField id="7" name="F3: HM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9EC686-BD52-C14C-9E76-89CF81C84561}" name="MarketDataUnit5__2" displayName="MarketDataUnit5__2" ref="A1:G289" tableType="queryTable" totalsRowShown="0">
  <autoFilter ref="A1:G289" xr:uid="{609EC686-BD52-C14C-9E76-89CF81C84561}"/>
  <tableColumns count="7">
    <tableColumn id="1" xr3:uid="{ABBA9972-E783-3D4A-9975-33DC03ED8195}" uniqueName="1" name="Date" queryTableFieldId="1"/>
    <tableColumn id="2" xr3:uid="{96F7F58D-94AF-1841-AF71-9EFDE6A5C4F6}" uniqueName="2" name="COST" queryTableFieldId="2"/>
    <tableColumn id="3" xr3:uid="{0EB62CB0-4B56-EF4F-96DA-05A5249887CE}" uniqueName="3" name="IBM" queryTableFieldId="3"/>
    <tableColumn id="4" xr3:uid="{EC567FED-B848-9B42-9C3B-00E125BB11E3}" uniqueName="4" name="LUV" queryTableFieldId="4"/>
    <tableColumn id="5" xr3:uid="{1D178764-07E9-214D-B806-A0582786631F}" uniqueName="5" name="F1: Mkt-RF" queryTableFieldId="5"/>
    <tableColumn id="6" xr3:uid="{DA231774-7F06-0247-8BB9-308A9A9589DF}" uniqueName="6" name="F2: SMB" queryTableFieldId="6"/>
    <tableColumn id="7" xr3:uid="{0598B50A-250D-804F-91D0-CAF91605C6B3}" uniqueName="7" name="F3: HML"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56F04-5975-6E4F-BB68-D80DFD65BE30}">
  <dimension ref="A1:J9"/>
  <sheetViews>
    <sheetView zoomScale="177" workbookViewId="0">
      <selection activeCell="G12" sqref="G12"/>
    </sheetView>
  </sheetViews>
  <sheetFormatPr baseColWidth="10" defaultRowHeight="16" x14ac:dyDescent="0.2"/>
  <cols>
    <col min="4" max="4" width="13" customWidth="1"/>
  </cols>
  <sheetData>
    <row r="1" spans="1:10" x14ac:dyDescent="0.2">
      <c r="A1" s="28" t="s">
        <v>8</v>
      </c>
      <c r="B1" s="29"/>
      <c r="C1" s="29"/>
      <c r="D1" s="29"/>
      <c r="E1" s="29"/>
      <c r="F1" s="29"/>
      <c r="G1" s="29"/>
      <c r="H1" s="29"/>
      <c r="I1" s="29"/>
      <c r="J1" s="29"/>
    </row>
    <row r="2" spans="1:10" x14ac:dyDescent="0.2">
      <c r="A2" s="30" t="s">
        <v>9</v>
      </c>
      <c r="B2" s="30"/>
      <c r="C2" s="31"/>
      <c r="D2" s="37" t="s">
        <v>11</v>
      </c>
      <c r="E2" s="38"/>
      <c r="F2" s="38"/>
      <c r="G2" s="38"/>
      <c r="H2" s="38"/>
      <c r="I2" s="38"/>
      <c r="J2" s="38"/>
    </row>
    <row r="3" spans="1:10" ht="16" customHeight="1" x14ac:dyDescent="0.2">
      <c r="A3" s="32" t="s">
        <v>10</v>
      </c>
      <c r="B3" s="33"/>
      <c r="C3" s="34"/>
      <c r="D3" s="35" t="s">
        <v>16</v>
      </c>
      <c r="E3" s="35"/>
      <c r="F3" s="35"/>
      <c r="G3" s="35"/>
      <c r="H3" s="35"/>
      <c r="I3" s="35"/>
      <c r="J3" s="35"/>
    </row>
    <row r="4" spans="1:10" ht="64" customHeight="1" x14ac:dyDescent="0.2">
      <c r="A4" s="1" t="s">
        <v>0</v>
      </c>
      <c r="B4" s="2" t="s">
        <v>1</v>
      </c>
      <c r="C4" s="10" t="s">
        <v>2</v>
      </c>
      <c r="D4" s="36"/>
      <c r="E4" s="35"/>
      <c r="F4" s="35"/>
      <c r="G4" s="35"/>
      <c r="H4" s="35"/>
      <c r="I4" s="35"/>
      <c r="J4" s="35"/>
    </row>
    <row r="5" spans="1:10" x14ac:dyDescent="0.2">
      <c r="A5" s="3" t="s">
        <v>3</v>
      </c>
      <c r="B5" s="4">
        <v>0.49</v>
      </c>
      <c r="C5" s="11">
        <f>0.66*B5+0.34</f>
        <v>0.66339999999999999</v>
      </c>
      <c r="D5" s="36"/>
      <c r="E5" s="35"/>
      <c r="F5" s="35"/>
      <c r="G5" s="35"/>
      <c r="H5" s="35"/>
      <c r="I5" s="35"/>
      <c r="J5" s="35"/>
    </row>
    <row r="6" spans="1:10" x14ac:dyDescent="0.2">
      <c r="A6" s="3" t="s">
        <v>4</v>
      </c>
      <c r="B6" s="4">
        <v>0.77</v>
      </c>
      <c r="C6" s="11">
        <f t="shared" ref="C6:C9" si="0">0.66*B6+0.34</f>
        <v>0.84820000000000007</v>
      </c>
      <c r="D6" s="36"/>
      <c r="E6" s="35"/>
      <c r="F6" s="35"/>
      <c r="G6" s="35"/>
      <c r="H6" s="35"/>
      <c r="I6" s="35"/>
      <c r="J6" s="35"/>
    </row>
    <row r="7" spans="1:10" ht="17" x14ac:dyDescent="0.2">
      <c r="A7" s="5" t="s">
        <v>6</v>
      </c>
      <c r="B7" s="4">
        <v>1.35</v>
      </c>
      <c r="C7" s="11">
        <f t="shared" si="0"/>
        <v>1.2310000000000001</v>
      </c>
      <c r="D7" s="8" t="s">
        <v>0</v>
      </c>
      <c r="E7" s="6" t="s">
        <v>12</v>
      </c>
      <c r="F7" s="39" t="s">
        <v>13</v>
      </c>
      <c r="G7" s="39"/>
      <c r="H7" s="39"/>
      <c r="I7" s="39"/>
      <c r="J7" s="39"/>
    </row>
    <row r="8" spans="1:10" x14ac:dyDescent="0.2">
      <c r="A8" s="3" t="s">
        <v>5</v>
      </c>
      <c r="B8" s="4">
        <v>1.48</v>
      </c>
      <c r="C8" s="11">
        <f t="shared" si="0"/>
        <v>1.3168</v>
      </c>
      <c r="D8" s="9" t="s">
        <v>14</v>
      </c>
      <c r="E8" s="7">
        <v>1.05</v>
      </c>
      <c r="F8" s="27">
        <f>0.66*E8+0.34</f>
        <v>1.0330000000000001</v>
      </c>
      <c r="G8" s="27"/>
      <c r="H8" s="27"/>
      <c r="I8" s="27"/>
      <c r="J8" s="27"/>
    </row>
    <row r="9" spans="1:10" ht="17" x14ac:dyDescent="0.2">
      <c r="A9" s="3" t="s">
        <v>7</v>
      </c>
      <c r="B9" s="4">
        <v>4.6100000000000003</v>
      </c>
      <c r="C9" s="11">
        <f t="shared" si="0"/>
        <v>3.3826000000000001</v>
      </c>
      <c r="D9" s="8" t="s">
        <v>15</v>
      </c>
      <c r="E9" s="7">
        <v>-0.09</v>
      </c>
      <c r="F9" s="27">
        <f>0.66*E9+0.34</f>
        <v>0.28060000000000002</v>
      </c>
      <c r="G9" s="27"/>
      <c r="H9" s="27"/>
      <c r="I9" s="27"/>
      <c r="J9" s="27"/>
    </row>
  </sheetData>
  <mergeCells count="8">
    <mergeCell ref="F8:J8"/>
    <mergeCell ref="F9:J9"/>
    <mergeCell ref="A1:J1"/>
    <mergeCell ref="A2:C2"/>
    <mergeCell ref="A3:C3"/>
    <mergeCell ref="D3:J6"/>
    <mergeCell ref="D2:J2"/>
    <mergeCell ref="F7:J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1A0B4-D6F7-E947-836D-587FE75803FA}">
  <dimension ref="A1:G289"/>
  <sheetViews>
    <sheetView topLeftCell="A248" workbookViewId="0">
      <selection activeCell="I17" sqref="I17"/>
    </sheetView>
  </sheetViews>
  <sheetFormatPr baseColWidth="10" defaultRowHeight="16" x14ac:dyDescent="0.2"/>
  <cols>
    <col min="1" max="1" width="7.6640625" bestFit="1" customWidth="1"/>
    <col min="2" max="4" width="9.83203125" bestFit="1" customWidth="1"/>
    <col min="5" max="5" width="12.5" bestFit="1" customWidth="1"/>
    <col min="6" max="6" width="10.1640625" bestFit="1" customWidth="1"/>
    <col min="7" max="7" width="10.33203125" bestFit="1" customWidth="1"/>
  </cols>
  <sheetData>
    <row r="1" spans="1:7" x14ac:dyDescent="0.2">
      <c r="A1" t="s">
        <v>17</v>
      </c>
      <c r="B1" t="s">
        <v>18</v>
      </c>
      <c r="C1" t="s">
        <v>19</v>
      </c>
      <c r="D1" t="s">
        <v>20</v>
      </c>
      <c r="E1" t="s">
        <v>21</v>
      </c>
      <c r="F1" t="s">
        <v>22</v>
      </c>
      <c r="G1" t="s">
        <v>23</v>
      </c>
    </row>
    <row r="2" spans="1:7" x14ac:dyDescent="0.2">
      <c r="A2">
        <v>200101</v>
      </c>
      <c r="B2">
        <v>0.15805900000000001</v>
      </c>
      <c r="C2">
        <v>0.31764700000000001</v>
      </c>
      <c r="D2">
        <v>-6.5613000000000005E-2</v>
      </c>
      <c r="E2">
        <v>3.2500000000000001E-2</v>
      </c>
      <c r="F2">
        <v>6.4100000000000004E-2</v>
      </c>
      <c r="G2">
        <v>-5.0500000000000003E-2</v>
      </c>
    </row>
    <row r="3" spans="1:7" x14ac:dyDescent="0.2">
      <c r="A3">
        <v>200102</v>
      </c>
      <c r="B3">
        <v>-9.7296999999999995E-2</v>
      </c>
      <c r="C3">
        <v>-0.106875</v>
      </c>
      <c r="D3">
        <v>-0.109264</v>
      </c>
      <c r="E3">
        <v>-0.1003</v>
      </c>
      <c r="F3">
        <v>-6.4999999999999997E-3</v>
      </c>
      <c r="G3">
        <v>0.12230000000000001</v>
      </c>
    </row>
    <row r="4" spans="1:7" x14ac:dyDescent="0.2">
      <c r="A4">
        <v>200103</v>
      </c>
      <c r="B4">
        <v>-5.9880000000000003E-2</v>
      </c>
      <c r="C4">
        <v>-3.7236999999999999E-2</v>
      </c>
      <c r="D4">
        <v>-4.5698999999999997E-2</v>
      </c>
      <c r="E4">
        <v>-7.2499999999999995E-2</v>
      </c>
      <c r="F4">
        <v>2.5999999999999999E-3</v>
      </c>
      <c r="G4">
        <v>6.4699999999999994E-2</v>
      </c>
    </row>
    <row r="5" spans="1:7" x14ac:dyDescent="0.2">
      <c r="A5">
        <v>200104</v>
      </c>
      <c r="B5">
        <v>-0.110064</v>
      </c>
      <c r="C5">
        <v>0.19713</v>
      </c>
      <c r="D5">
        <v>2.5915000000000001E-2</v>
      </c>
      <c r="E5">
        <v>7.9299999999999995E-2</v>
      </c>
      <c r="F5">
        <v>5.0000000000000001E-3</v>
      </c>
      <c r="G5">
        <v>-4.6399999999999997E-2</v>
      </c>
    </row>
    <row r="6" spans="1:7" x14ac:dyDescent="0.2">
      <c r="A6">
        <v>200105</v>
      </c>
      <c r="B6">
        <v>0.113942</v>
      </c>
      <c r="C6">
        <v>-2.7792000000000001E-2</v>
      </c>
      <c r="D6">
        <v>9.8297999999999996E-2</v>
      </c>
      <c r="E6">
        <v>6.7999999999999996E-3</v>
      </c>
      <c r="F6">
        <v>2.4799999999999999E-2</v>
      </c>
      <c r="G6">
        <v>3.3799999999999997E-2</v>
      </c>
    </row>
    <row r="7" spans="1:7" x14ac:dyDescent="0.2">
      <c r="A7">
        <v>200106</v>
      </c>
      <c r="B7">
        <v>5.577E-2</v>
      </c>
      <c r="C7">
        <v>1.0732999999999999E-2</v>
      </c>
      <c r="D7">
        <v>-7.5274999999999995E-2</v>
      </c>
      <c r="E7">
        <v>-1.9400000000000001E-2</v>
      </c>
      <c r="F7">
        <v>6.3500000000000001E-2</v>
      </c>
      <c r="G7">
        <v>-1.26E-2</v>
      </c>
    </row>
    <row r="8" spans="1:7" x14ac:dyDescent="0.2">
      <c r="A8">
        <v>200107</v>
      </c>
      <c r="B8">
        <v>4.7954999999999998E-2</v>
      </c>
      <c r="C8">
        <v>-6.8937999999999999E-2</v>
      </c>
      <c r="D8">
        <v>8.2207000000000002E-2</v>
      </c>
      <c r="E8">
        <v>-2.1299999999999999E-2</v>
      </c>
      <c r="F8">
        <v>-4.0500000000000001E-2</v>
      </c>
      <c r="G8">
        <v>4.9500000000000002E-2</v>
      </c>
    </row>
    <row r="9" spans="1:7" x14ac:dyDescent="0.2">
      <c r="A9">
        <v>200108</v>
      </c>
      <c r="B9">
        <v>-0.13100999999999999</v>
      </c>
      <c r="C9">
        <v>-4.8665E-2</v>
      </c>
      <c r="D9">
        <v>-0.105722</v>
      </c>
      <c r="E9">
        <v>-6.4000000000000001E-2</v>
      </c>
      <c r="F9">
        <v>2.1899999999999999E-2</v>
      </c>
      <c r="G9">
        <v>2.86E-2</v>
      </c>
    </row>
    <row r="10" spans="1:7" x14ac:dyDescent="0.2">
      <c r="A10">
        <v>200109</v>
      </c>
      <c r="B10">
        <v>-4.9452000000000003E-2</v>
      </c>
      <c r="C10">
        <v>-8.2340999999999998E-2</v>
      </c>
      <c r="D10">
        <v>-0.170486</v>
      </c>
      <c r="E10">
        <v>-9.2399999999999996E-2</v>
      </c>
      <c r="F10">
        <v>-6.2300000000000001E-2</v>
      </c>
      <c r="G10">
        <v>1.52E-2</v>
      </c>
    </row>
    <row r="11" spans="1:7" x14ac:dyDescent="0.2">
      <c r="A11">
        <v>200110</v>
      </c>
      <c r="B11">
        <v>6.3836000000000004E-2</v>
      </c>
      <c r="C11">
        <v>0.17826</v>
      </c>
      <c r="D11">
        <v>7.1429000000000006E-2</v>
      </c>
      <c r="E11">
        <v>2.4799999999999999E-2</v>
      </c>
      <c r="F11">
        <v>7.4899999999999994E-2</v>
      </c>
      <c r="G11">
        <v>-7.3099999999999998E-2</v>
      </c>
    </row>
    <row r="12" spans="1:7" x14ac:dyDescent="0.2">
      <c r="A12">
        <v>200111</v>
      </c>
      <c r="B12">
        <v>8.0624000000000001E-2</v>
      </c>
      <c r="C12">
        <v>7.0879999999999999E-2</v>
      </c>
      <c r="D12">
        <v>0.17924499999999999</v>
      </c>
      <c r="E12">
        <v>7.5300000000000006E-2</v>
      </c>
      <c r="F12">
        <v>-5.7000000000000002E-3</v>
      </c>
      <c r="G12">
        <v>2.1700000000000001E-2</v>
      </c>
    </row>
    <row r="13" spans="1:7" x14ac:dyDescent="0.2">
      <c r="A13">
        <v>200112</v>
      </c>
      <c r="B13">
        <v>8.5615999999999998E-2</v>
      </c>
      <c r="C13">
        <v>4.6456999999999998E-2</v>
      </c>
      <c r="D13">
        <v>-1.4160000000000001E-2</v>
      </c>
      <c r="E13">
        <v>1.61E-2</v>
      </c>
      <c r="F13">
        <v>4.7199999999999999E-2</v>
      </c>
      <c r="G13">
        <v>8.3000000000000001E-3</v>
      </c>
    </row>
    <row r="14" spans="1:7" x14ac:dyDescent="0.2">
      <c r="A14">
        <v>200201</v>
      </c>
      <c r="B14">
        <v>3.6503000000000001E-2</v>
      </c>
      <c r="C14">
        <v>-0.108052</v>
      </c>
      <c r="D14">
        <v>2.4892000000000001E-2</v>
      </c>
      <c r="E14">
        <v>-1.44E-2</v>
      </c>
      <c r="F14">
        <v>1.17E-2</v>
      </c>
      <c r="G14">
        <v>3.4200000000000001E-2</v>
      </c>
    </row>
    <row r="15" spans="1:7" x14ac:dyDescent="0.2">
      <c r="A15">
        <v>200202</v>
      </c>
      <c r="B15">
        <v>-0.103044</v>
      </c>
      <c r="C15">
        <v>-8.9258000000000004E-2</v>
      </c>
      <c r="D15">
        <v>0.11481</v>
      </c>
      <c r="E15">
        <v>-2.3E-2</v>
      </c>
      <c r="F15">
        <v>-1.0800000000000001E-2</v>
      </c>
      <c r="G15">
        <v>2.3400000000000001E-2</v>
      </c>
    </row>
    <row r="16" spans="1:7" x14ac:dyDescent="0.2">
      <c r="A16">
        <v>200203</v>
      </c>
      <c r="B16">
        <v>-3.4901000000000001E-2</v>
      </c>
      <c r="C16">
        <v>5.9927000000000001E-2</v>
      </c>
      <c r="D16">
        <v>-8.3373000000000003E-2</v>
      </c>
      <c r="E16">
        <v>4.24E-2</v>
      </c>
      <c r="F16">
        <v>4.0899999999999999E-2</v>
      </c>
      <c r="G16">
        <v>1.0800000000000001E-2</v>
      </c>
    </row>
    <row r="17" spans="1:7" x14ac:dyDescent="0.2">
      <c r="A17">
        <v>200204</v>
      </c>
      <c r="B17">
        <v>9.5429999999999994E-3</v>
      </c>
      <c r="C17">
        <v>-0.19461500000000001</v>
      </c>
      <c r="D17">
        <v>-5.8915000000000002E-2</v>
      </c>
      <c r="E17">
        <v>-5.21E-2</v>
      </c>
      <c r="F17">
        <v>5.8200000000000002E-2</v>
      </c>
      <c r="G17">
        <v>4.0099999999999997E-2</v>
      </c>
    </row>
    <row r="18" spans="1:7" x14ac:dyDescent="0.2">
      <c r="A18">
        <v>200205</v>
      </c>
      <c r="B18">
        <v>-2.3133999999999998E-2</v>
      </c>
      <c r="C18">
        <v>-3.7726999999999997E-2</v>
      </c>
      <c r="D18">
        <v>-6.4798999999999995E-2</v>
      </c>
      <c r="E18">
        <v>-1.3599999999999999E-2</v>
      </c>
      <c r="F18">
        <v>-3.27E-2</v>
      </c>
      <c r="G18">
        <v>1.52E-2</v>
      </c>
    </row>
    <row r="19" spans="1:7" x14ac:dyDescent="0.2">
      <c r="A19">
        <v>200206</v>
      </c>
      <c r="B19">
        <v>-1.6552000000000001E-2</v>
      </c>
      <c r="C19">
        <v>-0.105034</v>
      </c>
      <c r="D19">
        <v>-5.0821999999999999E-2</v>
      </c>
      <c r="E19">
        <v>-7.2300000000000003E-2</v>
      </c>
      <c r="F19">
        <v>4.0800000000000003E-2</v>
      </c>
      <c r="G19">
        <v>3.7000000000000002E-3</v>
      </c>
    </row>
    <row r="20" spans="1:7" x14ac:dyDescent="0.2">
      <c r="A20">
        <v>200207</v>
      </c>
      <c r="B20">
        <v>-9.7100000000000006E-2</v>
      </c>
      <c r="C20">
        <v>-2.2221999999999999E-2</v>
      </c>
      <c r="D20">
        <v>-0.14542099999999999</v>
      </c>
      <c r="E20">
        <v>-8.1900000000000001E-2</v>
      </c>
      <c r="F20">
        <v>-5.2499999999999998E-2</v>
      </c>
      <c r="G20">
        <v>-3.5099999999999999E-2</v>
      </c>
    </row>
    <row r="21" spans="1:7" x14ac:dyDescent="0.2">
      <c r="A21">
        <v>200208</v>
      </c>
      <c r="B21">
        <v>-4.1869999999999997E-2</v>
      </c>
      <c r="C21">
        <v>7.2869000000000003E-2</v>
      </c>
      <c r="D21">
        <v>2.929E-2</v>
      </c>
      <c r="E21">
        <v>5.0000000000000001E-3</v>
      </c>
      <c r="F21">
        <v>-2.8000000000000001E-2</v>
      </c>
      <c r="G21">
        <v>3.0099999999999998E-2</v>
      </c>
    </row>
    <row r="22" spans="1:7" x14ac:dyDescent="0.2">
      <c r="A22">
        <v>200209</v>
      </c>
      <c r="B22">
        <v>-3.1127999999999999E-2</v>
      </c>
      <c r="C22">
        <v>-0.22645299999999999</v>
      </c>
      <c r="D22">
        <v>-8.0929000000000001E-2</v>
      </c>
      <c r="E22">
        <v>-0.10340000000000001</v>
      </c>
      <c r="F22">
        <v>2.4199999999999999E-2</v>
      </c>
      <c r="G22">
        <v>1.26E-2</v>
      </c>
    </row>
    <row r="23" spans="1:7" x14ac:dyDescent="0.2">
      <c r="A23">
        <v>200210</v>
      </c>
      <c r="B23">
        <v>4.8193E-2</v>
      </c>
      <c r="C23">
        <v>0.35379899999999997</v>
      </c>
      <c r="D23">
        <v>0.11791699999999999</v>
      </c>
      <c r="E23">
        <v>7.8399999999999997E-2</v>
      </c>
      <c r="F23">
        <v>-3.4000000000000002E-2</v>
      </c>
      <c r="G23">
        <v>-3.7600000000000001E-2</v>
      </c>
    </row>
    <row r="24" spans="1:7" x14ac:dyDescent="0.2">
      <c r="A24">
        <v>200211</v>
      </c>
      <c r="B24">
        <v>-4.8039999999999999E-2</v>
      </c>
      <c r="C24">
        <v>0.10299</v>
      </c>
      <c r="D24">
        <v>0.14383599999999999</v>
      </c>
      <c r="E24">
        <v>5.96E-2</v>
      </c>
      <c r="F24">
        <v>3.2599999999999997E-2</v>
      </c>
      <c r="G24">
        <v>-1.1599999999999999E-2</v>
      </c>
    </row>
    <row r="25" spans="1:7" x14ac:dyDescent="0.2">
      <c r="A25">
        <v>200212</v>
      </c>
      <c r="B25">
        <v>-0.131269</v>
      </c>
      <c r="C25">
        <v>-0.108375</v>
      </c>
      <c r="D25">
        <v>-0.16739499999999999</v>
      </c>
      <c r="E25">
        <v>-5.7599999999999998E-2</v>
      </c>
      <c r="F25">
        <v>-4.0000000000000002E-4</v>
      </c>
      <c r="G25">
        <v>2.1100000000000001E-2</v>
      </c>
    </row>
    <row r="26" spans="1:7" x14ac:dyDescent="0.2">
      <c r="A26">
        <v>200301</v>
      </c>
      <c r="B26">
        <v>2.8867E-2</v>
      </c>
      <c r="C26">
        <v>9.0320000000000001E-3</v>
      </c>
      <c r="D26">
        <v>-6.1150999999999997E-2</v>
      </c>
      <c r="E26">
        <v>-2.5700000000000001E-2</v>
      </c>
      <c r="F26">
        <v>1.34E-2</v>
      </c>
      <c r="G26">
        <v>-7.9000000000000008E-3</v>
      </c>
    </row>
    <row r="27" spans="1:7" x14ac:dyDescent="0.2">
      <c r="A27">
        <v>200302</v>
      </c>
      <c r="B27">
        <v>5.7153000000000002E-2</v>
      </c>
      <c r="C27">
        <v>-1.279E-3</v>
      </c>
      <c r="D27">
        <v>-7.5095999999999996E-2</v>
      </c>
      <c r="E27">
        <v>-1.8800000000000001E-2</v>
      </c>
      <c r="F27">
        <v>-4.4000000000000003E-3</v>
      </c>
      <c r="G27">
        <v>-1.3599999999999999E-2</v>
      </c>
    </row>
    <row r="28" spans="1:7" x14ac:dyDescent="0.2">
      <c r="A28">
        <v>200303</v>
      </c>
      <c r="B28">
        <v>-1.6055E-2</v>
      </c>
      <c r="C28">
        <v>6.1580000000000003E-3</v>
      </c>
      <c r="D28">
        <v>0.19009899999999999</v>
      </c>
      <c r="E28">
        <v>1.09E-2</v>
      </c>
      <c r="F28">
        <v>1.17E-2</v>
      </c>
      <c r="G28">
        <v>-2.1100000000000001E-2</v>
      </c>
    </row>
    <row r="29" spans="1:7" x14ac:dyDescent="0.2">
      <c r="A29">
        <v>200304</v>
      </c>
      <c r="B29">
        <v>0.15251400000000001</v>
      </c>
      <c r="C29">
        <v>8.2493999999999998E-2</v>
      </c>
      <c r="D29">
        <v>0.11142100000000001</v>
      </c>
      <c r="E29">
        <v>8.1799999999999998E-2</v>
      </c>
      <c r="F29">
        <v>7.6E-3</v>
      </c>
      <c r="G29">
        <v>1.2200000000000001E-2</v>
      </c>
    </row>
    <row r="30" spans="1:7" x14ac:dyDescent="0.2">
      <c r="A30">
        <v>200305</v>
      </c>
      <c r="B30">
        <v>7.6279E-2</v>
      </c>
      <c r="C30">
        <v>3.8869000000000001E-2</v>
      </c>
      <c r="D30">
        <v>6.8919999999999997E-3</v>
      </c>
      <c r="E30">
        <v>6.0499999999999998E-2</v>
      </c>
      <c r="F30">
        <v>4.6100000000000002E-2</v>
      </c>
      <c r="G30">
        <v>7.0000000000000001E-3</v>
      </c>
    </row>
    <row r="31" spans="1:7" x14ac:dyDescent="0.2">
      <c r="A31">
        <v>200306</v>
      </c>
      <c r="B31">
        <v>-1.745E-2</v>
      </c>
      <c r="C31">
        <v>-6.2925999999999996E-2</v>
      </c>
      <c r="D31">
        <v>7.0596999999999993E-2</v>
      </c>
      <c r="E31">
        <v>1.4200000000000001E-2</v>
      </c>
      <c r="F31">
        <v>1.7000000000000001E-2</v>
      </c>
      <c r="G31">
        <v>1.4E-3</v>
      </c>
    </row>
    <row r="32" spans="1:7" x14ac:dyDescent="0.2">
      <c r="A32">
        <v>200307</v>
      </c>
      <c r="B32">
        <v>1.0656000000000001E-2</v>
      </c>
      <c r="C32">
        <v>-1.5152000000000001E-2</v>
      </c>
      <c r="D32">
        <v>-4.5929999999999999E-2</v>
      </c>
      <c r="E32">
        <v>2.3300000000000001E-2</v>
      </c>
      <c r="F32">
        <v>4.9299999999999997E-2</v>
      </c>
      <c r="G32">
        <v>-1.5299999999999999E-2</v>
      </c>
    </row>
    <row r="33" spans="1:7" x14ac:dyDescent="0.2">
      <c r="A33">
        <v>200308</v>
      </c>
      <c r="B33">
        <v>-0.12814300000000001</v>
      </c>
      <c r="C33">
        <v>1.1323E-2</v>
      </c>
      <c r="D33">
        <v>4.1711999999999999E-2</v>
      </c>
      <c r="E33">
        <v>2.3300000000000001E-2</v>
      </c>
      <c r="F33">
        <v>2.4400000000000002E-2</v>
      </c>
      <c r="G33">
        <v>1.6400000000000001E-2</v>
      </c>
    </row>
    <row r="34" spans="1:7" x14ac:dyDescent="0.2">
      <c r="A34">
        <v>200309</v>
      </c>
      <c r="B34">
        <v>-3.4109E-2</v>
      </c>
      <c r="C34">
        <v>7.7063999999999994E-2</v>
      </c>
      <c r="D34">
        <v>3.5693000000000003E-2</v>
      </c>
      <c r="E34">
        <v>-1.24E-2</v>
      </c>
      <c r="F34">
        <v>8.5000000000000006E-3</v>
      </c>
      <c r="G34">
        <v>1.4E-3</v>
      </c>
    </row>
    <row r="35" spans="1:7" x14ac:dyDescent="0.2">
      <c r="A35">
        <v>200310</v>
      </c>
      <c r="B35">
        <v>0.138042</v>
      </c>
      <c r="C35">
        <v>1.3018999999999999E-2</v>
      </c>
      <c r="D35">
        <v>9.6045000000000005E-2</v>
      </c>
      <c r="E35">
        <v>6.08E-2</v>
      </c>
      <c r="F35">
        <v>2.5899999999999999E-2</v>
      </c>
      <c r="G35">
        <v>2.2100000000000002E-2</v>
      </c>
    </row>
    <row r="36" spans="1:7" x14ac:dyDescent="0.2">
      <c r="A36">
        <v>200311</v>
      </c>
      <c r="B36">
        <v>1.0437E-2</v>
      </c>
      <c r="C36">
        <v>1.3634E-2</v>
      </c>
      <c r="D36">
        <v>-7.3195999999999997E-2</v>
      </c>
      <c r="E36">
        <v>1.35E-2</v>
      </c>
      <c r="F36">
        <v>2.06E-2</v>
      </c>
      <c r="G36">
        <v>1.72E-2</v>
      </c>
    </row>
    <row r="37" spans="1:7" x14ac:dyDescent="0.2">
      <c r="A37">
        <v>200312</v>
      </c>
      <c r="B37">
        <v>3.7968000000000002E-2</v>
      </c>
      <c r="C37">
        <v>2.3636000000000001E-2</v>
      </c>
      <c r="D37">
        <v>-0.102086</v>
      </c>
      <c r="E37">
        <v>4.2900000000000001E-2</v>
      </c>
      <c r="F37">
        <v>-2.6800000000000001E-2</v>
      </c>
      <c r="G37">
        <v>1.5100000000000001E-2</v>
      </c>
    </row>
    <row r="38" spans="1:7" x14ac:dyDescent="0.2">
      <c r="A38">
        <v>200401</v>
      </c>
      <c r="B38">
        <v>-6.4549999999999998E-3</v>
      </c>
      <c r="C38">
        <v>7.0673E-2</v>
      </c>
      <c r="D38">
        <v>-7.3730000000000004E-2</v>
      </c>
      <c r="E38">
        <v>2.1499999999999998E-2</v>
      </c>
      <c r="F38">
        <v>2.5399999999999999E-2</v>
      </c>
      <c r="G38">
        <v>2.4199999999999999E-2</v>
      </c>
    </row>
    <row r="39" spans="1:7" x14ac:dyDescent="0.2">
      <c r="A39">
        <v>200402</v>
      </c>
      <c r="B39">
        <v>5.1976000000000001E-2</v>
      </c>
      <c r="C39">
        <v>-2.5898999999999998E-2</v>
      </c>
      <c r="D39">
        <v>-7.6254000000000002E-2</v>
      </c>
      <c r="E39">
        <v>1.4E-2</v>
      </c>
      <c r="F39">
        <v>-1.5699999999999999E-2</v>
      </c>
      <c r="G39">
        <v>9.4999999999999998E-3</v>
      </c>
    </row>
    <row r="40" spans="1:7" x14ac:dyDescent="0.2">
      <c r="A40">
        <v>200403</v>
      </c>
      <c r="B40">
        <v>-3.2167000000000001E-2</v>
      </c>
      <c r="C40">
        <v>-4.829E-2</v>
      </c>
      <c r="D40">
        <v>2.929E-2</v>
      </c>
      <c r="E40">
        <v>-1.32E-2</v>
      </c>
      <c r="F40">
        <v>1.7299999999999999E-2</v>
      </c>
      <c r="G40">
        <v>2.3E-3</v>
      </c>
    </row>
    <row r="41" spans="1:7" x14ac:dyDescent="0.2">
      <c r="A41">
        <v>200404</v>
      </c>
      <c r="B41">
        <v>-2.9250000000000001E-3</v>
      </c>
      <c r="C41">
        <v>-3.9961000000000003E-2</v>
      </c>
      <c r="D41">
        <v>4.9259999999999998E-3</v>
      </c>
      <c r="E41">
        <v>-1.8100000000000002E-2</v>
      </c>
      <c r="F41">
        <v>-1.7299999999999999E-2</v>
      </c>
      <c r="G41">
        <v>-3.2300000000000002E-2</v>
      </c>
    </row>
    <row r="42" spans="1:7" x14ac:dyDescent="0.2">
      <c r="A42">
        <v>200405</v>
      </c>
      <c r="B42">
        <v>1.3332999999999999E-2</v>
      </c>
      <c r="C42">
        <v>6.8050000000000003E-3</v>
      </c>
      <c r="D42">
        <v>8.6134000000000002E-2</v>
      </c>
      <c r="E42">
        <v>1.18E-2</v>
      </c>
      <c r="F42">
        <v>-2.3E-3</v>
      </c>
      <c r="G42">
        <v>-1.8E-3</v>
      </c>
    </row>
    <row r="43" spans="1:7" x14ac:dyDescent="0.2">
      <c r="A43">
        <v>200406</v>
      </c>
      <c r="B43">
        <v>8.6543999999999996E-2</v>
      </c>
      <c r="C43">
        <v>-4.9670000000000001E-3</v>
      </c>
      <c r="D43">
        <v>8.1528000000000003E-2</v>
      </c>
      <c r="E43">
        <v>1.8499999999999999E-2</v>
      </c>
      <c r="F43">
        <v>2.2499999999999999E-2</v>
      </c>
      <c r="G43">
        <v>1.21E-2</v>
      </c>
    </row>
    <row r="44" spans="1:7" x14ac:dyDescent="0.2">
      <c r="A44">
        <v>200407</v>
      </c>
      <c r="B44">
        <v>-8.9849999999999999E-3</v>
      </c>
      <c r="C44">
        <v>-1.2252000000000001E-2</v>
      </c>
      <c r="D44">
        <v>-0.13714999999999999</v>
      </c>
      <c r="E44">
        <v>-4.0399999999999998E-2</v>
      </c>
      <c r="F44">
        <v>-3.7600000000000001E-2</v>
      </c>
      <c r="G44">
        <v>3.2199999999999999E-2</v>
      </c>
    </row>
    <row r="45" spans="1:7" x14ac:dyDescent="0.2">
      <c r="A45">
        <v>200408</v>
      </c>
      <c r="B45">
        <v>1.1299E-2</v>
      </c>
      <c r="C45">
        <v>-2.5267000000000001E-2</v>
      </c>
      <c r="D45">
        <v>2.4499E-2</v>
      </c>
      <c r="E45">
        <v>6.9999999999999999E-4</v>
      </c>
      <c r="F45">
        <v>-1.52E-2</v>
      </c>
      <c r="G45">
        <v>1.0800000000000001E-2</v>
      </c>
    </row>
    <row r="46" spans="1:7" x14ac:dyDescent="0.2">
      <c r="A46">
        <v>200409</v>
      </c>
      <c r="B46">
        <v>8.2579999999999997E-3</v>
      </c>
      <c r="C46">
        <v>1.2397999999999999E-2</v>
      </c>
      <c r="D46">
        <v>-8.0972000000000002E-2</v>
      </c>
      <c r="E46">
        <v>1.6E-2</v>
      </c>
      <c r="F46">
        <v>3.0099999999999998E-2</v>
      </c>
      <c r="G46">
        <v>-5.0000000000000001E-4</v>
      </c>
    </row>
    <row r="47" spans="1:7" x14ac:dyDescent="0.2">
      <c r="A47">
        <v>200410</v>
      </c>
      <c r="B47">
        <v>0.15490200000000001</v>
      </c>
      <c r="C47">
        <v>4.6768999999999998E-2</v>
      </c>
      <c r="D47">
        <v>0.157856</v>
      </c>
      <c r="E47">
        <v>1.4200000000000001E-2</v>
      </c>
      <c r="F47">
        <v>1.2999999999999999E-3</v>
      </c>
      <c r="G47">
        <v>-2.5999999999999999E-3</v>
      </c>
    </row>
    <row r="48" spans="1:7" x14ac:dyDescent="0.2">
      <c r="A48">
        <v>200411</v>
      </c>
      <c r="B48">
        <v>1.5852999999999999E-2</v>
      </c>
      <c r="C48">
        <v>5.2033000000000003E-2</v>
      </c>
      <c r="D48">
        <v>-2.5370000000000002E-3</v>
      </c>
      <c r="E48">
        <v>4.53E-2</v>
      </c>
      <c r="F48">
        <v>3.7400000000000003E-2</v>
      </c>
      <c r="G48">
        <v>1.5699999999999999E-2</v>
      </c>
    </row>
    <row r="49" spans="1:7" x14ac:dyDescent="0.2">
      <c r="A49">
        <v>200412</v>
      </c>
      <c r="B49">
        <v>-3.9090000000000001E-3</v>
      </c>
      <c r="C49">
        <v>4.6052999999999997E-2</v>
      </c>
      <c r="D49">
        <v>3.5250999999999998E-2</v>
      </c>
      <c r="E49">
        <v>3.4200000000000001E-2</v>
      </c>
      <c r="F49">
        <v>-2.9999999999999997E-4</v>
      </c>
      <c r="G49">
        <v>-2.3E-3</v>
      </c>
    </row>
    <row r="50" spans="1:7" x14ac:dyDescent="0.2">
      <c r="A50">
        <v>200501</v>
      </c>
      <c r="B50">
        <v>-2.3549E-2</v>
      </c>
      <c r="C50">
        <v>-5.2343000000000001E-2</v>
      </c>
      <c r="D50">
        <v>-0.110565</v>
      </c>
      <c r="E50">
        <v>-2.75E-2</v>
      </c>
      <c r="F50">
        <v>-1.66E-2</v>
      </c>
      <c r="G50">
        <v>2.06E-2</v>
      </c>
    </row>
    <row r="51" spans="1:7" x14ac:dyDescent="0.2">
      <c r="A51">
        <v>200502</v>
      </c>
      <c r="B51">
        <v>-1.227E-2</v>
      </c>
      <c r="C51">
        <v>-7.0650000000000001E-3</v>
      </c>
      <c r="D51">
        <v>-4.3507999999999998E-2</v>
      </c>
      <c r="E51">
        <v>1.8800000000000001E-2</v>
      </c>
      <c r="F51">
        <v>-5.7000000000000002E-3</v>
      </c>
      <c r="G51">
        <v>1.41E-2</v>
      </c>
    </row>
    <row r="52" spans="1:7" x14ac:dyDescent="0.2">
      <c r="A52">
        <v>200503</v>
      </c>
      <c r="B52">
        <v>-5.1728000000000003E-2</v>
      </c>
      <c r="C52">
        <v>-1.2962E-2</v>
      </c>
      <c r="D52">
        <v>2.8483999999999999E-2</v>
      </c>
      <c r="E52">
        <v>-1.9400000000000001E-2</v>
      </c>
      <c r="F52">
        <v>-1.41E-2</v>
      </c>
      <c r="G52">
        <v>2.07E-2</v>
      </c>
    </row>
    <row r="53" spans="1:7" x14ac:dyDescent="0.2">
      <c r="A53">
        <v>200504</v>
      </c>
      <c r="B53">
        <v>-8.0352999999999994E-2</v>
      </c>
      <c r="C53">
        <v>-0.16414999999999999</v>
      </c>
      <c r="D53">
        <v>4.4943999999999998E-2</v>
      </c>
      <c r="E53">
        <v>-2.6100000000000002E-2</v>
      </c>
      <c r="F53">
        <v>-3.9300000000000002E-2</v>
      </c>
      <c r="G53">
        <v>5.0000000000000001E-4</v>
      </c>
    </row>
    <row r="54" spans="1:7" x14ac:dyDescent="0.2">
      <c r="A54">
        <v>200505</v>
      </c>
      <c r="B54">
        <v>0.119739</v>
      </c>
      <c r="C54">
        <v>-8.2480000000000001E-3</v>
      </c>
      <c r="D54">
        <v>-2.2176999999999999E-2</v>
      </c>
      <c r="E54">
        <v>3.6499999999999998E-2</v>
      </c>
      <c r="F54">
        <v>2.86E-2</v>
      </c>
      <c r="G54">
        <v>-5.7999999999999996E-3</v>
      </c>
    </row>
    <row r="55" spans="1:7" x14ac:dyDescent="0.2">
      <c r="A55">
        <v>200506</v>
      </c>
      <c r="B55">
        <v>-1.4324E-2</v>
      </c>
      <c r="C55">
        <v>-1.7868999999999999E-2</v>
      </c>
      <c r="D55">
        <v>-4.2301999999999999E-2</v>
      </c>
      <c r="E55">
        <v>5.7999999999999996E-3</v>
      </c>
      <c r="F55">
        <v>2.5600000000000001E-2</v>
      </c>
      <c r="G55">
        <v>2.8000000000000001E-2</v>
      </c>
    </row>
    <row r="56" spans="1:7" x14ac:dyDescent="0.2">
      <c r="A56">
        <v>200507</v>
      </c>
      <c r="B56">
        <v>2.7722E-2</v>
      </c>
      <c r="C56">
        <v>0.12479800000000001</v>
      </c>
      <c r="D56">
        <v>1.8665000000000001E-2</v>
      </c>
      <c r="E56">
        <v>3.9199999999999999E-2</v>
      </c>
      <c r="F56">
        <v>2.87E-2</v>
      </c>
      <c r="G56">
        <v>-7.7999999999999996E-3</v>
      </c>
    </row>
    <row r="57" spans="1:7" x14ac:dyDescent="0.2">
      <c r="A57">
        <v>200508</v>
      </c>
      <c r="B57">
        <v>-5.3404E-2</v>
      </c>
      <c r="C57">
        <v>-3.1632E-2</v>
      </c>
      <c r="D57">
        <v>-6.0994E-2</v>
      </c>
      <c r="E57">
        <v>-1.2E-2</v>
      </c>
      <c r="F57">
        <v>-1.0699999999999999E-2</v>
      </c>
      <c r="G57">
        <v>1.34E-2</v>
      </c>
    </row>
    <row r="58" spans="1:7" x14ac:dyDescent="0.2">
      <c r="A58">
        <v>200509</v>
      </c>
      <c r="B58">
        <v>-7.143E-3</v>
      </c>
      <c r="C58">
        <v>-4.9620000000000003E-3</v>
      </c>
      <c r="D58">
        <v>0.11486499999999999</v>
      </c>
      <c r="E58">
        <v>4.7999999999999996E-3</v>
      </c>
      <c r="F58">
        <v>-6.1999999999999998E-3</v>
      </c>
      <c r="G58">
        <v>7.7999999999999996E-3</v>
      </c>
    </row>
    <row r="59" spans="1:7" x14ac:dyDescent="0.2">
      <c r="A59">
        <v>200510</v>
      </c>
      <c r="B59">
        <v>0.122534</v>
      </c>
      <c r="C59">
        <v>2.0693E-2</v>
      </c>
      <c r="D59">
        <v>7.8114000000000003E-2</v>
      </c>
      <c r="E59">
        <v>-2.0400000000000001E-2</v>
      </c>
      <c r="F59">
        <v>-1.2999999999999999E-2</v>
      </c>
      <c r="G59">
        <v>4.3E-3</v>
      </c>
    </row>
    <row r="60" spans="1:7" x14ac:dyDescent="0.2">
      <c r="A60">
        <v>200511</v>
      </c>
      <c r="B60">
        <v>3.5041999999999997E-2</v>
      </c>
      <c r="C60">
        <v>8.8178000000000006E-2</v>
      </c>
      <c r="D60">
        <v>3.0606000000000001E-2</v>
      </c>
      <c r="E60">
        <v>3.61E-2</v>
      </c>
      <c r="F60">
        <v>1.0500000000000001E-2</v>
      </c>
      <c r="G60">
        <v>-1.18E-2</v>
      </c>
    </row>
    <row r="61" spans="1:7" x14ac:dyDescent="0.2">
      <c r="A61">
        <v>200512</v>
      </c>
      <c r="B61">
        <v>-9.6100000000000005E-3</v>
      </c>
      <c r="C61">
        <v>-7.5366000000000002E-2</v>
      </c>
      <c r="D61">
        <v>-3.9699999999999996E-3</v>
      </c>
      <c r="E61">
        <v>-2.3999999999999998E-3</v>
      </c>
      <c r="F61">
        <v>-4.4000000000000003E-3</v>
      </c>
      <c r="G61">
        <v>1.5E-3</v>
      </c>
    </row>
    <row r="62" spans="1:7" x14ac:dyDescent="0.2">
      <c r="A62">
        <v>200601</v>
      </c>
      <c r="B62">
        <v>8.4899999999999993E-3</v>
      </c>
      <c r="C62">
        <v>-1.0949E-2</v>
      </c>
      <c r="D62">
        <v>1.8259999999999999E-3</v>
      </c>
      <c r="E62">
        <v>3.0300000000000001E-2</v>
      </c>
      <c r="F62">
        <v>5.4600000000000003E-2</v>
      </c>
      <c r="G62">
        <v>9.9000000000000008E-3</v>
      </c>
    </row>
    <row r="63" spans="1:7" x14ac:dyDescent="0.2">
      <c r="A63">
        <v>200602</v>
      </c>
      <c r="B63">
        <v>2.8361999999999998E-2</v>
      </c>
      <c r="C63">
        <v>-1.0578000000000001E-2</v>
      </c>
      <c r="D63">
        <v>1.9106999999999999E-2</v>
      </c>
      <c r="E63">
        <v>-3.0000000000000001E-3</v>
      </c>
      <c r="F63">
        <v>-4.1000000000000003E-3</v>
      </c>
      <c r="G63">
        <v>-3.0999999999999999E-3</v>
      </c>
    </row>
    <row r="64" spans="1:7" x14ac:dyDescent="0.2">
      <c r="A64">
        <v>200603</v>
      </c>
      <c r="B64">
        <v>5.8019000000000001E-2</v>
      </c>
      <c r="C64">
        <v>2.7792000000000001E-2</v>
      </c>
      <c r="D64">
        <v>7.2748999999999994E-2</v>
      </c>
      <c r="E64">
        <v>1.47E-2</v>
      </c>
      <c r="F64">
        <v>3.39E-2</v>
      </c>
      <c r="G64">
        <v>6.1000000000000004E-3</v>
      </c>
    </row>
    <row r="65" spans="1:7" x14ac:dyDescent="0.2">
      <c r="A65">
        <v>200604</v>
      </c>
      <c r="B65">
        <v>4.9849999999999998E-3</v>
      </c>
      <c r="C65">
        <v>-1.5759999999999999E-3</v>
      </c>
      <c r="D65">
        <v>-9.8388000000000003E-2</v>
      </c>
      <c r="E65">
        <v>7.3000000000000001E-3</v>
      </c>
      <c r="F65">
        <v>-1.38E-2</v>
      </c>
      <c r="G65">
        <v>2.2599999999999999E-2</v>
      </c>
    </row>
    <row r="66" spans="1:7" x14ac:dyDescent="0.2">
      <c r="A66">
        <v>200605</v>
      </c>
      <c r="B66">
        <v>-2.5170000000000001E-2</v>
      </c>
      <c r="C66">
        <v>-2.5989999999999999E-2</v>
      </c>
      <c r="D66">
        <v>-7.3980000000000001E-3</v>
      </c>
      <c r="E66">
        <v>-3.56E-2</v>
      </c>
      <c r="F66">
        <v>-3.0099999999999998E-2</v>
      </c>
      <c r="G66">
        <v>2.3800000000000002E-2</v>
      </c>
    </row>
    <row r="67" spans="1:7" x14ac:dyDescent="0.2">
      <c r="A67">
        <v>200606</v>
      </c>
      <c r="B67">
        <v>7.9350000000000004E-2</v>
      </c>
      <c r="C67">
        <v>-3.8547999999999999E-2</v>
      </c>
      <c r="D67">
        <v>1.7049999999999999E-2</v>
      </c>
      <c r="E67">
        <v>-3.5000000000000001E-3</v>
      </c>
      <c r="F67">
        <v>-3.5000000000000001E-3</v>
      </c>
      <c r="G67">
        <v>8.5000000000000006E-3</v>
      </c>
    </row>
    <row r="68" spans="1:7" x14ac:dyDescent="0.2">
      <c r="A68">
        <v>200607</v>
      </c>
      <c r="B68">
        <v>-7.4217000000000005E-2</v>
      </c>
      <c r="C68">
        <v>7.6800000000000002E-3</v>
      </c>
      <c r="D68">
        <v>9.8960999999999993E-2</v>
      </c>
      <c r="E68">
        <v>-7.7000000000000002E-3</v>
      </c>
      <c r="F68">
        <v>-3.95E-2</v>
      </c>
      <c r="G68">
        <v>2.6200000000000001E-2</v>
      </c>
    </row>
    <row r="69" spans="1:7" x14ac:dyDescent="0.2">
      <c r="A69">
        <v>200608</v>
      </c>
      <c r="B69">
        <v>-0.113154</v>
      </c>
      <c r="C69">
        <v>4.9863999999999999E-2</v>
      </c>
      <c r="D69">
        <v>-3.6992999999999998E-2</v>
      </c>
      <c r="E69">
        <v>2.0299999999999999E-2</v>
      </c>
      <c r="F69">
        <v>9.9000000000000008E-3</v>
      </c>
      <c r="G69">
        <v>-1.95E-2</v>
      </c>
    </row>
    <row r="70" spans="1:7" x14ac:dyDescent="0.2">
      <c r="A70">
        <v>200609</v>
      </c>
      <c r="B70">
        <v>6.1765E-2</v>
      </c>
      <c r="C70">
        <v>1.1979999999999999E-2</v>
      </c>
      <c r="D70">
        <v>-3.8106000000000001E-2</v>
      </c>
      <c r="E70">
        <v>1.84E-2</v>
      </c>
      <c r="F70">
        <v>-1.2999999999999999E-2</v>
      </c>
      <c r="G70">
        <v>5.9999999999999995E-4</v>
      </c>
    </row>
    <row r="71" spans="1:7" x14ac:dyDescent="0.2">
      <c r="A71">
        <v>200610</v>
      </c>
      <c r="B71">
        <v>7.4477000000000002E-2</v>
      </c>
      <c r="C71">
        <v>0.1268</v>
      </c>
      <c r="D71">
        <v>-9.7838999999999995E-2</v>
      </c>
      <c r="E71">
        <v>3.2199999999999999E-2</v>
      </c>
      <c r="F71">
        <v>1.77E-2</v>
      </c>
      <c r="G71">
        <v>-3.3E-3</v>
      </c>
    </row>
    <row r="72" spans="1:7" x14ac:dyDescent="0.2">
      <c r="A72">
        <v>200611</v>
      </c>
      <c r="B72">
        <v>-1.7797E-2</v>
      </c>
      <c r="C72">
        <v>-1.191E-3</v>
      </c>
      <c r="D72">
        <v>4.5242999999999998E-2</v>
      </c>
      <c r="E72">
        <v>1.7000000000000001E-2</v>
      </c>
      <c r="F72">
        <v>6.3E-3</v>
      </c>
      <c r="G72">
        <v>4.0000000000000002E-4</v>
      </c>
    </row>
    <row r="73" spans="1:7" x14ac:dyDescent="0.2">
      <c r="A73">
        <v>200612</v>
      </c>
      <c r="B73">
        <v>1.0899000000000001E-2</v>
      </c>
      <c r="C73">
        <v>5.6897000000000003E-2</v>
      </c>
      <c r="D73">
        <v>-2.4538999999999998E-2</v>
      </c>
      <c r="E73">
        <v>8.5000000000000006E-3</v>
      </c>
      <c r="F73">
        <v>-1.1599999999999999E-2</v>
      </c>
      <c r="G73">
        <v>2.7400000000000001E-2</v>
      </c>
    </row>
    <row r="74" spans="1:7" x14ac:dyDescent="0.2">
      <c r="A74">
        <v>200701</v>
      </c>
      <c r="B74">
        <v>6.2227999999999999E-2</v>
      </c>
      <c r="C74">
        <v>2.0587000000000001E-2</v>
      </c>
      <c r="D74">
        <v>-1.436E-2</v>
      </c>
      <c r="E74">
        <v>1.38E-2</v>
      </c>
      <c r="F74">
        <v>8.9999999999999998E-4</v>
      </c>
      <c r="G74">
        <v>-6.7999999999999996E-3</v>
      </c>
    </row>
    <row r="75" spans="1:7" x14ac:dyDescent="0.2">
      <c r="A75">
        <v>200702</v>
      </c>
      <c r="B75">
        <v>-2.493E-3</v>
      </c>
      <c r="C75">
        <v>-5.9607E-2</v>
      </c>
      <c r="D75">
        <v>1.622E-3</v>
      </c>
      <c r="E75">
        <v>-1.9599999999999999E-2</v>
      </c>
      <c r="F75">
        <v>1.23E-2</v>
      </c>
      <c r="G75">
        <v>-8.0000000000000004E-4</v>
      </c>
    </row>
    <row r="76" spans="1:7" x14ac:dyDescent="0.2">
      <c r="A76">
        <v>200703</v>
      </c>
      <c r="B76">
        <v>-3.6679000000000003E-2</v>
      </c>
      <c r="C76">
        <v>1.4203E-2</v>
      </c>
      <c r="D76">
        <v>-2.7778000000000001E-2</v>
      </c>
      <c r="E76">
        <v>7.1000000000000004E-3</v>
      </c>
      <c r="F76">
        <v>8.9999999999999998E-4</v>
      </c>
      <c r="G76">
        <v>-8.8000000000000005E-3</v>
      </c>
    </row>
    <row r="77" spans="1:7" x14ac:dyDescent="0.2">
      <c r="A77">
        <v>200704</v>
      </c>
      <c r="B77">
        <v>-2.3219999999999998E-3</v>
      </c>
      <c r="C77">
        <v>8.4340999999999999E-2</v>
      </c>
      <c r="D77">
        <v>-2.3809E-2</v>
      </c>
      <c r="E77">
        <v>3.49E-2</v>
      </c>
      <c r="F77">
        <v>-2.2100000000000002E-2</v>
      </c>
      <c r="G77">
        <v>-1.44E-2</v>
      </c>
    </row>
    <row r="78" spans="1:7" x14ac:dyDescent="0.2">
      <c r="A78">
        <v>200705</v>
      </c>
      <c r="B78">
        <v>5.4135000000000003E-2</v>
      </c>
      <c r="C78">
        <v>4.6864000000000003E-2</v>
      </c>
      <c r="D78">
        <v>-2.787E-3</v>
      </c>
      <c r="E78">
        <v>3.2300000000000002E-2</v>
      </c>
      <c r="F78">
        <v>1.6000000000000001E-3</v>
      </c>
      <c r="G78">
        <v>-5.8999999999999999E-3</v>
      </c>
    </row>
    <row r="79" spans="1:7" x14ac:dyDescent="0.2">
      <c r="A79">
        <v>200706</v>
      </c>
      <c r="B79">
        <v>3.6302000000000001E-2</v>
      </c>
      <c r="C79">
        <v>-1.2664E-2</v>
      </c>
      <c r="D79">
        <v>4.2243000000000003E-2</v>
      </c>
      <c r="E79">
        <v>-1.9599999999999999E-2</v>
      </c>
      <c r="F79">
        <v>7.3000000000000001E-3</v>
      </c>
      <c r="G79">
        <v>-1.0500000000000001E-2</v>
      </c>
    </row>
    <row r="80" spans="1:7" x14ac:dyDescent="0.2">
      <c r="A80">
        <v>200707</v>
      </c>
      <c r="B80">
        <v>2.4351000000000001E-2</v>
      </c>
      <c r="C80">
        <v>5.1305999999999997E-2</v>
      </c>
      <c r="D80">
        <v>5.0301999999999999E-2</v>
      </c>
      <c r="E80">
        <v>-3.7199999999999997E-2</v>
      </c>
      <c r="F80">
        <v>-2.6599999999999999E-2</v>
      </c>
      <c r="G80">
        <v>-3.6799999999999999E-2</v>
      </c>
    </row>
    <row r="81" spans="1:7" x14ac:dyDescent="0.2">
      <c r="A81">
        <v>200708</v>
      </c>
      <c r="B81">
        <v>3.2608999999999999E-2</v>
      </c>
      <c r="C81">
        <v>5.8201999999999997E-2</v>
      </c>
      <c r="D81">
        <v>-3.4833999999999997E-2</v>
      </c>
      <c r="E81">
        <v>9.4000000000000004E-3</v>
      </c>
      <c r="F81">
        <v>-1.1000000000000001E-3</v>
      </c>
      <c r="G81">
        <v>-1.8700000000000001E-2</v>
      </c>
    </row>
    <row r="82" spans="1:7" x14ac:dyDescent="0.2">
      <c r="A82">
        <v>200709</v>
      </c>
      <c r="B82">
        <v>-6.1539999999999997E-3</v>
      </c>
      <c r="C82">
        <v>9.5119999999999996E-3</v>
      </c>
      <c r="D82">
        <v>-2.0516E-2</v>
      </c>
      <c r="E82">
        <v>3.2199999999999999E-2</v>
      </c>
      <c r="F82">
        <v>-2.2499999999999999E-2</v>
      </c>
      <c r="G82">
        <v>-2.1700000000000001E-2</v>
      </c>
    </row>
    <row r="83" spans="1:7" x14ac:dyDescent="0.2">
      <c r="A83">
        <v>200710</v>
      </c>
      <c r="B83">
        <v>9.5975000000000005E-2</v>
      </c>
      <c r="C83">
        <v>-1.4260999999999999E-2</v>
      </c>
      <c r="D83">
        <v>-3.9864999999999998E-2</v>
      </c>
      <c r="E83">
        <v>1.7899999999999999E-2</v>
      </c>
      <c r="F83">
        <v>1.9E-3</v>
      </c>
      <c r="G83">
        <v>-2.87E-2</v>
      </c>
    </row>
    <row r="84" spans="1:7" x14ac:dyDescent="0.2">
      <c r="A84">
        <v>200711</v>
      </c>
      <c r="B84">
        <v>4.2370000000000003E-3</v>
      </c>
      <c r="C84">
        <v>-9.0768000000000001E-2</v>
      </c>
      <c r="D84">
        <v>-4.2220000000000001E-3</v>
      </c>
      <c r="E84">
        <v>-4.8000000000000001E-2</v>
      </c>
      <c r="F84">
        <v>-2.81E-2</v>
      </c>
      <c r="G84">
        <v>-1.09E-2</v>
      </c>
    </row>
    <row r="85" spans="1:7" x14ac:dyDescent="0.2">
      <c r="A85">
        <v>200712</v>
      </c>
      <c r="B85">
        <v>3.5014999999999998E-2</v>
      </c>
      <c r="C85">
        <v>2.7761999999999998E-2</v>
      </c>
      <c r="D85">
        <v>-0.137491</v>
      </c>
      <c r="E85">
        <v>-8.6999999999999994E-3</v>
      </c>
      <c r="F85">
        <v>1.1000000000000001E-3</v>
      </c>
      <c r="G85">
        <v>-5.1000000000000004E-3</v>
      </c>
    </row>
    <row r="86" spans="1:7" x14ac:dyDescent="0.2">
      <c r="A86">
        <v>200801</v>
      </c>
      <c r="B86">
        <v>-2.6089000000000001E-2</v>
      </c>
      <c r="C86">
        <v>-9.1579999999999995E-3</v>
      </c>
      <c r="D86">
        <v>-3.9343999999999997E-2</v>
      </c>
      <c r="E86">
        <v>-6.3299999999999995E-2</v>
      </c>
      <c r="F86">
        <v>-1.0200000000000001E-2</v>
      </c>
      <c r="G86">
        <v>0.04</v>
      </c>
    </row>
    <row r="87" spans="1:7" x14ac:dyDescent="0.2">
      <c r="A87">
        <v>200802</v>
      </c>
      <c r="B87">
        <v>-8.6472999999999994E-2</v>
      </c>
      <c r="C87">
        <v>6.6753999999999994E-2</v>
      </c>
      <c r="D87">
        <v>4.6459E-2</v>
      </c>
      <c r="E87">
        <v>-3.09E-2</v>
      </c>
      <c r="F87">
        <v>-4.7999999999999996E-3</v>
      </c>
      <c r="G87">
        <v>-7.1999999999999998E-3</v>
      </c>
    </row>
    <row r="88" spans="1:7" x14ac:dyDescent="0.2">
      <c r="A88">
        <v>200803</v>
      </c>
      <c r="B88">
        <v>4.9257000000000002E-2</v>
      </c>
      <c r="C88">
        <v>1.1242E-2</v>
      </c>
      <c r="D88">
        <v>1.1419E-2</v>
      </c>
      <c r="E88">
        <v>-9.4000000000000004E-3</v>
      </c>
      <c r="F88">
        <v>7.1000000000000004E-3</v>
      </c>
      <c r="G88">
        <v>3.0999999999999999E-3</v>
      </c>
    </row>
    <row r="89" spans="1:7" x14ac:dyDescent="0.2">
      <c r="A89">
        <v>200804</v>
      </c>
      <c r="B89">
        <v>9.6659999999999996E-2</v>
      </c>
      <c r="C89">
        <v>4.8288999999999999E-2</v>
      </c>
      <c r="D89">
        <v>6.7741999999999997E-2</v>
      </c>
      <c r="E89">
        <v>4.6100000000000002E-2</v>
      </c>
      <c r="F89">
        <v>-1.6899999999999998E-2</v>
      </c>
      <c r="G89">
        <v>-9.5999999999999992E-3</v>
      </c>
    </row>
    <row r="90" spans="1:7" x14ac:dyDescent="0.2">
      <c r="A90">
        <v>200805</v>
      </c>
      <c r="B90">
        <v>3.228E-3</v>
      </c>
      <c r="C90">
        <v>7.6470999999999997E-2</v>
      </c>
      <c r="D90">
        <v>-1.3594999999999999E-2</v>
      </c>
      <c r="E90">
        <v>1.8700000000000001E-2</v>
      </c>
      <c r="F90">
        <v>2.9700000000000001E-2</v>
      </c>
      <c r="G90">
        <v>-1.4999999999999999E-2</v>
      </c>
    </row>
    <row r="91" spans="1:7" x14ac:dyDescent="0.2">
      <c r="A91">
        <v>200806</v>
      </c>
      <c r="B91">
        <v>-1.6545000000000001E-2</v>
      </c>
      <c r="C91">
        <v>-8.4214999999999998E-2</v>
      </c>
      <c r="D91">
        <v>-1.1869999999999999E-3</v>
      </c>
      <c r="E91">
        <v>-8.43E-2</v>
      </c>
      <c r="F91">
        <v>1.15E-2</v>
      </c>
      <c r="G91">
        <v>-2.5100000000000001E-2</v>
      </c>
    </row>
    <row r="92" spans="1:7" x14ac:dyDescent="0.2">
      <c r="A92">
        <v>200807</v>
      </c>
      <c r="B92">
        <v>-0.106359</v>
      </c>
      <c r="C92">
        <v>7.9727000000000006E-2</v>
      </c>
      <c r="D92">
        <v>0.195552</v>
      </c>
      <c r="E92">
        <v>-7.4999999999999997E-3</v>
      </c>
      <c r="F92">
        <v>2.5999999999999999E-2</v>
      </c>
      <c r="G92">
        <v>5.1999999999999998E-2</v>
      </c>
    </row>
    <row r="93" spans="1:7" x14ac:dyDescent="0.2">
      <c r="A93">
        <v>200808</v>
      </c>
      <c r="B93">
        <v>7.2430999999999995E-2</v>
      </c>
      <c r="C93">
        <v>-4.4928999999999997E-2</v>
      </c>
      <c r="D93">
        <v>-2.2803E-2</v>
      </c>
      <c r="E93">
        <v>1.5299999999999999E-2</v>
      </c>
      <c r="F93">
        <v>3.4000000000000002E-2</v>
      </c>
      <c r="G93">
        <v>1.52E-2</v>
      </c>
    </row>
    <row r="94" spans="1:7" x14ac:dyDescent="0.2">
      <c r="A94">
        <v>200809</v>
      </c>
      <c r="B94">
        <v>-3.1763E-2</v>
      </c>
      <c r="C94">
        <v>-3.9184999999999998E-2</v>
      </c>
      <c r="D94">
        <v>-4.7274999999999998E-2</v>
      </c>
      <c r="E94">
        <v>-9.35E-2</v>
      </c>
      <c r="F94">
        <v>-1.0699999999999999E-2</v>
      </c>
      <c r="G94">
        <v>5.6599999999999998E-2</v>
      </c>
    </row>
    <row r="95" spans="1:7" x14ac:dyDescent="0.2">
      <c r="A95">
        <v>200810</v>
      </c>
      <c r="B95">
        <v>-0.121978</v>
      </c>
      <c r="C95">
        <v>-0.20511299999999999</v>
      </c>
      <c r="D95">
        <v>-0.18814600000000001</v>
      </c>
      <c r="E95">
        <v>-0.17199999999999999</v>
      </c>
      <c r="F95">
        <v>-2.3099999999999999E-2</v>
      </c>
      <c r="G95">
        <v>-1.89E-2</v>
      </c>
    </row>
    <row r="96" spans="1:7" x14ac:dyDescent="0.2">
      <c r="A96">
        <v>200811</v>
      </c>
      <c r="B96">
        <v>-9.4368999999999995E-2</v>
      </c>
      <c r="C96">
        <v>-0.116919</v>
      </c>
      <c r="D96">
        <v>-0.26570500000000002</v>
      </c>
      <c r="E96">
        <v>-7.7399999999999997E-2</v>
      </c>
      <c r="F96">
        <v>-3.0099999999999998E-2</v>
      </c>
      <c r="G96">
        <v>-6.2100000000000002E-2</v>
      </c>
    </row>
    <row r="97" spans="1:7" x14ac:dyDescent="0.2">
      <c r="A97">
        <v>200812</v>
      </c>
      <c r="B97">
        <v>2.0011999999999999E-2</v>
      </c>
      <c r="C97">
        <v>3.1372999999999998E-2</v>
      </c>
      <c r="D97">
        <v>-2.9480000000000001E-3</v>
      </c>
      <c r="E97">
        <v>1.77E-2</v>
      </c>
      <c r="F97">
        <v>3.5200000000000002E-2</v>
      </c>
      <c r="G97">
        <v>5.0000000000000001E-4</v>
      </c>
    </row>
    <row r="98" spans="1:7" x14ac:dyDescent="0.2">
      <c r="A98">
        <v>200901</v>
      </c>
      <c r="B98">
        <v>-0.142286</v>
      </c>
      <c r="C98">
        <v>8.8997000000000007E-2</v>
      </c>
      <c r="D98">
        <v>-0.18445500000000001</v>
      </c>
      <c r="E98">
        <v>-8.09E-2</v>
      </c>
      <c r="F98">
        <v>4.0000000000000002E-4</v>
      </c>
      <c r="G98">
        <v>-0.11020000000000001</v>
      </c>
    </row>
    <row r="99" spans="1:7" x14ac:dyDescent="0.2">
      <c r="A99">
        <v>200902</v>
      </c>
      <c r="B99">
        <v>-5.6184999999999999E-2</v>
      </c>
      <c r="C99">
        <v>9.6019999999999994E-3</v>
      </c>
      <c r="D99">
        <v>-0.161522</v>
      </c>
      <c r="E99">
        <v>-0.1014</v>
      </c>
      <c r="F99">
        <v>1.4E-3</v>
      </c>
      <c r="G99">
        <v>-6.6000000000000003E-2</v>
      </c>
    </row>
    <row r="100" spans="1:7" x14ac:dyDescent="0.2">
      <c r="A100">
        <v>200903</v>
      </c>
      <c r="B100">
        <v>9.4001000000000001E-2</v>
      </c>
      <c r="C100">
        <v>5.2809000000000002E-2</v>
      </c>
      <c r="D100">
        <v>7.4703000000000006E-2</v>
      </c>
      <c r="E100">
        <v>9.01E-2</v>
      </c>
      <c r="F100">
        <v>-1E-3</v>
      </c>
      <c r="G100">
        <v>3.4799999999999998E-2</v>
      </c>
    </row>
    <row r="101" spans="1:7" x14ac:dyDescent="0.2">
      <c r="A101">
        <v>200904</v>
      </c>
      <c r="B101">
        <v>4.9223000000000003E-2</v>
      </c>
      <c r="C101">
        <v>6.5228999999999995E-2</v>
      </c>
      <c r="D101">
        <v>0.102686</v>
      </c>
      <c r="E101">
        <v>0.1017</v>
      </c>
      <c r="F101">
        <v>5.3999999999999999E-2</v>
      </c>
      <c r="G101">
        <v>5.3800000000000001E-2</v>
      </c>
    </row>
    <row r="102" spans="1:7" x14ac:dyDescent="0.2">
      <c r="A102">
        <v>200905</v>
      </c>
      <c r="B102">
        <v>2.0579999999999999E-3</v>
      </c>
      <c r="C102">
        <v>3.5074000000000001E-2</v>
      </c>
      <c r="D102">
        <v>-3.4383999999999998E-2</v>
      </c>
      <c r="E102">
        <v>5.21E-2</v>
      </c>
      <c r="F102">
        <v>-2.41E-2</v>
      </c>
      <c r="G102">
        <v>4.1000000000000003E-3</v>
      </c>
    </row>
    <row r="103" spans="1:7" x14ac:dyDescent="0.2">
      <c r="A103">
        <v>200906</v>
      </c>
      <c r="B103">
        <v>-5.6472000000000001E-2</v>
      </c>
      <c r="C103">
        <v>-1.7500999999999999E-2</v>
      </c>
      <c r="D103">
        <v>-8.1599999999999999E-4</v>
      </c>
      <c r="E103">
        <v>4.1999999999999997E-3</v>
      </c>
      <c r="F103">
        <v>2.58E-2</v>
      </c>
      <c r="G103">
        <v>-2.76E-2</v>
      </c>
    </row>
    <row r="104" spans="1:7" x14ac:dyDescent="0.2">
      <c r="A104">
        <v>200907</v>
      </c>
      <c r="B104">
        <v>8.1257999999999997E-2</v>
      </c>
      <c r="C104">
        <v>0.129381</v>
      </c>
      <c r="D104">
        <v>0.16641900000000001</v>
      </c>
      <c r="E104">
        <v>7.7399999999999997E-2</v>
      </c>
      <c r="F104">
        <v>1.7500000000000002E-2</v>
      </c>
      <c r="G104">
        <v>4.8899999999999999E-2</v>
      </c>
    </row>
    <row r="105" spans="1:7" x14ac:dyDescent="0.2">
      <c r="A105">
        <v>200908</v>
      </c>
      <c r="B105">
        <v>3.3535000000000002E-2</v>
      </c>
      <c r="C105">
        <v>5.6810000000000003E-3</v>
      </c>
      <c r="D105">
        <v>4.2037999999999999E-2</v>
      </c>
      <c r="E105">
        <v>3.3300000000000003E-2</v>
      </c>
      <c r="F105">
        <v>-1.12E-2</v>
      </c>
      <c r="G105">
        <v>7.5999999999999998E-2</v>
      </c>
    </row>
    <row r="106" spans="1:7" x14ac:dyDescent="0.2">
      <c r="A106">
        <v>200909</v>
      </c>
      <c r="B106">
        <v>0.105924</v>
      </c>
      <c r="C106">
        <v>1.3214999999999999E-2</v>
      </c>
      <c r="D106">
        <v>0.17414399999999999</v>
      </c>
      <c r="E106">
        <v>4.0800000000000003E-2</v>
      </c>
      <c r="F106">
        <v>2.4299999999999999E-2</v>
      </c>
      <c r="G106">
        <v>1.15E-2</v>
      </c>
    </row>
    <row r="107" spans="1:7" x14ac:dyDescent="0.2">
      <c r="A107">
        <v>200910</v>
      </c>
      <c r="B107">
        <v>1.1528999999999999E-2</v>
      </c>
      <c r="C107">
        <v>8.3610000000000004E-3</v>
      </c>
      <c r="D107">
        <v>-0.125</v>
      </c>
      <c r="E107">
        <v>-2.53E-2</v>
      </c>
      <c r="F107">
        <v>-4.2599999999999999E-2</v>
      </c>
      <c r="G107">
        <v>-4.1700000000000001E-2</v>
      </c>
    </row>
    <row r="108" spans="1:7" x14ac:dyDescent="0.2">
      <c r="A108">
        <v>200911</v>
      </c>
      <c r="B108">
        <v>5.3825999999999999E-2</v>
      </c>
      <c r="C108">
        <v>5.2151999999999997E-2</v>
      </c>
      <c r="D108">
        <v>9.5238000000000003E-2</v>
      </c>
      <c r="E108">
        <v>5.6300000000000003E-2</v>
      </c>
      <c r="F108">
        <v>-2.5000000000000001E-2</v>
      </c>
      <c r="G108">
        <v>-3.3E-3</v>
      </c>
    </row>
    <row r="109" spans="1:7" x14ac:dyDescent="0.2">
      <c r="A109">
        <v>200912</v>
      </c>
      <c r="B109">
        <v>-1.2352E-2</v>
      </c>
      <c r="C109">
        <v>3.6011000000000001E-2</v>
      </c>
      <c r="D109">
        <v>0.24288000000000001</v>
      </c>
      <c r="E109">
        <v>2.8000000000000001E-2</v>
      </c>
      <c r="F109">
        <v>6.0100000000000001E-2</v>
      </c>
      <c r="G109">
        <v>-1.1000000000000001E-3</v>
      </c>
    </row>
    <row r="110" spans="1:7" x14ac:dyDescent="0.2">
      <c r="A110">
        <v>201001</v>
      </c>
      <c r="B110">
        <v>-2.9406999999999999E-2</v>
      </c>
      <c r="C110">
        <v>-6.5010999999999999E-2</v>
      </c>
      <c r="D110">
        <v>-8.7489999999999998E-3</v>
      </c>
      <c r="E110">
        <v>-3.3500000000000002E-2</v>
      </c>
      <c r="F110">
        <v>4.3E-3</v>
      </c>
      <c r="G110">
        <v>3.3E-3</v>
      </c>
    </row>
    <row r="111" spans="1:7" x14ac:dyDescent="0.2">
      <c r="A111">
        <v>201002</v>
      </c>
      <c r="B111">
        <v>6.4774999999999999E-2</v>
      </c>
      <c r="C111">
        <v>4.3468E-2</v>
      </c>
      <c r="D111">
        <v>0.11032699999999999</v>
      </c>
      <c r="E111">
        <v>3.39E-2</v>
      </c>
      <c r="F111">
        <v>1.18E-2</v>
      </c>
      <c r="G111">
        <v>3.1800000000000002E-2</v>
      </c>
    </row>
    <row r="112" spans="1:7" x14ac:dyDescent="0.2">
      <c r="A112">
        <v>201003</v>
      </c>
      <c r="B112">
        <v>-2.0666E-2</v>
      </c>
      <c r="C112">
        <v>8.5719999999999998E-3</v>
      </c>
      <c r="D112">
        <v>5.1232E-2</v>
      </c>
      <c r="E112">
        <v>6.3E-2</v>
      </c>
      <c r="F112">
        <v>1.46E-2</v>
      </c>
      <c r="G112">
        <v>2.1899999999999999E-2</v>
      </c>
    </row>
    <row r="113" spans="1:7" x14ac:dyDescent="0.2">
      <c r="A113">
        <v>201004</v>
      </c>
      <c r="B113">
        <v>-1.0551E-2</v>
      </c>
      <c r="C113">
        <v>5.8479999999999999E-3</v>
      </c>
      <c r="D113">
        <v>-3.026E-3</v>
      </c>
      <c r="E113">
        <v>1.9900000000000001E-2</v>
      </c>
      <c r="F113">
        <v>4.8399999999999999E-2</v>
      </c>
      <c r="G113">
        <v>2.9600000000000001E-2</v>
      </c>
    </row>
    <row r="114" spans="1:7" x14ac:dyDescent="0.2">
      <c r="A114">
        <v>201005</v>
      </c>
      <c r="B114">
        <v>-1.0579E-2</v>
      </c>
      <c r="C114">
        <v>-2.3952999999999999E-2</v>
      </c>
      <c r="D114">
        <v>-5.6146000000000001E-2</v>
      </c>
      <c r="E114">
        <v>-7.9000000000000001E-2</v>
      </c>
      <c r="F114">
        <v>1.2999999999999999E-3</v>
      </c>
      <c r="G114">
        <v>-2.4799999999999999E-2</v>
      </c>
    </row>
    <row r="115" spans="1:7" x14ac:dyDescent="0.2">
      <c r="A115">
        <v>201006</v>
      </c>
      <c r="B115">
        <v>-5.8712E-2</v>
      </c>
      <c r="C115">
        <v>-1.421E-2</v>
      </c>
      <c r="D115">
        <v>-0.10655100000000001</v>
      </c>
      <c r="E115">
        <v>-5.5599999999999997E-2</v>
      </c>
      <c r="F115">
        <v>-1.7899999999999999E-2</v>
      </c>
      <c r="G115">
        <v>-4.7300000000000002E-2</v>
      </c>
    </row>
    <row r="116" spans="1:7" x14ac:dyDescent="0.2">
      <c r="A116">
        <v>201007</v>
      </c>
      <c r="B116">
        <v>3.4287999999999999E-2</v>
      </c>
      <c r="C116">
        <v>3.9843999999999997E-2</v>
      </c>
      <c r="D116">
        <v>8.4609000000000004E-2</v>
      </c>
      <c r="E116">
        <v>6.9199999999999998E-2</v>
      </c>
      <c r="F116">
        <v>2.2000000000000001E-3</v>
      </c>
      <c r="G116">
        <v>-5.0000000000000001E-3</v>
      </c>
    </row>
    <row r="117" spans="1:7" x14ac:dyDescent="0.2">
      <c r="A117">
        <v>201008</v>
      </c>
      <c r="B117">
        <v>-8.7999999999999998E-5</v>
      </c>
      <c r="C117">
        <v>-3.5980999999999999E-2</v>
      </c>
      <c r="D117">
        <v>-8.2614000000000007E-2</v>
      </c>
      <c r="E117">
        <v>-4.7800000000000002E-2</v>
      </c>
      <c r="F117">
        <v>-3.0099999999999998E-2</v>
      </c>
      <c r="G117">
        <v>-1.7299999999999999E-2</v>
      </c>
    </row>
    <row r="118" spans="1:7" x14ac:dyDescent="0.2">
      <c r="A118">
        <v>201009</v>
      </c>
      <c r="B118">
        <v>0.14141599999999999</v>
      </c>
      <c r="C118">
        <v>8.9417999999999997E-2</v>
      </c>
      <c r="D118">
        <v>0.182805</v>
      </c>
      <c r="E118">
        <v>9.5500000000000002E-2</v>
      </c>
      <c r="F118">
        <v>3.8199999999999998E-2</v>
      </c>
      <c r="G118">
        <v>-3.0200000000000001E-2</v>
      </c>
    </row>
    <row r="119" spans="1:7" x14ac:dyDescent="0.2">
      <c r="A119">
        <v>201010</v>
      </c>
      <c r="B119">
        <v>-2.3491999999999999E-2</v>
      </c>
      <c r="C119">
        <v>7.0523000000000002E-2</v>
      </c>
      <c r="D119">
        <v>5.2793E-2</v>
      </c>
      <c r="E119">
        <v>3.8699999999999998E-2</v>
      </c>
      <c r="F119">
        <v>1.0800000000000001E-2</v>
      </c>
      <c r="G119">
        <v>-2.46E-2</v>
      </c>
    </row>
    <row r="120" spans="1:7" x14ac:dyDescent="0.2">
      <c r="A120">
        <v>201011</v>
      </c>
      <c r="B120">
        <v>7.7106999999999995E-2</v>
      </c>
      <c r="C120">
        <v>-1.0376E-2</v>
      </c>
      <c r="D120">
        <v>-3.1976999999999998E-2</v>
      </c>
      <c r="E120">
        <v>5.8999999999999999E-3</v>
      </c>
      <c r="F120">
        <v>3.6700000000000003E-2</v>
      </c>
      <c r="G120">
        <v>-8.9999999999999993E-3</v>
      </c>
    </row>
    <row r="121" spans="1:7" x14ac:dyDescent="0.2">
      <c r="A121">
        <v>201012</v>
      </c>
      <c r="B121">
        <v>6.8037E-2</v>
      </c>
      <c r="C121">
        <v>3.7465999999999999E-2</v>
      </c>
      <c r="D121">
        <v>-2.5187999999999999E-2</v>
      </c>
      <c r="E121">
        <v>6.8199999999999997E-2</v>
      </c>
      <c r="F121">
        <v>7.1999999999999998E-3</v>
      </c>
      <c r="G121">
        <v>3.56E-2</v>
      </c>
    </row>
    <row r="122" spans="1:7" x14ac:dyDescent="0.2">
      <c r="A122">
        <v>201101</v>
      </c>
      <c r="B122">
        <v>-5.1240000000000001E-3</v>
      </c>
      <c r="C122">
        <v>0.103843</v>
      </c>
      <c r="D122">
        <v>-8.7056999999999995E-2</v>
      </c>
      <c r="E122">
        <v>1.9800000000000002E-2</v>
      </c>
      <c r="F122">
        <v>-2.29E-2</v>
      </c>
      <c r="G122">
        <v>6.1000000000000004E-3</v>
      </c>
    </row>
    <row r="123" spans="1:7" x14ac:dyDescent="0.2">
      <c r="A123">
        <v>201102</v>
      </c>
      <c r="B123">
        <v>4.3916999999999998E-2</v>
      </c>
      <c r="C123">
        <v>3.2720000000000002E-3</v>
      </c>
      <c r="D123">
        <v>-1.688E-3</v>
      </c>
      <c r="E123">
        <v>3.4799999999999998E-2</v>
      </c>
      <c r="F123">
        <v>1.4999999999999999E-2</v>
      </c>
      <c r="G123">
        <v>1.18E-2</v>
      </c>
    </row>
    <row r="124" spans="1:7" x14ac:dyDescent="0.2">
      <c r="A124">
        <v>201103</v>
      </c>
      <c r="B124">
        <v>-1.9654999999999999E-2</v>
      </c>
      <c r="C124">
        <v>7.3509999999999999E-3</v>
      </c>
      <c r="D124">
        <v>6.8004999999999996E-2</v>
      </c>
      <c r="E124">
        <v>4.4999999999999997E-3</v>
      </c>
      <c r="F124">
        <v>2.4899999999999999E-2</v>
      </c>
      <c r="G124">
        <v>-1.84E-2</v>
      </c>
    </row>
    <row r="125" spans="1:7" x14ac:dyDescent="0.2">
      <c r="A125">
        <v>201104</v>
      </c>
      <c r="B125">
        <v>0.103246</v>
      </c>
      <c r="C125">
        <v>4.6053999999999998E-2</v>
      </c>
      <c r="D125">
        <v>-6.9675000000000001E-2</v>
      </c>
      <c r="E125">
        <v>2.9000000000000001E-2</v>
      </c>
      <c r="F125">
        <v>-4.1999999999999997E-3</v>
      </c>
      <c r="G125">
        <v>-2.4400000000000002E-2</v>
      </c>
    </row>
    <row r="126" spans="1:7" x14ac:dyDescent="0.2">
      <c r="A126">
        <v>201105</v>
      </c>
      <c r="B126">
        <v>2.2623000000000001E-2</v>
      </c>
      <c r="C126">
        <v>-5.2760000000000003E-3</v>
      </c>
      <c r="D126">
        <v>6.8089999999999999E-3</v>
      </c>
      <c r="E126">
        <v>-1.2699999999999999E-2</v>
      </c>
      <c r="F126">
        <v>-7.3000000000000001E-3</v>
      </c>
      <c r="G126">
        <v>-1.8499999999999999E-2</v>
      </c>
    </row>
    <row r="127" spans="1:7" x14ac:dyDescent="0.2">
      <c r="A127">
        <v>201106</v>
      </c>
      <c r="B127">
        <v>-1.5034E-2</v>
      </c>
      <c r="C127">
        <v>1.5509E-2</v>
      </c>
      <c r="D127">
        <v>-3.4277000000000002E-2</v>
      </c>
      <c r="E127">
        <v>-1.7399999999999999E-2</v>
      </c>
      <c r="F127">
        <v>-2.7000000000000001E-3</v>
      </c>
      <c r="G127">
        <v>-2E-3</v>
      </c>
    </row>
    <row r="128" spans="1:7" x14ac:dyDescent="0.2">
      <c r="A128">
        <v>201107</v>
      </c>
      <c r="B128">
        <v>-3.6804999999999997E-2</v>
      </c>
      <c r="C128">
        <v>6.0040999999999997E-2</v>
      </c>
      <c r="D128">
        <v>-0.12784599999999999</v>
      </c>
      <c r="E128">
        <v>-2.35E-2</v>
      </c>
      <c r="F128">
        <v>-1.17E-2</v>
      </c>
      <c r="G128">
        <v>-9.1000000000000004E-3</v>
      </c>
    </row>
    <row r="129" spans="1:7" x14ac:dyDescent="0.2">
      <c r="A129">
        <v>201108</v>
      </c>
      <c r="B129">
        <v>6.7730000000000004E-3</v>
      </c>
      <c r="C129">
        <v>-5.0535999999999998E-2</v>
      </c>
      <c r="D129">
        <v>-0.13408600000000001</v>
      </c>
      <c r="E129">
        <v>-5.96E-2</v>
      </c>
      <c r="F129">
        <v>-2.9600000000000001E-2</v>
      </c>
      <c r="G129">
        <v>-2.4299999999999999E-2</v>
      </c>
    </row>
    <row r="130" spans="1:7" x14ac:dyDescent="0.2">
      <c r="A130">
        <v>201109</v>
      </c>
      <c r="B130">
        <v>4.5709E-2</v>
      </c>
      <c r="C130">
        <v>1.7218000000000001E-2</v>
      </c>
      <c r="D130">
        <v>-6.7284999999999998E-2</v>
      </c>
      <c r="E130">
        <v>-7.5800000000000006E-2</v>
      </c>
      <c r="F130">
        <v>-3.1199999999999999E-2</v>
      </c>
      <c r="G130">
        <v>-1.5299999999999999E-2</v>
      </c>
    </row>
    <row r="131" spans="1:7" x14ac:dyDescent="0.2">
      <c r="A131">
        <v>201110</v>
      </c>
      <c r="B131">
        <v>1.3637E-2</v>
      </c>
      <c r="C131">
        <v>5.5813000000000001E-2</v>
      </c>
      <c r="D131">
        <v>6.3433000000000003E-2</v>
      </c>
      <c r="E131">
        <v>0.1133</v>
      </c>
      <c r="F131">
        <v>3.0499999999999999E-2</v>
      </c>
      <c r="G131">
        <v>5.9999999999999995E-4</v>
      </c>
    </row>
    <row r="132" spans="1:7" x14ac:dyDescent="0.2">
      <c r="A132">
        <v>201111</v>
      </c>
      <c r="B132">
        <v>2.7508000000000001E-2</v>
      </c>
      <c r="C132">
        <v>2.2315000000000002E-2</v>
      </c>
      <c r="D132">
        <v>-1.9883000000000001E-2</v>
      </c>
      <c r="E132">
        <v>-2.7000000000000001E-3</v>
      </c>
      <c r="F132">
        <v>-1.8E-3</v>
      </c>
      <c r="G132">
        <v>-5.1999999999999998E-3</v>
      </c>
    </row>
    <row r="133" spans="1:7" x14ac:dyDescent="0.2">
      <c r="A133">
        <v>201112</v>
      </c>
      <c r="B133">
        <v>-2.3212E-2</v>
      </c>
      <c r="C133">
        <v>-2.1915E-2</v>
      </c>
      <c r="D133">
        <v>2.2016999999999998E-2</v>
      </c>
      <c r="E133">
        <v>7.4999999999999997E-3</v>
      </c>
      <c r="F133">
        <v>-5.5999999999999999E-3</v>
      </c>
      <c r="G133">
        <v>1.54E-2</v>
      </c>
    </row>
    <row r="134" spans="1:7" x14ac:dyDescent="0.2">
      <c r="A134">
        <v>201201</v>
      </c>
      <c r="B134">
        <v>-1.2602E-2</v>
      </c>
      <c r="C134">
        <v>4.7421999999999999E-2</v>
      </c>
      <c r="D134">
        <v>0.119159</v>
      </c>
      <c r="E134">
        <v>5.0500000000000003E-2</v>
      </c>
      <c r="F134">
        <v>2.01E-2</v>
      </c>
      <c r="G134">
        <v>-9.2999999999999992E-3</v>
      </c>
    </row>
    <row r="135" spans="1:7" x14ac:dyDescent="0.2">
      <c r="A135">
        <v>201202</v>
      </c>
      <c r="B135">
        <v>4.8985000000000001E-2</v>
      </c>
      <c r="C135">
        <v>2.5336999999999998E-2</v>
      </c>
      <c r="D135">
        <v>-6.2161000000000001E-2</v>
      </c>
      <c r="E135">
        <v>4.4200000000000003E-2</v>
      </c>
      <c r="F135">
        <v>-1.84E-2</v>
      </c>
      <c r="G135">
        <v>4.1999999999999997E-3</v>
      </c>
    </row>
    <row r="136" spans="1:7" x14ac:dyDescent="0.2">
      <c r="A136">
        <v>201203</v>
      </c>
      <c r="B136">
        <v>5.5078000000000002E-2</v>
      </c>
      <c r="C136">
        <v>6.0590999999999999E-2</v>
      </c>
      <c r="D136">
        <v>-8.2405000000000006E-2</v>
      </c>
      <c r="E136">
        <v>3.1199999999999999E-2</v>
      </c>
      <c r="F136">
        <v>-6.3E-3</v>
      </c>
      <c r="G136">
        <v>1.1900000000000001E-2</v>
      </c>
    </row>
    <row r="137" spans="1:7" x14ac:dyDescent="0.2">
      <c r="A137">
        <v>201204</v>
      </c>
      <c r="B137">
        <v>-2.8854999999999999E-2</v>
      </c>
      <c r="C137">
        <v>-7.5249999999999996E-3</v>
      </c>
      <c r="D137">
        <v>4.8539999999999998E-3</v>
      </c>
      <c r="E137">
        <v>-8.5000000000000006E-3</v>
      </c>
      <c r="F137">
        <v>-3.7000000000000002E-3</v>
      </c>
      <c r="G137">
        <v>-7.7000000000000002E-3</v>
      </c>
    </row>
    <row r="138" spans="1:7" x14ac:dyDescent="0.2">
      <c r="A138">
        <v>201205</v>
      </c>
      <c r="B138">
        <v>-1.7180999999999998E-2</v>
      </c>
      <c r="C138">
        <v>-6.4370999999999998E-2</v>
      </c>
      <c r="D138">
        <v>9.0579999999999994E-2</v>
      </c>
      <c r="E138">
        <v>-6.1699999999999998E-2</v>
      </c>
      <c r="F138">
        <v>1.1999999999999999E-3</v>
      </c>
      <c r="G138">
        <v>-9.4999999999999998E-3</v>
      </c>
    </row>
    <row r="139" spans="1:7" x14ac:dyDescent="0.2">
      <c r="A139">
        <v>201206</v>
      </c>
      <c r="B139">
        <v>9.9664000000000003E-2</v>
      </c>
      <c r="C139">
        <v>1.3893000000000001E-2</v>
      </c>
      <c r="D139">
        <v>2.2148000000000001E-2</v>
      </c>
      <c r="E139">
        <v>3.8899999999999997E-2</v>
      </c>
      <c r="F139">
        <v>7.1999999999999998E-3</v>
      </c>
      <c r="G139">
        <v>5.4999999999999997E-3</v>
      </c>
    </row>
    <row r="140" spans="1:7" x14ac:dyDescent="0.2">
      <c r="A140">
        <v>201207</v>
      </c>
      <c r="B140">
        <v>1.2421E-2</v>
      </c>
      <c r="C140">
        <v>2.0449999999999999E-3</v>
      </c>
      <c r="D140">
        <v>-3.2539999999999999E-3</v>
      </c>
      <c r="E140">
        <v>7.9000000000000008E-3</v>
      </c>
      <c r="F140">
        <v>-2.76E-2</v>
      </c>
      <c r="G140">
        <v>-5.9999999999999995E-4</v>
      </c>
    </row>
    <row r="141" spans="1:7" x14ac:dyDescent="0.2">
      <c r="A141">
        <v>201208</v>
      </c>
      <c r="B141">
        <v>2.043E-2</v>
      </c>
      <c r="C141">
        <v>-1.4289999999999999E-3</v>
      </c>
      <c r="D141">
        <v>-2.6114999999999999E-2</v>
      </c>
      <c r="E141">
        <v>2.5399999999999999E-2</v>
      </c>
      <c r="F141">
        <v>5.0000000000000001E-3</v>
      </c>
      <c r="G141">
        <v>1.23E-2</v>
      </c>
    </row>
    <row r="142" spans="1:7" x14ac:dyDescent="0.2">
      <c r="A142">
        <v>201209</v>
      </c>
      <c r="B142">
        <v>2.3397999999999999E-2</v>
      </c>
      <c r="C142">
        <v>6.4665E-2</v>
      </c>
      <c r="D142">
        <v>-1.9016000000000002E-2</v>
      </c>
      <c r="E142">
        <v>2.7300000000000001E-2</v>
      </c>
      <c r="F142">
        <v>4.4999999999999997E-3</v>
      </c>
      <c r="G142">
        <v>1.6199999999999999E-2</v>
      </c>
    </row>
    <row r="143" spans="1:7" x14ac:dyDescent="0.2">
      <c r="A143">
        <v>201210</v>
      </c>
      <c r="B143">
        <v>-1.7271999999999999E-2</v>
      </c>
      <c r="C143">
        <v>-6.2280000000000002E-2</v>
      </c>
      <c r="D143">
        <v>5.7010000000000003E-3</v>
      </c>
      <c r="E143">
        <v>-1.7600000000000001E-2</v>
      </c>
      <c r="F143">
        <v>-1.09E-2</v>
      </c>
      <c r="G143">
        <v>3.5200000000000002E-2</v>
      </c>
    </row>
    <row r="144" spans="1:7" x14ac:dyDescent="0.2">
      <c r="A144">
        <v>201211</v>
      </c>
      <c r="B144">
        <v>5.8569999999999997E-2</v>
      </c>
      <c r="C144">
        <v>-1.8558000000000002E-2</v>
      </c>
      <c r="D144">
        <v>8.0499000000000001E-2</v>
      </c>
      <c r="E144">
        <v>7.7999999999999996E-3</v>
      </c>
      <c r="F144">
        <v>6.0000000000000001E-3</v>
      </c>
      <c r="G144">
        <v>-8.6E-3</v>
      </c>
    </row>
    <row r="145" spans="1:7" x14ac:dyDescent="0.2">
      <c r="A145">
        <v>201212</v>
      </c>
      <c r="B145">
        <v>1.7416999999999998E-2</v>
      </c>
      <c r="C145">
        <v>7.7869999999999997E-3</v>
      </c>
      <c r="D145">
        <v>7.5550999999999993E-2</v>
      </c>
      <c r="E145">
        <v>1.18E-2</v>
      </c>
      <c r="F145">
        <v>1.4999999999999999E-2</v>
      </c>
      <c r="G145">
        <v>3.4799999999999998E-2</v>
      </c>
    </row>
    <row r="146" spans="1:7" x14ac:dyDescent="0.2">
      <c r="A146">
        <v>201301</v>
      </c>
      <c r="B146">
        <v>3.6563999999999999E-2</v>
      </c>
      <c r="C146">
        <v>6.0141E-2</v>
      </c>
      <c r="D146">
        <v>9.4727000000000006E-2</v>
      </c>
      <c r="E146">
        <v>5.57E-2</v>
      </c>
      <c r="F146">
        <v>2.8999999999999998E-3</v>
      </c>
      <c r="G146">
        <v>1.01E-2</v>
      </c>
    </row>
    <row r="147" spans="1:7" x14ac:dyDescent="0.2">
      <c r="A147">
        <v>201302</v>
      </c>
      <c r="B147">
        <v>-7.5729999999999999E-3</v>
      </c>
      <c r="C147">
        <v>-6.8450000000000004E-3</v>
      </c>
      <c r="D147">
        <v>4.3711E-2</v>
      </c>
      <c r="E147">
        <v>1.2800000000000001E-2</v>
      </c>
      <c r="F147">
        <v>-3.0000000000000001E-3</v>
      </c>
      <c r="G147">
        <v>2.0999999999999999E-3</v>
      </c>
    </row>
    <row r="148" spans="1:7" x14ac:dyDescent="0.2">
      <c r="A148">
        <v>201303</v>
      </c>
      <c r="B148">
        <v>4.7586000000000003E-2</v>
      </c>
      <c r="C148">
        <v>6.2092000000000001E-2</v>
      </c>
      <c r="D148">
        <v>0.15299099999999999</v>
      </c>
      <c r="E148">
        <v>4.0399999999999998E-2</v>
      </c>
      <c r="F148">
        <v>8.3000000000000001E-3</v>
      </c>
      <c r="G148">
        <v>-2.2000000000000001E-3</v>
      </c>
    </row>
    <row r="149" spans="1:7" x14ac:dyDescent="0.2">
      <c r="A149">
        <v>201304</v>
      </c>
      <c r="B149">
        <v>2.1864000000000001E-2</v>
      </c>
      <c r="C149">
        <v>-5.0444999999999997E-2</v>
      </c>
      <c r="D149">
        <v>1.6320000000000001E-2</v>
      </c>
      <c r="E149">
        <v>1.5599999999999999E-2</v>
      </c>
      <c r="F149">
        <v>-2.3699999999999999E-2</v>
      </c>
      <c r="G149">
        <v>4.4000000000000003E-3</v>
      </c>
    </row>
    <row r="150" spans="1:7" x14ac:dyDescent="0.2">
      <c r="A150">
        <v>201305</v>
      </c>
      <c r="B150">
        <v>1.3934999999999999E-2</v>
      </c>
      <c r="C150">
        <v>3.1746999999999997E-2</v>
      </c>
      <c r="D150">
        <v>3.4306999999999997E-2</v>
      </c>
      <c r="E150">
        <v>2.8000000000000001E-2</v>
      </c>
      <c r="F150">
        <v>1.7000000000000001E-2</v>
      </c>
      <c r="G150">
        <v>2.6700000000000002E-2</v>
      </c>
    </row>
    <row r="151" spans="1:7" x14ac:dyDescent="0.2">
      <c r="A151">
        <v>201306</v>
      </c>
      <c r="B151">
        <v>8.5649999999999997E-3</v>
      </c>
      <c r="C151">
        <v>-8.1290000000000001E-2</v>
      </c>
      <c r="D151">
        <v>-8.7509000000000003E-2</v>
      </c>
      <c r="E151">
        <v>-1.2E-2</v>
      </c>
      <c r="F151">
        <v>1.3100000000000001E-2</v>
      </c>
      <c r="G151">
        <v>-5.0000000000000001E-4</v>
      </c>
    </row>
    <row r="152" spans="1:7" x14ac:dyDescent="0.2">
      <c r="A152">
        <v>201307</v>
      </c>
      <c r="B152">
        <v>6.1952E-2</v>
      </c>
      <c r="C152">
        <v>2.0563999999999999E-2</v>
      </c>
      <c r="D152">
        <v>7.2925000000000004E-2</v>
      </c>
      <c r="E152">
        <v>5.6500000000000002E-2</v>
      </c>
      <c r="F152">
        <v>1.8100000000000002E-2</v>
      </c>
      <c r="G152">
        <v>5.7999999999999996E-3</v>
      </c>
    </row>
    <row r="153" spans="1:7" x14ac:dyDescent="0.2">
      <c r="A153">
        <v>201308</v>
      </c>
      <c r="B153">
        <v>-4.4625999999999999E-2</v>
      </c>
      <c r="C153">
        <v>-6.0602999999999997E-2</v>
      </c>
      <c r="D153">
        <v>-7.0860000000000006E-2</v>
      </c>
      <c r="E153">
        <v>-2.7099999999999999E-2</v>
      </c>
      <c r="F153">
        <v>3.2000000000000002E-3</v>
      </c>
      <c r="G153">
        <v>-2.7300000000000001E-2</v>
      </c>
    </row>
    <row r="154" spans="1:7" x14ac:dyDescent="0.2">
      <c r="A154">
        <v>201309</v>
      </c>
      <c r="B154">
        <v>2.9498E-2</v>
      </c>
      <c r="C154">
        <v>1.5965E-2</v>
      </c>
      <c r="D154">
        <v>0.13661200000000001</v>
      </c>
      <c r="E154">
        <v>3.7699999999999997E-2</v>
      </c>
      <c r="F154">
        <v>2.8899999999999999E-2</v>
      </c>
      <c r="G154">
        <v>-1.18E-2</v>
      </c>
    </row>
    <row r="155" spans="1:7" x14ac:dyDescent="0.2">
      <c r="A155">
        <v>201310</v>
      </c>
      <c r="B155">
        <v>2.4572E-2</v>
      </c>
      <c r="C155">
        <v>-3.2238999999999997E-2</v>
      </c>
      <c r="D155">
        <v>0.18269199999999999</v>
      </c>
      <c r="E155">
        <v>4.1700000000000001E-2</v>
      </c>
      <c r="F155">
        <v>-1.5599999999999999E-2</v>
      </c>
      <c r="G155">
        <v>1.2200000000000001E-2</v>
      </c>
    </row>
    <row r="156" spans="1:7" x14ac:dyDescent="0.2">
      <c r="A156">
        <v>201311</v>
      </c>
      <c r="B156">
        <v>6.5592999999999999E-2</v>
      </c>
      <c r="C156">
        <v>7.9240000000000005E-3</v>
      </c>
      <c r="D156">
        <v>7.9559000000000005E-2</v>
      </c>
      <c r="E156">
        <v>3.1099999999999999E-2</v>
      </c>
      <c r="F156">
        <v>1.3100000000000001E-2</v>
      </c>
      <c r="G156">
        <v>1.9E-3</v>
      </c>
    </row>
    <row r="157" spans="1:7" x14ac:dyDescent="0.2">
      <c r="A157">
        <v>201312</v>
      </c>
      <c r="B157">
        <v>-5.1103999999999997E-2</v>
      </c>
      <c r="C157">
        <v>4.3910999999999999E-2</v>
      </c>
      <c r="D157">
        <v>1.5599999999999999E-2</v>
      </c>
      <c r="E157">
        <v>2.81E-2</v>
      </c>
      <c r="F157">
        <v>-4.4000000000000003E-3</v>
      </c>
      <c r="G157">
        <v>0</v>
      </c>
    </row>
    <row r="158" spans="1:7" x14ac:dyDescent="0.2">
      <c r="A158">
        <v>201401</v>
      </c>
      <c r="B158">
        <v>-5.5957E-2</v>
      </c>
      <c r="C158">
        <v>-5.8057999999999998E-2</v>
      </c>
      <c r="D158">
        <v>0.111996</v>
      </c>
      <c r="E158">
        <v>-3.32E-2</v>
      </c>
      <c r="F158">
        <v>9.2999999999999992E-3</v>
      </c>
      <c r="G158">
        <v>-1.9900000000000001E-2</v>
      </c>
    </row>
    <row r="159" spans="1:7" x14ac:dyDescent="0.2">
      <c r="A159">
        <v>201402</v>
      </c>
      <c r="B159">
        <v>4.2275E-2</v>
      </c>
      <c r="C159">
        <v>5.3429999999999998E-2</v>
      </c>
      <c r="D159">
        <v>7.1122000000000005E-2</v>
      </c>
      <c r="E159">
        <v>4.6600000000000003E-2</v>
      </c>
      <c r="F159">
        <v>3.5999999999999999E-3</v>
      </c>
      <c r="G159">
        <v>-3.5000000000000001E-3</v>
      </c>
    </row>
    <row r="160" spans="1:7" x14ac:dyDescent="0.2">
      <c r="A160">
        <v>201403</v>
      </c>
      <c r="B160">
        <v>-4.3836E-2</v>
      </c>
      <c r="C160">
        <v>3.9530999999999997E-2</v>
      </c>
      <c r="D160">
        <v>5.3921999999999998E-2</v>
      </c>
      <c r="E160">
        <v>4.3E-3</v>
      </c>
      <c r="F160">
        <v>-1.8599999999999998E-2</v>
      </c>
      <c r="G160">
        <v>4.9000000000000002E-2</v>
      </c>
    </row>
    <row r="161" spans="1:7" x14ac:dyDescent="0.2">
      <c r="A161">
        <v>201404</v>
      </c>
      <c r="B161">
        <v>3.5817000000000002E-2</v>
      </c>
      <c r="C161">
        <v>2.0676E-2</v>
      </c>
      <c r="D161">
        <v>2.3719E-2</v>
      </c>
      <c r="E161">
        <v>-1.8E-3</v>
      </c>
      <c r="F161">
        <v>-4.1799999999999997E-2</v>
      </c>
      <c r="G161">
        <v>1.2200000000000001E-2</v>
      </c>
    </row>
    <row r="162" spans="1:7" x14ac:dyDescent="0.2">
      <c r="A162">
        <v>201405</v>
      </c>
      <c r="B162">
        <v>6.0080000000000003E-3</v>
      </c>
      <c r="C162">
        <v>-5.6038999999999999E-2</v>
      </c>
      <c r="D162">
        <v>9.4331999999999999E-2</v>
      </c>
      <c r="E162">
        <v>2.0500000000000001E-2</v>
      </c>
      <c r="F162">
        <v>-1.8499999999999999E-2</v>
      </c>
      <c r="G162">
        <v>-1E-3</v>
      </c>
    </row>
    <row r="163" spans="1:7" x14ac:dyDescent="0.2">
      <c r="A163">
        <v>201406</v>
      </c>
      <c r="B163">
        <v>-7.4120000000000002E-3</v>
      </c>
      <c r="C163">
        <v>-1.6761000000000002E-2</v>
      </c>
      <c r="D163">
        <v>1.7769E-2</v>
      </c>
      <c r="E163">
        <v>2.5999999999999999E-2</v>
      </c>
      <c r="F163">
        <v>3.0499999999999999E-2</v>
      </c>
      <c r="G163">
        <v>-7.1000000000000004E-3</v>
      </c>
    </row>
    <row r="164" spans="1:7" x14ac:dyDescent="0.2">
      <c r="A164">
        <v>201407</v>
      </c>
      <c r="B164">
        <v>2.375E-2</v>
      </c>
      <c r="C164">
        <v>5.7373E-2</v>
      </c>
      <c r="D164">
        <v>5.2866999999999997E-2</v>
      </c>
      <c r="E164">
        <v>-2.0299999999999999E-2</v>
      </c>
      <c r="F164">
        <v>-4.1799999999999997E-2</v>
      </c>
      <c r="G164">
        <v>-8.0000000000000004E-4</v>
      </c>
    </row>
    <row r="165" spans="1:7" x14ac:dyDescent="0.2">
      <c r="A165">
        <v>201408</v>
      </c>
      <c r="B165">
        <v>3.0117000000000001E-2</v>
      </c>
      <c r="C165">
        <v>9.0259999999999993E-3</v>
      </c>
      <c r="D165">
        <v>0.134017</v>
      </c>
      <c r="E165">
        <v>4.24E-2</v>
      </c>
      <c r="F165">
        <v>4.1000000000000003E-3</v>
      </c>
      <c r="G165">
        <v>-5.7000000000000002E-3</v>
      </c>
    </row>
    <row r="166" spans="1:7" x14ac:dyDescent="0.2">
      <c r="A166">
        <v>201409</v>
      </c>
      <c r="B166">
        <v>3.5018000000000001E-2</v>
      </c>
      <c r="C166">
        <v>-1.2845000000000001E-2</v>
      </c>
      <c r="D166">
        <v>5.4982999999999997E-2</v>
      </c>
      <c r="E166">
        <v>-1.9599999999999999E-2</v>
      </c>
      <c r="F166">
        <v>-3.5900000000000001E-2</v>
      </c>
      <c r="G166">
        <v>-1.47E-2</v>
      </c>
    </row>
    <row r="167" spans="1:7" x14ac:dyDescent="0.2">
      <c r="A167">
        <v>201410</v>
      </c>
      <c r="B167">
        <v>6.4236000000000001E-2</v>
      </c>
      <c r="C167">
        <v>-0.133962</v>
      </c>
      <c r="D167">
        <v>2.1024999999999999E-2</v>
      </c>
      <c r="E167">
        <v>2.5100000000000001E-2</v>
      </c>
      <c r="F167">
        <v>4.0500000000000001E-2</v>
      </c>
      <c r="G167">
        <v>-1.6299999999999999E-2</v>
      </c>
    </row>
    <row r="168" spans="1:7" x14ac:dyDescent="0.2">
      <c r="A168">
        <v>201411</v>
      </c>
      <c r="B168">
        <v>6.8268999999999996E-2</v>
      </c>
      <c r="C168">
        <v>-6.8729999999999998E-3</v>
      </c>
      <c r="D168">
        <v>0.21287700000000001</v>
      </c>
      <c r="E168">
        <v>2.5600000000000001E-2</v>
      </c>
      <c r="F168">
        <v>-2.0500000000000001E-2</v>
      </c>
      <c r="G168">
        <v>-3.1300000000000001E-2</v>
      </c>
    </row>
    <row r="169" spans="1:7" x14ac:dyDescent="0.2">
      <c r="A169">
        <v>201412</v>
      </c>
      <c r="B169">
        <v>-2.6029999999999998E-3</v>
      </c>
      <c r="C169">
        <v>-1.0668E-2</v>
      </c>
      <c r="D169">
        <v>1.3391E-2</v>
      </c>
      <c r="E169">
        <v>-5.0000000000000001E-4</v>
      </c>
      <c r="F169">
        <v>2.53E-2</v>
      </c>
      <c r="G169">
        <v>2.12E-2</v>
      </c>
    </row>
    <row r="170" spans="1:7" x14ac:dyDescent="0.2">
      <c r="A170">
        <v>201501</v>
      </c>
      <c r="B170">
        <v>8.7480000000000006E-3</v>
      </c>
      <c r="C170">
        <v>-4.444E-2</v>
      </c>
      <c r="D170">
        <v>6.7580000000000001E-2</v>
      </c>
      <c r="E170">
        <v>-3.1E-2</v>
      </c>
      <c r="F170">
        <v>-5.8999999999999999E-3</v>
      </c>
      <c r="G170">
        <v>-3.4500000000000003E-2</v>
      </c>
    </row>
    <row r="171" spans="1:7" x14ac:dyDescent="0.2">
      <c r="A171">
        <v>201502</v>
      </c>
      <c r="B171">
        <v>6.5213999999999994E-2</v>
      </c>
      <c r="C171">
        <v>6.3465999999999995E-2</v>
      </c>
      <c r="D171">
        <v>-4.2938999999999998E-2</v>
      </c>
      <c r="E171">
        <v>6.13E-2</v>
      </c>
      <c r="F171">
        <v>6.1000000000000004E-3</v>
      </c>
      <c r="G171">
        <v>-1.7899999999999999E-2</v>
      </c>
    </row>
    <row r="172" spans="1:7" x14ac:dyDescent="0.2">
      <c r="A172">
        <v>201503</v>
      </c>
      <c r="B172">
        <v>3.0859000000000001E-2</v>
      </c>
      <c r="C172">
        <v>-8.8920000000000006E-3</v>
      </c>
      <c r="D172">
        <v>2.5902000000000001E-2</v>
      </c>
      <c r="E172">
        <v>-1.11E-2</v>
      </c>
      <c r="F172">
        <v>3.0499999999999999E-2</v>
      </c>
      <c r="G172">
        <v>-3.8E-3</v>
      </c>
    </row>
    <row r="173" spans="1:7" x14ac:dyDescent="0.2">
      <c r="A173">
        <v>201504</v>
      </c>
      <c r="B173">
        <v>-5.3103999999999998E-2</v>
      </c>
      <c r="C173">
        <v>6.7226999999999995E-2</v>
      </c>
      <c r="D173">
        <v>-8.4423999999999999E-2</v>
      </c>
      <c r="E173">
        <v>5.8999999999999999E-3</v>
      </c>
      <c r="F173">
        <v>-2.9899999999999999E-2</v>
      </c>
      <c r="G173">
        <v>1.7999999999999999E-2</v>
      </c>
    </row>
    <row r="174" spans="1:7" x14ac:dyDescent="0.2">
      <c r="A174">
        <v>201505</v>
      </c>
      <c r="B174">
        <v>-3.2160000000000001E-3</v>
      </c>
      <c r="C174">
        <v>-1.9849999999999998E-3</v>
      </c>
      <c r="D174">
        <v>-8.6539000000000005E-2</v>
      </c>
      <c r="E174">
        <v>1.37E-2</v>
      </c>
      <c r="F174">
        <v>9.4999999999999998E-3</v>
      </c>
      <c r="G174">
        <v>-1.11E-2</v>
      </c>
    </row>
    <row r="175" spans="1:7" x14ac:dyDescent="0.2">
      <c r="A175">
        <v>201506</v>
      </c>
      <c r="B175">
        <v>-5.2809000000000002E-2</v>
      </c>
      <c r="C175">
        <v>-4.1202000000000003E-2</v>
      </c>
      <c r="D175">
        <v>-0.10485800000000001</v>
      </c>
      <c r="E175">
        <v>-1.52E-2</v>
      </c>
      <c r="F175">
        <v>2.9399999999999999E-2</v>
      </c>
      <c r="G175">
        <v>-8.2000000000000007E-3</v>
      </c>
    </row>
    <row r="176" spans="1:7" x14ac:dyDescent="0.2">
      <c r="A176">
        <v>201507</v>
      </c>
      <c r="B176">
        <v>7.5817999999999997E-2</v>
      </c>
      <c r="C176">
        <v>-4.1190000000000003E-3</v>
      </c>
      <c r="D176">
        <v>9.3986E-2</v>
      </c>
      <c r="E176">
        <v>1.5699999999999999E-2</v>
      </c>
      <c r="F176">
        <v>-4.1700000000000001E-2</v>
      </c>
      <c r="G176">
        <v>-4.1599999999999998E-2</v>
      </c>
    </row>
    <row r="177" spans="1:7" x14ac:dyDescent="0.2">
      <c r="A177">
        <v>201508</v>
      </c>
      <c r="B177">
        <v>-3.3378999999999999E-2</v>
      </c>
      <c r="C177">
        <v>-7.9017000000000004E-2</v>
      </c>
      <c r="D177">
        <v>1.5883999999999999E-2</v>
      </c>
      <c r="E177">
        <v>-6.0199999999999997E-2</v>
      </c>
      <c r="F177">
        <v>3.7000000000000002E-3</v>
      </c>
      <c r="G177">
        <v>2.75E-2</v>
      </c>
    </row>
    <row r="178" spans="1:7" x14ac:dyDescent="0.2">
      <c r="A178">
        <v>201509</v>
      </c>
      <c r="B178">
        <v>3.2273999999999997E-2</v>
      </c>
      <c r="C178">
        <v>-1.9744000000000001E-2</v>
      </c>
      <c r="D178">
        <v>3.6512000000000003E-2</v>
      </c>
      <c r="E178">
        <v>-3.0599999999999999E-2</v>
      </c>
      <c r="F178">
        <v>-2.63E-2</v>
      </c>
      <c r="G178">
        <v>5.4999999999999997E-3</v>
      </c>
    </row>
    <row r="179" spans="1:7" x14ac:dyDescent="0.2">
      <c r="A179">
        <v>201510</v>
      </c>
      <c r="B179">
        <v>9.3726000000000004E-2</v>
      </c>
      <c r="C179">
        <v>-3.3730999999999997E-2</v>
      </c>
      <c r="D179">
        <v>0.21687699999999999</v>
      </c>
      <c r="E179">
        <v>7.7499999999999999E-2</v>
      </c>
      <c r="F179">
        <v>-1.9E-2</v>
      </c>
      <c r="G179">
        <v>-4.7000000000000002E-3</v>
      </c>
    </row>
    <row r="180" spans="1:7" x14ac:dyDescent="0.2">
      <c r="A180">
        <v>201511</v>
      </c>
      <c r="B180">
        <v>2.3400000000000001E-2</v>
      </c>
      <c r="C180">
        <v>4.5690000000000001E-3</v>
      </c>
      <c r="D180">
        <v>-8.8570000000000003E-3</v>
      </c>
      <c r="E180">
        <v>5.7000000000000002E-3</v>
      </c>
      <c r="F180">
        <v>3.5799999999999998E-2</v>
      </c>
      <c r="G180">
        <v>-4.3E-3</v>
      </c>
    </row>
    <row r="181" spans="1:7" x14ac:dyDescent="0.2">
      <c r="A181">
        <v>201512</v>
      </c>
      <c r="B181">
        <v>4.9600000000000002E-4</v>
      </c>
      <c r="C181">
        <v>-1.2911000000000001E-2</v>
      </c>
      <c r="D181">
        <v>-5.9830000000000001E-2</v>
      </c>
      <c r="E181">
        <v>-2.1499999999999998E-2</v>
      </c>
      <c r="F181">
        <v>-2.8000000000000001E-2</v>
      </c>
      <c r="G181">
        <v>-2.5700000000000001E-2</v>
      </c>
    </row>
    <row r="182" spans="1:7" x14ac:dyDescent="0.2">
      <c r="A182">
        <v>201601</v>
      </c>
      <c r="B182">
        <v>-6.4271999999999996E-2</v>
      </c>
      <c r="C182">
        <v>-9.3228000000000005E-2</v>
      </c>
      <c r="D182">
        <v>-0.126335</v>
      </c>
      <c r="E182">
        <v>-5.74E-2</v>
      </c>
      <c r="F182">
        <v>-3.4000000000000002E-2</v>
      </c>
      <c r="G182">
        <v>2.0799999999999999E-2</v>
      </c>
    </row>
    <row r="183" spans="1:7" x14ac:dyDescent="0.2">
      <c r="A183">
        <v>201602</v>
      </c>
      <c r="B183">
        <v>-4.5659999999999997E-3</v>
      </c>
      <c r="C183">
        <v>6.0421000000000002E-2</v>
      </c>
      <c r="D183">
        <v>0.11509800000000001</v>
      </c>
      <c r="E183">
        <v>-5.9999999999999995E-4</v>
      </c>
      <c r="F183">
        <v>7.3000000000000001E-3</v>
      </c>
      <c r="G183">
        <v>-6.1000000000000004E-3</v>
      </c>
    </row>
    <row r="184" spans="1:7" x14ac:dyDescent="0.2">
      <c r="A184">
        <v>201603</v>
      </c>
      <c r="B184">
        <v>5.0323E-2</v>
      </c>
      <c r="C184">
        <v>0.15584200000000001</v>
      </c>
      <c r="D184">
        <v>6.9725999999999996E-2</v>
      </c>
      <c r="E184">
        <v>6.9500000000000006E-2</v>
      </c>
      <c r="F184">
        <v>7.4999999999999997E-3</v>
      </c>
      <c r="G184">
        <v>1.2200000000000001E-2</v>
      </c>
    </row>
    <row r="185" spans="1:7" x14ac:dyDescent="0.2">
      <c r="A185">
        <v>201604</v>
      </c>
      <c r="B185">
        <v>-5.7113999999999998E-2</v>
      </c>
      <c r="C185">
        <v>-3.6381999999999998E-2</v>
      </c>
      <c r="D185">
        <v>-4.241E-3</v>
      </c>
      <c r="E185">
        <v>9.1999999999999998E-3</v>
      </c>
      <c r="F185">
        <v>7.7000000000000002E-3</v>
      </c>
      <c r="G185">
        <v>3.2199999999999999E-2</v>
      </c>
    </row>
    <row r="186" spans="1:7" x14ac:dyDescent="0.2">
      <c r="A186">
        <v>201605</v>
      </c>
      <c r="B186">
        <v>4.3210000000000002E-3</v>
      </c>
      <c r="C186">
        <v>6.3039999999999999E-2</v>
      </c>
      <c r="D186">
        <v>-4.7746999999999998E-2</v>
      </c>
      <c r="E186">
        <v>1.78E-2</v>
      </c>
      <c r="F186">
        <v>-1.8E-3</v>
      </c>
      <c r="G186">
        <v>-1.6199999999999999E-2</v>
      </c>
    </row>
    <row r="187" spans="1:7" x14ac:dyDescent="0.2">
      <c r="A187">
        <v>201606</v>
      </c>
      <c r="B187">
        <v>5.5589E-2</v>
      </c>
      <c r="C187">
        <v>-1.2749E-2</v>
      </c>
      <c r="D187">
        <v>-7.4622999999999995E-2</v>
      </c>
      <c r="E187">
        <v>-2.9999999999999997E-4</v>
      </c>
      <c r="F187">
        <v>6.0000000000000001E-3</v>
      </c>
      <c r="G187">
        <v>-1.49E-2</v>
      </c>
    </row>
    <row r="188" spans="1:7" x14ac:dyDescent="0.2">
      <c r="A188">
        <v>201607</v>
      </c>
      <c r="B188">
        <v>6.4824000000000007E-2</v>
      </c>
      <c r="C188">
        <v>5.8242000000000002E-2</v>
      </c>
      <c r="D188">
        <v>-5.6107999999999998E-2</v>
      </c>
      <c r="E188">
        <v>3.9399999999999998E-2</v>
      </c>
      <c r="F188">
        <v>2.4500000000000001E-2</v>
      </c>
      <c r="G188">
        <v>-1.24E-2</v>
      </c>
    </row>
    <row r="189" spans="1:7" x14ac:dyDescent="0.2">
      <c r="A189">
        <v>201608</v>
      </c>
      <c r="B189">
        <v>-2.7987000000000001E-2</v>
      </c>
      <c r="C189">
        <v>-2.117E-3</v>
      </c>
      <c r="D189">
        <v>-8.1099999999999998E-4</v>
      </c>
      <c r="E189">
        <v>4.8999999999999998E-3</v>
      </c>
      <c r="F189">
        <v>1.17E-2</v>
      </c>
      <c r="G189">
        <v>3.1699999999999999E-2</v>
      </c>
    </row>
    <row r="190" spans="1:7" x14ac:dyDescent="0.2">
      <c r="A190">
        <v>201609</v>
      </c>
      <c r="B190">
        <v>-5.9103000000000003E-2</v>
      </c>
      <c r="C190">
        <v>-1.8900000000000001E-4</v>
      </c>
      <c r="D190">
        <v>5.4501000000000001E-2</v>
      </c>
      <c r="E190">
        <v>2.7000000000000001E-3</v>
      </c>
      <c r="F190">
        <v>2.0799999999999999E-2</v>
      </c>
      <c r="G190">
        <v>-1.1900000000000001E-2</v>
      </c>
    </row>
    <row r="191" spans="1:7" x14ac:dyDescent="0.2">
      <c r="A191">
        <v>201610</v>
      </c>
      <c r="B191">
        <v>-3.0424E-2</v>
      </c>
      <c r="C191">
        <v>-3.2482999999999998E-2</v>
      </c>
      <c r="D191">
        <v>2.9828E-2</v>
      </c>
      <c r="E191">
        <v>-2.01E-2</v>
      </c>
      <c r="F191">
        <v>-4.3900000000000002E-2</v>
      </c>
      <c r="G191">
        <v>4.1099999999999998E-2</v>
      </c>
    </row>
    <row r="192" spans="1:7" x14ac:dyDescent="0.2">
      <c r="A192">
        <v>201611</v>
      </c>
      <c r="B192">
        <v>1.8192E-2</v>
      </c>
      <c r="C192">
        <v>6.4611000000000002E-2</v>
      </c>
      <c r="D192">
        <v>0.163795</v>
      </c>
      <c r="E192">
        <v>4.8599999999999997E-2</v>
      </c>
      <c r="F192">
        <v>5.6000000000000001E-2</v>
      </c>
      <c r="G192">
        <v>8.2900000000000001E-2</v>
      </c>
    </row>
    <row r="193" spans="1:7" x14ac:dyDescent="0.2">
      <c r="A193">
        <v>201612</v>
      </c>
      <c r="B193">
        <v>6.6617999999999997E-2</v>
      </c>
      <c r="C193">
        <v>2.324E-2</v>
      </c>
      <c r="D193">
        <v>7.1443999999999994E-2</v>
      </c>
      <c r="E193">
        <v>1.8100000000000002E-2</v>
      </c>
      <c r="F193">
        <v>1.4E-3</v>
      </c>
      <c r="G193">
        <v>3.4700000000000002E-2</v>
      </c>
    </row>
    <row r="194" spans="1:7" x14ac:dyDescent="0.2">
      <c r="A194">
        <v>201701</v>
      </c>
      <c r="B194">
        <v>2.3983000000000001E-2</v>
      </c>
      <c r="C194">
        <v>5.1388999999999997E-2</v>
      </c>
      <c r="D194">
        <v>4.9558999999999999E-2</v>
      </c>
      <c r="E194">
        <v>1.9400000000000001E-2</v>
      </c>
      <c r="F194">
        <v>-1.1599999999999999E-2</v>
      </c>
      <c r="G194">
        <v>-2.76E-2</v>
      </c>
    </row>
    <row r="195" spans="1:7" x14ac:dyDescent="0.2">
      <c r="A195">
        <v>201702</v>
      </c>
      <c r="B195">
        <v>8.344E-2</v>
      </c>
      <c r="C195">
        <v>3.8391000000000002E-2</v>
      </c>
      <c r="D195">
        <v>0.104951</v>
      </c>
      <c r="E195">
        <v>3.5499999999999997E-2</v>
      </c>
      <c r="F195">
        <v>-2.1499999999999998E-2</v>
      </c>
      <c r="G195">
        <v>-1.4999999999999999E-2</v>
      </c>
    </row>
    <row r="196" spans="1:7" x14ac:dyDescent="0.2">
      <c r="A196">
        <v>201703</v>
      </c>
      <c r="B196">
        <v>-5.3560999999999998E-2</v>
      </c>
      <c r="C196">
        <v>-3.1586999999999997E-2</v>
      </c>
      <c r="D196">
        <v>-6.8166000000000004E-2</v>
      </c>
      <c r="E196">
        <v>1.6999999999999999E-3</v>
      </c>
      <c r="F196">
        <v>1.1299999999999999E-2</v>
      </c>
      <c r="G196">
        <v>-3.3300000000000003E-2</v>
      </c>
    </row>
    <row r="197" spans="1:7" x14ac:dyDescent="0.2">
      <c r="A197">
        <v>201704</v>
      </c>
      <c r="B197">
        <v>5.8619999999999998E-2</v>
      </c>
      <c r="C197">
        <v>-7.9533999999999994E-2</v>
      </c>
      <c r="D197">
        <v>4.5759000000000001E-2</v>
      </c>
      <c r="E197">
        <v>1.0800000000000001E-2</v>
      </c>
      <c r="F197">
        <v>6.6E-3</v>
      </c>
      <c r="G197">
        <v>-2.0500000000000001E-2</v>
      </c>
    </row>
    <row r="198" spans="1:7" x14ac:dyDescent="0.2">
      <c r="A198">
        <v>201705</v>
      </c>
      <c r="B198">
        <v>5.8640999999999999E-2</v>
      </c>
      <c r="C198">
        <v>-3.8429999999999999E-2</v>
      </c>
      <c r="D198">
        <v>6.8836999999999995E-2</v>
      </c>
      <c r="E198">
        <v>1.0699999999999999E-2</v>
      </c>
      <c r="F198">
        <v>-2.52E-2</v>
      </c>
      <c r="G198">
        <v>-3.8199999999999998E-2</v>
      </c>
    </row>
    <row r="199" spans="1:7" x14ac:dyDescent="0.2">
      <c r="A199">
        <v>201706</v>
      </c>
      <c r="B199">
        <v>-0.113617</v>
      </c>
      <c r="C199">
        <v>7.8619999999999992E-3</v>
      </c>
      <c r="D199">
        <v>3.6195999999999999E-2</v>
      </c>
      <c r="E199">
        <v>7.9000000000000008E-3</v>
      </c>
      <c r="F199">
        <v>2.2100000000000002E-2</v>
      </c>
      <c r="G199">
        <v>1.4999999999999999E-2</v>
      </c>
    </row>
    <row r="200" spans="1:7" x14ac:dyDescent="0.2">
      <c r="A200">
        <v>201707</v>
      </c>
      <c r="B200">
        <v>-8.8789999999999997E-3</v>
      </c>
      <c r="C200">
        <v>-5.9546000000000002E-2</v>
      </c>
      <c r="D200">
        <v>-0.106695</v>
      </c>
      <c r="E200">
        <v>1.8800000000000001E-2</v>
      </c>
      <c r="F200">
        <v>-1.4500000000000001E-2</v>
      </c>
      <c r="G200">
        <v>-2.3E-3</v>
      </c>
    </row>
    <row r="201" spans="1:7" x14ac:dyDescent="0.2">
      <c r="A201">
        <v>201708</v>
      </c>
      <c r="B201">
        <v>-8.012E-3</v>
      </c>
      <c r="C201">
        <v>-9.68E-4</v>
      </c>
      <c r="D201">
        <v>-5.8458000000000003E-2</v>
      </c>
      <c r="E201">
        <v>1.8E-3</v>
      </c>
      <c r="F201">
        <v>-1.67E-2</v>
      </c>
      <c r="G201">
        <v>-2.1299999999999999E-2</v>
      </c>
    </row>
    <row r="202" spans="1:7" x14ac:dyDescent="0.2">
      <c r="A202">
        <v>201709</v>
      </c>
      <c r="B202">
        <v>4.8168999999999997E-2</v>
      </c>
      <c r="C202">
        <v>1.4333E-2</v>
      </c>
      <c r="D202">
        <v>7.3648000000000005E-2</v>
      </c>
      <c r="E202">
        <v>2.4899999999999999E-2</v>
      </c>
      <c r="F202">
        <v>4.4499999999999998E-2</v>
      </c>
      <c r="G202">
        <v>3.15E-2</v>
      </c>
    </row>
    <row r="203" spans="1:7" x14ac:dyDescent="0.2">
      <c r="A203">
        <v>201710</v>
      </c>
      <c r="B203">
        <v>-1.9539000000000001E-2</v>
      </c>
      <c r="C203">
        <v>6.1897000000000001E-2</v>
      </c>
      <c r="D203">
        <v>-3.7871000000000002E-2</v>
      </c>
      <c r="E203">
        <v>2.2599999999999999E-2</v>
      </c>
      <c r="F203">
        <v>-1.9300000000000001E-2</v>
      </c>
      <c r="G203">
        <v>1.2999999999999999E-3</v>
      </c>
    </row>
    <row r="204" spans="1:7" x14ac:dyDescent="0.2">
      <c r="A204">
        <v>201711</v>
      </c>
      <c r="B204">
        <v>0.148063</v>
      </c>
      <c r="C204">
        <v>9.1520000000000004E-3</v>
      </c>
      <c r="D204">
        <v>0.126439</v>
      </c>
      <c r="E204">
        <v>3.1199999999999999E-2</v>
      </c>
      <c r="F204">
        <v>-6.0000000000000001E-3</v>
      </c>
      <c r="G204">
        <v>-8.9999999999999998E-4</v>
      </c>
    </row>
    <row r="205" spans="1:7" x14ac:dyDescent="0.2">
      <c r="A205">
        <v>201712</v>
      </c>
      <c r="B205">
        <v>9.1629999999999993E-3</v>
      </c>
      <c r="C205">
        <v>-3.5720000000000001E-3</v>
      </c>
      <c r="D205">
        <v>8.0847000000000002E-2</v>
      </c>
      <c r="E205">
        <v>1.06E-2</v>
      </c>
      <c r="F205">
        <v>-1.32E-2</v>
      </c>
      <c r="G205">
        <v>5.0000000000000001E-4</v>
      </c>
    </row>
    <row r="206" spans="1:7" x14ac:dyDescent="0.2">
      <c r="A206">
        <v>201801</v>
      </c>
      <c r="B206">
        <v>4.7012999999999999E-2</v>
      </c>
      <c r="C206">
        <v>6.7005999999999996E-2</v>
      </c>
      <c r="D206">
        <v>-7.1046999999999999E-2</v>
      </c>
      <c r="E206">
        <v>5.5800000000000002E-2</v>
      </c>
      <c r="F206">
        <v>-3.1600000000000003E-2</v>
      </c>
      <c r="G206">
        <v>-1.32E-2</v>
      </c>
    </row>
    <row r="207" spans="1:7" x14ac:dyDescent="0.2">
      <c r="A207">
        <v>201802</v>
      </c>
      <c r="B207">
        <v>-1.7807E-2</v>
      </c>
      <c r="C207">
        <v>-3.8913000000000003E-2</v>
      </c>
      <c r="D207">
        <v>-4.8683999999999998E-2</v>
      </c>
      <c r="E207">
        <v>-3.6400000000000002E-2</v>
      </c>
      <c r="F207">
        <v>2.7000000000000001E-3</v>
      </c>
      <c r="G207">
        <v>-1.0999999999999999E-2</v>
      </c>
    </row>
    <row r="208" spans="1:7" x14ac:dyDescent="0.2">
      <c r="A208">
        <v>201803</v>
      </c>
      <c r="B208">
        <v>-1.2939000000000001E-2</v>
      </c>
      <c r="C208">
        <v>-1.5401E-2</v>
      </c>
      <c r="D208">
        <v>-7.5209999999999999E-3</v>
      </c>
      <c r="E208">
        <v>-2.35E-2</v>
      </c>
      <c r="F208">
        <v>4.0500000000000001E-2</v>
      </c>
      <c r="G208">
        <v>-2.0999999999999999E-3</v>
      </c>
    </row>
    <row r="209" spans="1:7" x14ac:dyDescent="0.2">
      <c r="A209">
        <v>201804</v>
      </c>
      <c r="B209">
        <v>4.6330000000000003E-2</v>
      </c>
      <c r="C209">
        <v>-5.5204000000000003E-2</v>
      </c>
      <c r="D209">
        <v>-7.7687999999999993E-2</v>
      </c>
      <c r="E209">
        <v>2.7000000000000001E-3</v>
      </c>
      <c r="F209">
        <v>1.09E-2</v>
      </c>
      <c r="G209">
        <v>5.3E-3</v>
      </c>
    </row>
    <row r="210" spans="1:7" x14ac:dyDescent="0.2">
      <c r="A210">
        <v>201805</v>
      </c>
      <c r="B210">
        <v>8.3689999999999997E-3</v>
      </c>
      <c r="C210">
        <v>-1.4349000000000001E-2</v>
      </c>
      <c r="D210">
        <v>-3.3125000000000002E-2</v>
      </c>
      <c r="E210">
        <v>2.6599999999999999E-2</v>
      </c>
      <c r="F210">
        <v>5.2400000000000002E-2</v>
      </c>
      <c r="G210">
        <v>-3.1399999999999997E-2</v>
      </c>
    </row>
    <row r="211" spans="1:7" x14ac:dyDescent="0.2">
      <c r="A211">
        <v>201806</v>
      </c>
      <c r="B211">
        <v>5.4177000000000003E-2</v>
      </c>
      <c r="C211">
        <v>-1.1393E-2</v>
      </c>
      <c r="D211">
        <v>-7.8299999999999995E-4</v>
      </c>
      <c r="E211">
        <v>4.8999999999999998E-3</v>
      </c>
      <c r="F211">
        <v>1.11E-2</v>
      </c>
      <c r="G211">
        <v>-2.3300000000000001E-2</v>
      </c>
    </row>
    <row r="212" spans="1:7" x14ac:dyDescent="0.2">
      <c r="A212">
        <v>201807</v>
      </c>
      <c r="B212">
        <v>4.6559999999999997E-2</v>
      </c>
      <c r="C212">
        <v>3.7436999999999998E-2</v>
      </c>
      <c r="D212">
        <v>0.14308199999999999</v>
      </c>
      <c r="E212">
        <v>3.2000000000000001E-2</v>
      </c>
      <c r="F212">
        <v>-2.23E-2</v>
      </c>
      <c r="G212">
        <v>4.8999999999999998E-3</v>
      </c>
    </row>
    <row r="213" spans="1:7" x14ac:dyDescent="0.2">
      <c r="A213">
        <v>201808</v>
      </c>
      <c r="B213">
        <v>6.8538000000000002E-2</v>
      </c>
      <c r="C213">
        <v>2.1527999999999999E-2</v>
      </c>
      <c r="D213">
        <v>5.6739999999999999E-2</v>
      </c>
      <c r="E213">
        <v>3.4500000000000003E-2</v>
      </c>
      <c r="F213">
        <v>1.14E-2</v>
      </c>
      <c r="G213">
        <v>-3.9100000000000003E-2</v>
      </c>
    </row>
    <row r="214" spans="1:7" x14ac:dyDescent="0.2">
      <c r="A214">
        <v>201809</v>
      </c>
      <c r="B214">
        <v>7.5069999999999998E-3</v>
      </c>
      <c r="C214">
        <v>3.2291E-2</v>
      </c>
      <c r="D214">
        <v>1.8759999999999999E-2</v>
      </c>
      <c r="E214">
        <v>5.9999999999999995E-4</v>
      </c>
      <c r="F214">
        <v>-2.29E-2</v>
      </c>
      <c r="G214">
        <v>-1.6199999999999999E-2</v>
      </c>
    </row>
    <row r="215" spans="1:7" x14ac:dyDescent="0.2">
      <c r="A215">
        <v>201810</v>
      </c>
      <c r="B215">
        <v>-2.6609000000000001E-2</v>
      </c>
      <c r="C215">
        <v>-0.236625</v>
      </c>
      <c r="D215">
        <v>-0.21377099999999999</v>
      </c>
      <c r="E215">
        <v>-7.6499999999999999E-2</v>
      </c>
      <c r="F215">
        <v>-4.7E-2</v>
      </c>
      <c r="G215">
        <v>3.3799999999999997E-2</v>
      </c>
    </row>
    <row r="216" spans="1:7" x14ac:dyDescent="0.2">
      <c r="A216">
        <v>201811</v>
      </c>
      <c r="B216">
        <v>1.4083999999999999E-2</v>
      </c>
      <c r="C216">
        <v>9.0184E-2</v>
      </c>
      <c r="D216">
        <v>0.11222</v>
      </c>
      <c r="E216">
        <v>1.7100000000000001E-2</v>
      </c>
      <c r="F216">
        <v>-7.3000000000000001E-3</v>
      </c>
      <c r="G216">
        <v>3.5999999999999999E-3</v>
      </c>
    </row>
    <row r="217" spans="1:7" x14ac:dyDescent="0.2">
      <c r="A217">
        <v>201812</v>
      </c>
      <c r="B217">
        <v>-0.11920600000000001</v>
      </c>
      <c r="C217">
        <v>-8.5297999999999999E-2</v>
      </c>
      <c r="D217">
        <v>-0.14594399999999999</v>
      </c>
      <c r="E217">
        <v>-9.5500000000000002E-2</v>
      </c>
      <c r="F217">
        <v>-2.3099999999999999E-2</v>
      </c>
      <c r="G217">
        <v>-1.9199999999999998E-2</v>
      </c>
    </row>
    <row r="218" spans="1:7" x14ac:dyDescent="0.2">
      <c r="A218">
        <v>201901</v>
      </c>
      <c r="B218">
        <v>5.3606000000000001E-2</v>
      </c>
      <c r="C218">
        <v>0.18254600000000001</v>
      </c>
      <c r="D218">
        <v>0.22117000000000001</v>
      </c>
      <c r="E218">
        <v>8.3699999999999997E-2</v>
      </c>
      <c r="F218">
        <v>2.76E-2</v>
      </c>
      <c r="G218">
        <v>-3.8999999999999998E-3</v>
      </c>
    </row>
    <row r="219" spans="1:7" x14ac:dyDescent="0.2">
      <c r="A219">
        <v>201902</v>
      </c>
      <c r="B219">
        <v>2.1805000000000001E-2</v>
      </c>
      <c r="C219">
        <v>3.9280000000000002E-2</v>
      </c>
      <c r="D219">
        <v>-1.2685E-2</v>
      </c>
      <c r="E219">
        <v>3.4200000000000001E-2</v>
      </c>
      <c r="F219">
        <v>2.0500000000000001E-2</v>
      </c>
      <c r="G219">
        <v>-2.6599999999999999E-2</v>
      </c>
    </row>
    <row r="220" spans="1:7" x14ac:dyDescent="0.2">
      <c r="A220">
        <v>201903</v>
      </c>
      <c r="B220">
        <v>0.106976</v>
      </c>
      <c r="C220">
        <v>2.1500999999999999E-2</v>
      </c>
      <c r="D220">
        <v>-7.0842000000000002E-2</v>
      </c>
      <c r="E220">
        <v>1.0999999999999999E-2</v>
      </c>
      <c r="F220">
        <v>-3.0300000000000001E-2</v>
      </c>
      <c r="G220">
        <v>-4.1399999999999999E-2</v>
      </c>
    </row>
    <row r="221" spans="1:7" x14ac:dyDescent="0.2">
      <c r="A221">
        <v>201904</v>
      </c>
      <c r="B221">
        <v>1.4E-2</v>
      </c>
      <c r="C221">
        <v>-5.8820000000000001E-3</v>
      </c>
      <c r="D221">
        <v>4.4692999999999997E-2</v>
      </c>
      <c r="E221">
        <v>3.9699999999999999E-2</v>
      </c>
      <c r="F221">
        <v>-1.7399999999999999E-2</v>
      </c>
      <c r="G221">
        <v>2.1299999999999999E-2</v>
      </c>
    </row>
    <row r="222" spans="1:7" x14ac:dyDescent="0.2">
      <c r="A222">
        <v>201905</v>
      </c>
      <c r="B222">
        <v>-2.1586000000000001E-2</v>
      </c>
      <c r="C222">
        <v>-8.3125000000000004E-2</v>
      </c>
      <c r="D222">
        <v>-0.122257</v>
      </c>
      <c r="E222">
        <v>-6.9199999999999998E-2</v>
      </c>
      <c r="F222">
        <v>-1.26E-2</v>
      </c>
      <c r="G222">
        <v>-2.4500000000000001E-2</v>
      </c>
    </row>
    <row r="223" spans="1:7" x14ac:dyDescent="0.2">
      <c r="A223">
        <v>201906</v>
      </c>
      <c r="B223">
        <v>0.10301399999999999</v>
      </c>
      <c r="C223">
        <v>8.5912000000000002E-2</v>
      </c>
      <c r="D223">
        <v>7.0587999999999998E-2</v>
      </c>
      <c r="E223">
        <v>6.9199999999999998E-2</v>
      </c>
      <c r="F223">
        <v>2.5999999999999999E-3</v>
      </c>
      <c r="G223">
        <v>-6.4000000000000003E-3</v>
      </c>
    </row>
    <row r="224" spans="1:7" x14ac:dyDescent="0.2">
      <c r="A224">
        <v>201907</v>
      </c>
      <c r="B224">
        <v>4.3026000000000002E-2</v>
      </c>
      <c r="C224">
        <v>7.4981999999999993E-2</v>
      </c>
      <c r="D224">
        <v>1.477E-2</v>
      </c>
      <c r="E224">
        <v>1.23E-2</v>
      </c>
      <c r="F224">
        <v>-1.9599999999999999E-2</v>
      </c>
      <c r="G224">
        <v>5.0000000000000001E-3</v>
      </c>
    </row>
    <row r="225" spans="1:7" x14ac:dyDescent="0.2">
      <c r="A225">
        <v>201908</v>
      </c>
      <c r="B225">
        <v>7.1762999999999993E-2</v>
      </c>
      <c r="C225">
        <v>-7.4811000000000002E-2</v>
      </c>
      <c r="D225">
        <v>1.8824E-2</v>
      </c>
      <c r="E225">
        <v>-2.5499999999999998E-2</v>
      </c>
      <c r="F225">
        <v>-2.3900000000000001E-2</v>
      </c>
      <c r="G225">
        <v>-4.7699999999999999E-2</v>
      </c>
    </row>
    <row r="226" spans="1:7" x14ac:dyDescent="0.2">
      <c r="A226">
        <v>201909</v>
      </c>
      <c r="B226">
        <v>-2.2561000000000001E-2</v>
      </c>
      <c r="C226">
        <v>7.2972999999999996E-2</v>
      </c>
      <c r="D226">
        <v>3.2301000000000003E-2</v>
      </c>
      <c r="E226">
        <v>1.41E-2</v>
      </c>
      <c r="F226">
        <v>-9.7000000000000003E-3</v>
      </c>
      <c r="G226">
        <v>6.7599999999999993E-2</v>
      </c>
    </row>
    <row r="227" spans="1:7" x14ac:dyDescent="0.2">
      <c r="A227">
        <v>201910</v>
      </c>
      <c r="B227">
        <v>3.3494000000000003E-2</v>
      </c>
      <c r="C227">
        <v>-8.0388000000000001E-2</v>
      </c>
      <c r="D227">
        <v>3.9252000000000002E-2</v>
      </c>
      <c r="E227">
        <v>2.07E-2</v>
      </c>
      <c r="F227">
        <v>2.7000000000000001E-3</v>
      </c>
      <c r="G227">
        <v>-1.9199999999999998E-2</v>
      </c>
    </row>
    <row r="228" spans="1:7" x14ac:dyDescent="0.2">
      <c r="A228">
        <v>201911</v>
      </c>
      <c r="B228">
        <v>9.0880000000000006E-3</v>
      </c>
      <c r="C228">
        <v>1.7498E-2</v>
      </c>
      <c r="D228">
        <v>2.6901999999999999E-2</v>
      </c>
      <c r="E228">
        <v>3.8699999999999998E-2</v>
      </c>
      <c r="F228">
        <v>7.1999999999999998E-3</v>
      </c>
      <c r="G228">
        <v>-0.02</v>
      </c>
    </row>
    <row r="229" spans="1:7" x14ac:dyDescent="0.2">
      <c r="A229">
        <v>201912</v>
      </c>
      <c r="B229">
        <v>-1.9646E-2</v>
      </c>
      <c r="C229">
        <v>-3.0490000000000001E-3</v>
      </c>
      <c r="D229">
        <v>-6.0374999999999998E-2</v>
      </c>
      <c r="E229">
        <v>2.7699999999999999E-2</v>
      </c>
      <c r="F229">
        <v>7.6E-3</v>
      </c>
      <c r="G229">
        <v>1.7299999999999999E-2</v>
      </c>
    </row>
    <row r="230" spans="1:7" x14ac:dyDescent="0.2">
      <c r="A230">
        <v>202001</v>
      </c>
      <c r="B230">
        <v>3.9466000000000001E-2</v>
      </c>
      <c r="C230">
        <v>7.2291999999999995E-2</v>
      </c>
      <c r="D230">
        <v>1.8525E-2</v>
      </c>
      <c r="E230">
        <v>-1.1000000000000001E-3</v>
      </c>
      <c r="F230">
        <v>-3.1E-2</v>
      </c>
      <c r="G230">
        <v>-6.2199999999999998E-2</v>
      </c>
    </row>
    <row r="231" spans="1:7" x14ac:dyDescent="0.2">
      <c r="A231">
        <v>202002</v>
      </c>
      <c r="B231">
        <v>-7.7671000000000004E-2</v>
      </c>
      <c r="C231">
        <v>-8.3211999999999994E-2</v>
      </c>
      <c r="D231">
        <v>-0.15987599999999999</v>
      </c>
      <c r="E231">
        <v>-8.1500000000000003E-2</v>
      </c>
      <c r="F231">
        <v>1.0800000000000001E-2</v>
      </c>
      <c r="G231">
        <v>-3.8199999999999998E-2</v>
      </c>
    </row>
    <row r="232" spans="1:7" x14ac:dyDescent="0.2">
      <c r="A232">
        <v>202003</v>
      </c>
      <c r="B232">
        <v>1.4192E-2</v>
      </c>
      <c r="C232">
        <v>-0.147676</v>
      </c>
      <c r="D232">
        <v>-0.225157</v>
      </c>
      <c r="E232">
        <v>-0.13370000000000001</v>
      </c>
      <c r="F232">
        <v>-4.6899999999999997E-2</v>
      </c>
      <c r="G232">
        <v>-0.13830000000000001</v>
      </c>
    </row>
    <row r="233" spans="1:7" x14ac:dyDescent="0.2">
      <c r="A233">
        <v>202004</v>
      </c>
      <c r="B233">
        <v>6.5128000000000005E-2</v>
      </c>
      <c r="C233">
        <v>0.131885</v>
      </c>
      <c r="D233">
        <v>-0.12243800000000001</v>
      </c>
      <c r="E233">
        <v>0.13600000000000001</v>
      </c>
      <c r="F233">
        <v>2.5000000000000001E-2</v>
      </c>
      <c r="G233">
        <v>-1.34E-2</v>
      </c>
    </row>
    <row r="234" spans="1:7" x14ac:dyDescent="0.2">
      <c r="A234">
        <v>202005</v>
      </c>
      <c r="B234">
        <v>1.8053E-2</v>
      </c>
      <c r="C234">
        <v>7.7250000000000001E-3</v>
      </c>
      <c r="D234">
        <v>2.7199999999999998E-2</v>
      </c>
      <c r="E234">
        <v>5.57E-2</v>
      </c>
      <c r="F234">
        <v>2.4E-2</v>
      </c>
      <c r="G234">
        <v>-0.05</v>
      </c>
    </row>
    <row r="235" spans="1:7" x14ac:dyDescent="0.2">
      <c r="A235">
        <v>202006</v>
      </c>
      <c r="B235">
        <v>-1.7052000000000001E-2</v>
      </c>
      <c r="C235">
        <v>-3.3065999999999998E-2</v>
      </c>
      <c r="D235">
        <v>6.4797999999999994E-2</v>
      </c>
      <c r="E235">
        <v>2.4500000000000001E-2</v>
      </c>
      <c r="F235">
        <v>2.6700000000000002E-2</v>
      </c>
      <c r="G235">
        <v>-2.1700000000000001E-2</v>
      </c>
    </row>
    <row r="236" spans="1:7" x14ac:dyDescent="0.2">
      <c r="A236">
        <v>202007</v>
      </c>
      <c r="B236">
        <v>7.5921000000000002E-2</v>
      </c>
      <c r="C236">
        <v>1.7968000000000001E-2</v>
      </c>
      <c r="D236">
        <v>-9.6254999999999993E-2</v>
      </c>
      <c r="E236">
        <v>5.8299999999999998E-2</v>
      </c>
      <c r="F236">
        <v>-2.35E-2</v>
      </c>
      <c r="G236">
        <v>-1.44E-2</v>
      </c>
    </row>
    <row r="237" spans="1:7" x14ac:dyDescent="0.2">
      <c r="A237">
        <v>202008</v>
      </c>
      <c r="B237">
        <v>6.7981E-2</v>
      </c>
      <c r="C237">
        <v>1.6268000000000001E-2</v>
      </c>
      <c r="D237">
        <v>0.21657499999999999</v>
      </c>
      <c r="E237">
        <v>7.6200000000000004E-2</v>
      </c>
      <c r="F237">
        <v>-2E-3</v>
      </c>
      <c r="G237">
        <v>-3.0200000000000001E-2</v>
      </c>
    </row>
    <row r="238" spans="1:7" x14ac:dyDescent="0.2">
      <c r="A238">
        <v>202009</v>
      </c>
      <c r="B238">
        <v>2.1113E-2</v>
      </c>
      <c r="C238">
        <v>-1.3299999999999999E-2</v>
      </c>
      <c r="D238">
        <v>-2.1289999999999998E-3</v>
      </c>
      <c r="E238">
        <v>-3.6400000000000002E-2</v>
      </c>
      <c r="F238">
        <v>5.9999999999999995E-4</v>
      </c>
      <c r="G238">
        <v>-2.7199999999999998E-2</v>
      </c>
    </row>
    <row r="239" spans="1:7" x14ac:dyDescent="0.2">
      <c r="A239">
        <v>202010</v>
      </c>
      <c r="B239">
        <v>9.3519999999999992E-3</v>
      </c>
      <c r="C239">
        <v>-8.2271999999999998E-2</v>
      </c>
      <c r="D239">
        <v>5.4133000000000001E-2</v>
      </c>
      <c r="E239">
        <v>-2.0799999999999999E-2</v>
      </c>
      <c r="F239">
        <v>4.3400000000000001E-2</v>
      </c>
      <c r="G239">
        <v>4.2500000000000003E-2</v>
      </c>
    </row>
    <row r="240" spans="1:7" x14ac:dyDescent="0.2">
      <c r="A240">
        <v>202011</v>
      </c>
      <c r="B240">
        <v>9.5491999999999994E-2</v>
      </c>
      <c r="C240">
        <v>0.120813</v>
      </c>
      <c r="D240">
        <v>0.17227400000000001</v>
      </c>
      <c r="E240">
        <v>0.1245</v>
      </c>
      <c r="F240">
        <v>5.8099999999999999E-2</v>
      </c>
      <c r="G240">
        <v>2.0899999999999998E-2</v>
      </c>
    </row>
    <row r="241" spans="1:7" x14ac:dyDescent="0.2">
      <c r="A241">
        <v>202012</v>
      </c>
      <c r="B241">
        <v>-1.2737E-2</v>
      </c>
      <c r="C241">
        <v>1.9106000000000001E-2</v>
      </c>
      <c r="D241">
        <v>5.8269999999999997E-3</v>
      </c>
      <c r="E241">
        <v>4.6300000000000001E-2</v>
      </c>
      <c r="F241">
        <v>5.0099999999999999E-2</v>
      </c>
      <c r="G241">
        <v>-1.6799999999999999E-2</v>
      </c>
    </row>
    <row r="242" spans="1:7" x14ac:dyDescent="0.2">
      <c r="A242">
        <v>202101</v>
      </c>
      <c r="B242">
        <v>-6.4627000000000004E-2</v>
      </c>
      <c r="C242">
        <v>-5.3781000000000002E-2</v>
      </c>
      <c r="D242">
        <v>-5.7284000000000002E-2</v>
      </c>
      <c r="E242">
        <v>-6.9999999999999999E-4</v>
      </c>
      <c r="F242">
        <v>7.1400000000000005E-2</v>
      </c>
      <c r="G242">
        <v>3.2199999999999999E-2</v>
      </c>
    </row>
    <row r="243" spans="1:7" x14ac:dyDescent="0.2">
      <c r="A243">
        <v>202102</v>
      </c>
      <c r="B243">
        <v>-5.8819999999999997E-2</v>
      </c>
      <c r="C243">
        <v>1.2174000000000001E-2</v>
      </c>
      <c r="D243">
        <v>0.32294</v>
      </c>
      <c r="E243">
        <v>2.81E-2</v>
      </c>
      <c r="F243">
        <v>2.0199999999999999E-2</v>
      </c>
      <c r="G243">
        <v>7.1999999999999995E-2</v>
      </c>
    </row>
    <row r="244" spans="1:7" x14ac:dyDescent="0.2">
      <c r="A244">
        <v>202103</v>
      </c>
      <c r="B244">
        <v>6.4893999999999993E-2</v>
      </c>
      <c r="C244">
        <v>0.120491</v>
      </c>
      <c r="D244">
        <v>5.0403999999999997E-2</v>
      </c>
      <c r="E244">
        <v>3.1600000000000003E-2</v>
      </c>
      <c r="F244">
        <v>-2.3300000000000001E-2</v>
      </c>
      <c r="G244">
        <v>7.3499999999999996E-2</v>
      </c>
    </row>
    <row r="245" spans="1:7" x14ac:dyDescent="0.2">
      <c r="A245">
        <v>202104</v>
      </c>
      <c r="B245">
        <v>5.7875999999999997E-2</v>
      </c>
      <c r="C245">
        <v>6.4685999999999994E-2</v>
      </c>
      <c r="D245">
        <v>2.8169E-2</v>
      </c>
      <c r="E245">
        <v>4.9500000000000002E-2</v>
      </c>
      <c r="F245">
        <v>-3.1899999999999998E-2</v>
      </c>
      <c r="G245">
        <v>-1.0200000000000001E-2</v>
      </c>
    </row>
    <row r="246" spans="1:7" x14ac:dyDescent="0.2">
      <c r="A246">
        <v>202105</v>
      </c>
      <c r="B246">
        <v>1.6608999999999999E-2</v>
      </c>
      <c r="C246">
        <v>2.4669E-2</v>
      </c>
      <c r="D246">
        <v>-2.1026E-2</v>
      </c>
      <c r="E246">
        <v>3.0000000000000001E-3</v>
      </c>
      <c r="F246">
        <v>-2E-3</v>
      </c>
      <c r="G246">
        <v>7.0400000000000004E-2</v>
      </c>
    </row>
    <row r="247" spans="1:7" x14ac:dyDescent="0.2">
      <c r="A247">
        <v>202106</v>
      </c>
      <c r="B247">
        <v>4.5998999999999998E-2</v>
      </c>
      <c r="C247">
        <v>1.9827000000000001E-2</v>
      </c>
      <c r="D247">
        <v>-0.136186</v>
      </c>
      <c r="E247">
        <v>2.7400000000000001E-2</v>
      </c>
      <c r="F247">
        <v>1.7000000000000001E-2</v>
      </c>
      <c r="G247">
        <v>-7.8600000000000003E-2</v>
      </c>
    </row>
    <row r="248" spans="1:7" x14ac:dyDescent="0.2">
      <c r="A248">
        <v>202107</v>
      </c>
      <c r="B248">
        <v>8.8053000000000006E-2</v>
      </c>
      <c r="C248">
        <v>-3.8406000000000003E-2</v>
      </c>
      <c r="D248">
        <v>-4.8408E-2</v>
      </c>
      <c r="E248">
        <v>1.34E-2</v>
      </c>
      <c r="F248">
        <v>-3.9300000000000002E-2</v>
      </c>
      <c r="G248">
        <v>-1.7899999999999999E-2</v>
      </c>
    </row>
    <row r="249" spans="1:7" x14ac:dyDescent="0.2">
      <c r="A249">
        <v>202108</v>
      </c>
      <c r="B249">
        <v>5.9969000000000001E-2</v>
      </c>
      <c r="C249">
        <v>7.2360000000000002E-3</v>
      </c>
      <c r="D249">
        <v>-1.4648E-2</v>
      </c>
      <c r="E249">
        <v>2.9399999999999999E-2</v>
      </c>
      <c r="F249">
        <v>-3.2000000000000002E-3</v>
      </c>
      <c r="G249">
        <v>-2.3E-3</v>
      </c>
    </row>
    <row r="250" spans="1:7" x14ac:dyDescent="0.2">
      <c r="A250">
        <v>202109</v>
      </c>
      <c r="B250">
        <v>-1.3480000000000001E-2</v>
      </c>
      <c r="C250">
        <v>-1.0047E-2</v>
      </c>
      <c r="D250">
        <v>3.3146000000000002E-2</v>
      </c>
      <c r="E250">
        <v>-4.3999999999999997E-2</v>
      </c>
      <c r="F250">
        <v>6.6E-3</v>
      </c>
      <c r="G250">
        <v>5.1200000000000002E-2</v>
      </c>
    </row>
    <row r="251" spans="1:7" x14ac:dyDescent="0.2">
      <c r="A251">
        <v>202110</v>
      </c>
      <c r="B251">
        <v>9.5648999999999998E-2</v>
      </c>
      <c r="C251">
        <v>-9.9545999999999996E-2</v>
      </c>
      <c r="D251">
        <v>-8.0692E-2</v>
      </c>
      <c r="E251">
        <v>6.6299999999999998E-2</v>
      </c>
      <c r="F251">
        <v>-2.2700000000000001E-2</v>
      </c>
      <c r="G251">
        <v>-5.3E-3</v>
      </c>
    </row>
    <row r="252" spans="1:7" x14ac:dyDescent="0.2">
      <c r="A252">
        <v>202111</v>
      </c>
      <c r="B252">
        <v>9.7326999999999997E-2</v>
      </c>
      <c r="C252">
        <v>-9.4009999999999996E-3</v>
      </c>
      <c r="D252">
        <v>-6.0914000000000003E-2</v>
      </c>
      <c r="E252">
        <v>-1.5800000000000002E-2</v>
      </c>
      <c r="F252">
        <v>-1.3100000000000001E-2</v>
      </c>
      <c r="G252">
        <v>-3.7000000000000002E-3</v>
      </c>
    </row>
    <row r="253" spans="1:7" x14ac:dyDescent="0.2">
      <c r="A253">
        <v>202112</v>
      </c>
      <c r="B253">
        <v>5.2505000000000003E-2</v>
      </c>
      <c r="C253">
        <v>0.14141799999999999</v>
      </c>
      <c r="D253">
        <v>-3.5135E-2</v>
      </c>
      <c r="E253">
        <v>3.2300000000000002E-2</v>
      </c>
      <c r="F253">
        <v>-1.6299999999999999E-2</v>
      </c>
      <c r="G253">
        <v>3.2599999999999997E-2</v>
      </c>
    </row>
    <row r="254" spans="1:7" x14ac:dyDescent="0.2">
      <c r="A254">
        <v>202201</v>
      </c>
      <c r="B254">
        <v>-0.110217</v>
      </c>
      <c r="C254">
        <v>-6.7299999999999999E-4</v>
      </c>
      <c r="D254">
        <v>4.4817999999999997E-2</v>
      </c>
      <c r="E254">
        <v>-6.1600000000000002E-2</v>
      </c>
      <c r="F254">
        <v>-5.9299999999999999E-2</v>
      </c>
      <c r="G254">
        <v>0.12859999999999999</v>
      </c>
    </row>
    <row r="255" spans="1:7" x14ac:dyDescent="0.2">
      <c r="A255">
        <v>202202</v>
      </c>
      <c r="B255">
        <v>2.9517000000000002E-2</v>
      </c>
      <c r="C255">
        <v>-7.0525000000000004E-2</v>
      </c>
      <c r="D255">
        <v>-2.1447999999999998E-2</v>
      </c>
      <c r="E255">
        <v>-2.2800000000000001E-2</v>
      </c>
      <c r="F255">
        <v>2.1600000000000001E-2</v>
      </c>
      <c r="G255">
        <v>3.0599999999999999E-2</v>
      </c>
    </row>
    <row r="256" spans="1:7" x14ac:dyDescent="0.2">
      <c r="A256">
        <v>202203</v>
      </c>
      <c r="B256">
        <v>0.109003</v>
      </c>
      <c r="C256">
        <v>6.1301000000000001E-2</v>
      </c>
      <c r="D256">
        <v>4.5662000000000001E-2</v>
      </c>
      <c r="E256">
        <v>3.0800000000000001E-2</v>
      </c>
      <c r="F256">
        <v>-1.55E-2</v>
      </c>
      <c r="G256">
        <v>-1.9E-2</v>
      </c>
    </row>
    <row r="257" spans="1:7" x14ac:dyDescent="0.2">
      <c r="A257">
        <v>202204</v>
      </c>
      <c r="B257">
        <v>-7.5072E-2</v>
      </c>
      <c r="C257">
        <v>1.6844000000000001E-2</v>
      </c>
      <c r="D257">
        <v>2.0087000000000001E-2</v>
      </c>
      <c r="E257">
        <v>-9.4100000000000003E-2</v>
      </c>
      <c r="F257">
        <v>-1.35E-2</v>
      </c>
      <c r="G257">
        <v>6.1800000000000001E-2</v>
      </c>
    </row>
    <row r="258" spans="1:7" x14ac:dyDescent="0.2">
      <c r="A258">
        <v>202205</v>
      </c>
      <c r="B258">
        <v>-0.123185</v>
      </c>
      <c r="C258">
        <v>6.2628000000000003E-2</v>
      </c>
      <c r="D258">
        <v>-1.8408000000000001E-2</v>
      </c>
      <c r="E258">
        <v>-3.3999999999999998E-3</v>
      </c>
      <c r="F258">
        <v>-1.84E-2</v>
      </c>
      <c r="G258">
        <v>8.4400000000000003E-2</v>
      </c>
    </row>
    <row r="259" spans="1:7" x14ac:dyDescent="0.2">
      <c r="A259">
        <v>202206</v>
      </c>
      <c r="B259">
        <v>2.8013E-2</v>
      </c>
      <c r="C259">
        <v>1.6926E-2</v>
      </c>
      <c r="D259">
        <v>-0.21238599999999999</v>
      </c>
      <c r="E259">
        <v>-8.4000000000000005E-2</v>
      </c>
      <c r="F259">
        <v>2.07E-2</v>
      </c>
      <c r="G259">
        <v>-0.06</v>
      </c>
    </row>
    <row r="260" spans="1:7" x14ac:dyDescent="0.2">
      <c r="A260">
        <v>202207</v>
      </c>
      <c r="B260">
        <v>0.13128000000000001</v>
      </c>
      <c r="C260">
        <v>-7.3660000000000003E-2</v>
      </c>
      <c r="D260">
        <v>5.5370999999999997E-2</v>
      </c>
      <c r="E260">
        <v>9.5699999999999993E-2</v>
      </c>
      <c r="F260">
        <v>2.8400000000000002E-2</v>
      </c>
      <c r="G260">
        <v>-4.1500000000000002E-2</v>
      </c>
    </row>
    <row r="261" spans="1:7" x14ac:dyDescent="0.2">
      <c r="A261">
        <v>202208</v>
      </c>
      <c r="B261">
        <v>-3.5470000000000002E-2</v>
      </c>
      <c r="C261">
        <v>-5.2760000000000003E-3</v>
      </c>
      <c r="D261">
        <v>-3.7250999999999999E-2</v>
      </c>
      <c r="E261">
        <v>-3.7699999999999997E-2</v>
      </c>
      <c r="F261">
        <v>1.41E-2</v>
      </c>
      <c r="G261">
        <v>1.8E-3</v>
      </c>
    </row>
    <row r="262" spans="1:7" x14ac:dyDescent="0.2">
      <c r="A262">
        <v>202209</v>
      </c>
      <c r="B262">
        <v>-9.5440999999999998E-2</v>
      </c>
      <c r="C262">
        <v>-7.5049000000000005E-2</v>
      </c>
      <c r="D262">
        <v>-0.15967300000000001</v>
      </c>
      <c r="E262">
        <v>-9.3399999999999997E-2</v>
      </c>
      <c r="F262">
        <v>-7.6E-3</v>
      </c>
      <c r="G262">
        <v>2.9999999999999997E-4</v>
      </c>
    </row>
    <row r="263" spans="1:7" x14ac:dyDescent="0.2">
      <c r="A263">
        <v>202210</v>
      </c>
      <c r="B263">
        <v>6.3797999999999994E-2</v>
      </c>
      <c r="C263">
        <v>0.16395899999999999</v>
      </c>
      <c r="D263">
        <v>0.17866399999999999</v>
      </c>
      <c r="E263">
        <v>7.85E-2</v>
      </c>
      <c r="F263">
        <v>1E-4</v>
      </c>
      <c r="G263">
        <v>7.9699999999999993E-2</v>
      </c>
    </row>
    <row r="264" spans="1:7" x14ac:dyDescent="0.2">
      <c r="A264">
        <v>202211</v>
      </c>
      <c r="B264">
        <v>7.5273999999999994E-2</v>
      </c>
      <c r="C264">
        <v>8.8653999999999997E-2</v>
      </c>
      <c r="D264">
        <v>9.7936999999999996E-2</v>
      </c>
      <c r="E264">
        <v>4.65E-2</v>
      </c>
      <c r="F264">
        <v>-3.5700000000000003E-2</v>
      </c>
      <c r="G264">
        <v>1.4800000000000001E-2</v>
      </c>
    </row>
    <row r="265" spans="1:7" x14ac:dyDescent="0.2">
      <c r="A265">
        <v>202212</v>
      </c>
      <c r="B265">
        <v>-0.15345400000000001</v>
      </c>
      <c r="C265">
        <v>-5.3794000000000002E-2</v>
      </c>
      <c r="D265">
        <v>-0.15635199999999999</v>
      </c>
      <c r="E265">
        <v>-6.3799999999999996E-2</v>
      </c>
      <c r="F265">
        <v>-7.6E-3</v>
      </c>
      <c r="G265">
        <v>1.34E-2</v>
      </c>
    </row>
    <row r="266" spans="1:7" x14ac:dyDescent="0.2">
      <c r="A266">
        <v>202301</v>
      </c>
      <c r="B266">
        <v>0.11969299999999999</v>
      </c>
      <c r="C266">
        <v>-4.3721999999999997E-2</v>
      </c>
      <c r="D266">
        <v>6.7715999999999998E-2</v>
      </c>
      <c r="E266">
        <v>6.6100000000000006E-2</v>
      </c>
      <c r="F266">
        <v>5.0099999999999999E-2</v>
      </c>
      <c r="G266">
        <v>-3.9399999999999998E-2</v>
      </c>
    </row>
    <row r="267" spans="1:7" x14ac:dyDescent="0.2">
      <c r="A267">
        <v>202302</v>
      </c>
      <c r="B267">
        <v>-5.0984000000000002E-2</v>
      </c>
      <c r="C267">
        <v>-2.8056000000000001E-2</v>
      </c>
      <c r="D267">
        <v>-6.1224000000000001E-2</v>
      </c>
      <c r="E267">
        <v>-2.5700000000000001E-2</v>
      </c>
      <c r="F267">
        <v>1.0500000000000001E-2</v>
      </c>
      <c r="G267">
        <v>-8.0000000000000002E-3</v>
      </c>
    </row>
    <row r="268" spans="1:7" x14ac:dyDescent="0.2">
      <c r="A268">
        <v>202303</v>
      </c>
      <c r="B268">
        <v>2.6209E-2</v>
      </c>
      <c r="C268">
        <v>1.3844E-2</v>
      </c>
      <c r="D268">
        <v>-2.5610999999999998E-2</v>
      </c>
      <c r="E268">
        <v>2.4799999999999999E-2</v>
      </c>
      <c r="F268">
        <v>-5.4800000000000001E-2</v>
      </c>
      <c r="G268">
        <v>-9.0499999999999997E-2</v>
      </c>
    </row>
    <row r="269" spans="1:7" x14ac:dyDescent="0.2">
      <c r="A269">
        <v>202304</v>
      </c>
      <c r="B269">
        <v>1.278E-2</v>
      </c>
      <c r="C269">
        <v>-3.5700999999999997E-2</v>
      </c>
      <c r="D269">
        <v>-6.9145999999999999E-2</v>
      </c>
      <c r="E269">
        <v>6.1999999999999998E-3</v>
      </c>
      <c r="F269">
        <v>-3.3700000000000001E-2</v>
      </c>
      <c r="G269">
        <v>-1.1999999999999999E-3</v>
      </c>
    </row>
    <row r="270" spans="1:7" x14ac:dyDescent="0.2">
      <c r="A270">
        <v>202305</v>
      </c>
      <c r="B270">
        <v>1.8599999999999998E-2</v>
      </c>
      <c r="C270">
        <v>3.0377000000000001E-2</v>
      </c>
      <c r="D270">
        <v>-1.3866E-2</v>
      </c>
      <c r="E270">
        <v>3.3999999999999998E-3</v>
      </c>
      <c r="F270">
        <v>1.6E-2</v>
      </c>
      <c r="G270">
        <v>-7.7899999999999997E-2</v>
      </c>
    </row>
    <row r="271" spans="1:7" x14ac:dyDescent="0.2">
      <c r="A271">
        <v>202306</v>
      </c>
      <c r="B271">
        <v>5.2428000000000002E-2</v>
      </c>
      <c r="C271">
        <v>4.0593999999999998E-2</v>
      </c>
      <c r="D271">
        <v>0.218279</v>
      </c>
      <c r="E271">
        <v>6.4600000000000005E-2</v>
      </c>
      <c r="F271">
        <v>1.49E-2</v>
      </c>
      <c r="G271">
        <v>-1.2999999999999999E-3</v>
      </c>
    </row>
    <row r="272" spans="1:7" x14ac:dyDescent="0.2">
      <c r="A272">
        <v>202307</v>
      </c>
      <c r="B272">
        <v>4.1402000000000001E-2</v>
      </c>
      <c r="C272">
        <v>7.7497999999999997E-2</v>
      </c>
      <c r="D272">
        <v>-5.6613999999999998E-2</v>
      </c>
      <c r="E272">
        <v>3.2099999999999997E-2</v>
      </c>
      <c r="F272">
        <v>2.0500000000000001E-2</v>
      </c>
      <c r="G272">
        <v>4.0599999999999997E-2</v>
      </c>
    </row>
    <row r="273" spans="1:7" x14ac:dyDescent="0.2">
      <c r="A273">
        <v>202308</v>
      </c>
      <c r="B273">
        <v>-1.8495999999999999E-2</v>
      </c>
      <c r="C273">
        <v>2.9892999999999999E-2</v>
      </c>
      <c r="D273">
        <v>-7.4940999999999994E-2</v>
      </c>
      <c r="E273">
        <v>-2.3599999999999999E-2</v>
      </c>
      <c r="F273">
        <v>-3.1399999999999997E-2</v>
      </c>
      <c r="G273">
        <v>-1.15E-2</v>
      </c>
    </row>
    <row r="274" spans="1:7" x14ac:dyDescent="0.2">
      <c r="A274">
        <v>202309</v>
      </c>
      <c r="B274">
        <v>2.8545999999999998E-2</v>
      </c>
      <c r="C274">
        <v>-4.4472999999999999E-2</v>
      </c>
      <c r="D274">
        <v>-0.137658</v>
      </c>
      <c r="E274">
        <v>-5.2299999999999999E-2</v>
      </c>
      <c r="F274">
        <v>-2.5100000000000001E-2</v>
      </c>
      <c r="G274">
        <v>1.49E-2</v>
      </c>
    </row>
    <row r="275" spans="1:7" x14ac:dyDescent="0.2">
      <c r="A275">
        <v>202310</v>
      </c>
      <c r="B275">
        <v>-2.2161E-2</v>
      </c>
      <c r="C275">
        <v>3.0934E-2</v>
      </c>
      <c r="D275">
        <v>-0.17879600000000001</v>
      </c>
      <c r="E275">
        <v>-3.15E-2</v>
      </c>
      <c r="F275">
        <v>-3.8600000000000002E-2</v>
      </c>
      <c r="G275">
        <v>2E-3</v>
      </c>
    </row>
    <row r="276" spans="1:7" x14ac:dyDescent="0.2">
      <c r="A276">
        <v>202311</v>
      </c>
      <c r="B276">
        <v>7.4795E-2</v>
      </c>
      <c r="C276">
        <v>0.10771600000000001</v>
      </c>
      <c r="D276">
        <v>0.15024699999999999</v>
      </c>
      <c r="E276">
        <v>8.8800000000000004E-2</v>
      </c>
      <c r="F276">
        <v>-1E-3</v>
      </c>
      <c r="G276">
        <v>1.67E-2</v>
      </c>
    </row>
    <row r="277" spans="1:7" x14ac:dyDescent="0.2">
      <c r="A277">
        <v>202312</v>
      </c>
      <c r="B277">
        <v>0.13891400000000001</v>
      </c>
      <c r="C277">
        <v>3.1470999999999999E-2</v>
      </c>
      <c r="D277">
        <v>0.136488</v>
      </c>
      <c r="E277">
        <v>4.8500000000000001E-2</v>
      </c>
      <c r="F277">
        <v>6.3E-2</v>
      </c>
      <c r="G277">
        <v>4.8899999999999999E-2</v>
      </c>
    </row>
    <row r="278" spans="1:7" x14ac:dyDescent="0.2">
      <c r="A278">
        <v>202401</v>
      </c>
      <c r="B278">
        <v>5.2720999999999997E-2</v>
      </c>
      <c r="C278">
        <v>0.122959</v>
      </c>
      <c r="D278">
        <v>3.4972000000000003E-2</v>
      </c>
      <c r="E278">
        <v>7.3000000000000001E-3</v>
      </c>
      <c r="F278">
        <v>-5.0700000000000002E-2</v>
      </c>
      <c r="G278">
        <v>-2.3800000000000002E-2</v>
      </c>
    </row>
    <row r="279" spans="1:7" x14ac:dyDescent="0.2">
      <c r="A279">
        <v>202402</v>
      </c>
      <c r="B279">
        <v>7.1998000000000006E-2</v>
      </c>
      <c r="C279">
        <v>1.6497999999999999E-2</v>
      </c>
      <c r="D279">
        <v>0.146537</v>
      </c>
      <c r="E279">
        <v>5.0700000000000002E-2</v>
      </c>
      <c r="F279">
        <v>-2.3999999999999998E-3</v>
      </c>
      <c r="G279">
        <v>-3.4299999999999997E-2</v>
      </c>
    </row>
    <row r="280" spans="1:7" x14ac:dyDescent="0.2">
      <c r="A280">
        <v>202403</v>
      </c>
      <c r="B280">
        <v>-1.5136999999999999E-2</v>
      </c>
      <c r="C280">
        <v>3.2049000000000001E-2</v>
      </c>
      <c r="D280">
        <v>-0.142982</v>
      </c>
      <c r="E280">
        <v>2.8400000000000002E-2</v>
      </c>
      <c r="F280">
        <v>-2.5000000000000001E-2</v>
      </c>
      <c r="G280">
        <v>4.1599999999999998E-2</v>
      </c>
    </row>
    <row r="281" spans="1:7" x14ac:dyDescent="0.2">
      <c r="A281">
        <v>202404</v>
      </c>
      <c r="B281">
        <v>-1.1698E-2</v>
      </c>
      <c r="C281">
        <v>-0.129661</v>
      </c>
      <c r="D281">
        <v>-0.11133899999999999</v>
      </c>
      <c r="E281">
        <v>-4.65E-2</v>
      </c>
      <c r="F281">
        <v>-2.3699999999999999E-2</v>
      </c>
      <c r="G281">
        <v>-4.4999999999999997E-3</v>
      </c>
    </row>
    <row r="282" spans="1:7" x14ac:dyDescent="0.2">
      <c r="A282">
        <v>202405</v>
      </c>
      <c r="B282">
        <v>0.120335</v>
      </c>
      <c r="C282">
        <v>1.3958999999999999E-2</v>
      </c>
      <c r="D282">
        <v>3.4694999999999997E-2</v>
      </c>
      <c r="E282">
        <v>4.3299999999999998E-2</v>
      </c>
      <c r="F282">
        <v>5.4999999999999997E-3</v>
      </c>
      <c r="G282">
        <v>-1.3100000000000001E-2</v>
      </c>
    </row>
    <row r="283" spans="1:7" x14ac:dyDescent="0.2">
      <c r="A283">
        <v>202406</v>
      </c>
      <c r="B283">
        <v>4.9513000000000001E-2</v>
      </c>
      <c r="C283">
        <v>3.6560000000000002E-2</v>
      </c>
      <c r="D283">
        <v>7.2652999999999995E-2</v>
      </c>
      <c r="E283">
        <v>2.8000000000000001E-2</v>
      </c>
      <c r="F283">
        <v>-0.03</v>
      </c>
      <c r="G283">
        <v>-3.3599999999999998E-2</v>
      </c>
    </row>
    <row r="284" spans="1:7" x14ac:dyDescent="0.2">
      <c r="A284">
        <v>202407</v>
      </c>
      <c r="B284">
        <v>-3.1565000000000003E-2</v>
      </c>
      <c r="C284">
        <v>0.110957</v>
      </c>
      <c r="D284">
        <v>-5.8370999999999999E-2</v>
      </c>
      <c r="E284">
        <v>1.2200000000000001E-2</v>
      </c>
      <c r="F284">
        <v>6.8099999999999994E-2</v>
      </c>
      <c r="G284">
        <v>5.62E-2</v>
      </c>
    </row>
    <row r="285" spans="1:7" x14ac:dyDescent="0.2">
      <c r="A285">
        <v>202408</v>
      </c>
      <c r="B285">
        <v>8.5620000000000002E-2</v>
      </c>
      <c r="C285">
        <v>6.0685000000000003E-2</v>
      </c>
      <c r="D285">
        <v>7.3497000000000007E-2</v>
      </c>
      <c r="E285">
        <v>1.6E-2</v>
      </c>
      <c r="F285">
        <v>-3.49E-2</v>
      </c>
      <c r="G285">
        <v>-1.0999999999999999E-2</v>
      </c>
    </row>
    <row r="286" spans="1:7" x14ac:dyDescent="0.2">
      <c r="A286">
        <v>202409</v>
      </c>
      <c r="B286">
        <v>-6.5669999999999999E-3</v>
      </c>
      <c r="C286">
        <v>9.3752000000000002E-2</v>
      </c>
      <c r="D286">
        <v>3.0775E-2</v>
      </c>
      <c r="E286">
        <v>1.72E-2</v>
      </c>
      <c r="F286">
        <v>-1.2999999999999999E-3</v>
      </c>
      <c r="G286">
        <v>-2.7699999999999999E-2</v>
      </c>
    </row>
    <row r="287" spans="1:7" x14ac:dyDescent="0.2">
      <c r="A287">
        <v>202410</v>
      </c>
      <c r="B287">
        <v>-1.392E-2</v>
      </c>
      <c r="C287">
        <v>-6.4953999999999998E-2</v>
      </c>
      <c r="D287">
        <v>3.2062E-2</v>
      </c>
      <c r="E287">
        <v>-0.01</v>
      </c>
      <c r="F287">
        <v>-9.9000000000000008E-3</v>
      </c>
      <c r="G287">
        <v>8.6E-3</v>
      </c>
    </row>
    <row r="288" spans="1:7" x14ac:dyDescent="0.2">
      <c r="A288">
        <v>202411</v>
      </c>
      <c r="B288">
        <v>0.113089</v>
      </c>
      <c r="C288">
        <v>0.108166</v>
      </c>
      <c r="D288">
        <v>5.8208000000000003E-2</v>
      </c>
      <c r="E288">
        <v>6.4899999999999999E-2</v>
      </c>
      <c r="F288">
        <v>4.4600000000000001E-2</v>
      </c>
      <c r="G288">
        <v>1.5E-3</v>
      </c>
    </row>
    <row r="289" spans="1:7" x14ac:dyDescent="0.2">
      <c r="A289">
        <v>202412</v>
      </c>
      <c r="B289">
        <v>-5.7218999999999999E-2</v>
      </c>
      <c r="C289">
        <v>-3.3332000000000001E-2</v>
      </c>
      <c r="D289">
        <v>4.4498999999999997E-2</v>
      </c>
      <c r="E289">
        <v>-3.1699999999999999E-2</v>
      </c>
      <c r="F289">
        <v>-2.7099999999999999E-2</v>
      </c>
      <c r="G289">
        <v>-0.03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ECF46-C553-8942-9375-86F38F33493E}">
  <dimension ref="A1:N83"/>
  <sheetViews>
    <sheetView tabSelected="1" topLeftCell="A70" zoomScale="156" zoomScaleNormal="156" workbookViewId="0">
      <selection activeCell="G88" sqref="G88"/>
    </sheetView>
  </sheetViews>
  <sheetFormatPr baseColWidth="10" defaultRowHeight="16" x14ac:dyDescent="0.2"/>
  <cols>
    <col min="1" max="1" width="10.83203125" style="56"/>
  </cols>
  <sheetData>
    <row r="1" spans="1:14" x14ac:dyDescent="0.2">
      <c r="A1" s="49" t="s">
        <v>49</v>
      </c>
      <c r="B1" s="50"/>
      <c r="C1" s="50"/>
      <c r="D1" s="50"/>
      <c r="E1" s="50"/>
      <c r="F1" s="50"/>
      <c r="G1" s="50"/>
      <c r="H1" s="50"/>
      <c r="I1" s="50"/>
      <c r="J1" s="50"/>
      <c r="K1" s="50"/>
      <c r="L1" s="50"/>
      <c r="M1" s="50"/>
      <c r="N1" s="51"/>
    </row>
    <row r="2" spans="1:14" x14ac:dyDescent="0.2">
      <c r="A2" s="52" t="s">
        <v>9</v>
      </c>
      <c r="B2" s="53"/>
      <c r="C2" s="53"/>
      <c r="D2" s="53"/>
      <c r="E2" s="53"/>
      <c r="F2" s="53"/>
      <c r="G2" s="53"/>
      <c r="H2" s="53"/>
      <c r="I2" s="53"/>
      <c r="J2" s="53"/>
      <c r="K2" s="53"/>
      <c r="L2" s="53"/>
      <c r="M2" s="53"/>
      <c r="N2" s="54"/>
    </row>
    <row r="3" spans="1:14" x14ac:dyDescent="0.2">
      <c r="A3" s="40" t="s">
        <v>50</v>
      </c>
      <c r="B3" s="41"/>
      <c r="C3" s="41"/>
      <c r="D3" s="41"/>
      <c r="E3" s="41"/>
      <c r="F3" s="41"/>
      <c r="G3" s="41"/>
      <c r="H3" s="41"/>
      <c r="I3" s="41"/>
      <c r="J3" s="41"/>
      <c r="K3" s="41"/>
      <c r="L3" s="41"/>
      <c r="M3" s="41"/>
      <c r="N3" s="42"/>
    </row>
    <row r="4" spans="1:14" x14ac:dyDescent="0.2">
      <c r="A4" s="15" t="s">
        <v>24</v>
      </c>
      <c r="J4" s="43" t="s">
        <v>53</v>
      </c>
      <c r="K4" s="43"/>
      <c r="L4" s="43"/>
      <c r="M4" s="43"/>
      <c r="N4" s="45"/>
    </row>
    <row r="5" spans="1:14" ht="17" thickBot="1" x14ac:dyDescent="0.25">
      <c r="A5" s="15"/>
      <c r="J5" s="43"/>
      <c r="K5" s="43"/>
      <c r="L5" s="43"/>
      <c r="M5" s="43"/>
      <c r="N5" s="45"/>
    </row>
    <row r="6" spans="1:14" x14ac:dyDescent="0.2">
      <c r="A6" s="16" t="s">
        <v>25</v>
      </c>
      <c r="B6" s="14"/>
      <c r="J6" s="43"/>
      <c r="K6" s="43"/>
      <c r="L6" s="43"/>
      <c r="M6" s="43"/>
      <c r="N6" s="45"/>
    </row>
    <row r="7" spans="1:14" x14ac:dyDescent="0.2">
      <c r="A7" s="15" t="s">
        <v>26</v>
      </c>
      <c r="B7">
        <v>0.5849100523076628</v>
      </c>
      <c r="J7" s="43"/>
      <c r="K7" s="43"/>
      <c r="L7" s="43"/>
      <c r="M7" s="43"/>
      <c r="N7" s="45"/>
    </row>
    <row r="8" spans="1:14" x14ac:dyDescent="0.2">
      <c r="A8" s="15" t="s">
        <v>27</v>
      </c>
      <c r="B8">
        <v>0.34211976929055288</v>
      </c>
      <c r="J8" s="43"/>
      <c r="K8" s="43"/>
      <c r="L8" s="43"/>
      <c r="M8" s="43"/>
      <c r="N8" s="45"/>
    </row>
    <row r="9" spans="1:14" x14ac:dyDescent="0.2">
      <c r="A9" s="15" t="s">
        <v>28</v>
      </c>
      <c r="B9">
        <v>0.33517033023376297</v>
      </c>
      <c r="J9" s="43"/>
      <c r="K9" s="43"/>
      <c r="L9" s="43"/>
      <c r="M9" s="43"/>
      <c r="N9" s="45"/>
    </row>
    <row r="10" spans="1:14" x14ac:dyDescent="0.2">
      <c r="A10" s="15" t="s">
        <v>29</v>
      </c>
      <c r="B10">
        <v>4.8554503012305079E-2</v>
      </c>
      <c r="J10" s="43"/>
      <c r="K10" s="43"/>
      <c r="L10" s="43"/>
      <c r="M10" s="43"/>
      <c r="N10" s="45"/>
    </row>
    <row r="11" spans="1:14" ht="17" thickBot="1" x14ac:dyDescent="0.25">
      <c r="A11" s="17" t="s">
        <v>30</v>
      </c>
      <c r="B11" s="12">
        <v>288</v>
      </c>
      <c r="J11" s="43"/>
      <c r="K11" s="43"/>
      <c r="L11" s="43"/>
      <c r="M11" s="43"/>
      <c r="N11" s="45"/>
    </row>
    <row r="12" spans="1:14" x14ac:dyDescent="0.2">
      <c r="A12" s="15"/>
      <c r="J12" s="43"/>
      <c r="K12" s="43"/>
      <c r="L12" s="43"/>
      <c r="M12" s="43"/>
      <c r="N12" s="45"/>
    </row>
    <row r="13" spans="1:14" ht="17" thickBot="1" x14ac:dyDescent="0.25">
      <c r="A13" s="15" t="s">
        <v>31</v>
      </c>
      <c r="J13" s="43"/>
      <c r="K13" s="43"/>
      <c r="L13" s="43"/>
      <c r="M13" s="43"/>
      <c r="N13" s="45"/>
    </row>
    <row r="14" spans="1:14" x14ac:dyDescent="0.2">
      <c r="A14" s="18"/>
      <c r="B14" s="13" t="s">
        <v>36</v>
      </c>
      <c r="C14" s="13" t="s">
        <v>37</v>
      </c>
      <c r="D14" s="13" t="s">
        <v>38</v>
      </c>
      <c r="E14" s="13" t="s">
        <v>39</v>
      </c>
      <c r="F14" s="13" t="s">
        <v>40</v>
      </c>
      <c r="J14" s="43"/>
      <c r="K14" s="43"/>
      <c r="L14" s="43"/>
      <c r="M14" s="43"/>
      <c r="N14" s="45"/>
    </row>
    <row r="15" spans="1:14" x14ac:dyDescent="0.2">
      <c r="A15" s="15" t="s">
        <v>32</v>
      </c>
      <c r="B15">
        <v>3</v>
      </c>
      <c r="C15">
        <v>0.34818391231654588</v>
      </c>
      <c r="D15">
        <v>0.11606130410551529</v>
      </c>
      <c r="E15">
        <v>49.229839487013777</v>
      </c>
      <c r="F15">
        <v>1.1928189117924522E-25</v>
      </c>
      <c r="J15" s="43"/>
      <c r="K15" s="43"/>
      <c r="L15" s="43"/>
      <c r="M15" s="43"/>
      <c r="N15" s="45"/>
    </row>
    <row r="16" spans="1:14" x14ac:dyDescent="0.2">
      <c r="A16" s="15" t="s">
        <v>33</v>
      </c>
      <c r="B16">
        <v>284</v>
      </c>
      <c r="C16">
        <v>0.66954129262723183</v>
      </c>
      <c r="D16">
        <v>2.3575397627719429E-3</v>
      </c>
      <c r="J16" s="43"/>
      <c r="K16" s="43"/>
      <c r="L16" s="43"/>
      <c r="M16" s="43"/>
      <c r="N16" s="45"/>
    </row>
    <row r="17" spans="1:14" ht="17" thickBot="1" x14ac:dyDescent="0.25">
      <c r="A17" s="17" t="s">
        <v>34</v>
      </c>
      <c r="B17" s="12">
        <v>287</v>
      </c>
      <c r="C17" s="12">
        <v>1.0177252049437777</v>
      </c>
      <c r="D17" s="12"/>
      <c r="E17" s="12"/>
      <c r="F17" s="12"/>
      <c r="J17" s="43"/>
      <c r="K17" s="43"/>
      <c r="L17" s="43"/>
      <c r="M17" s="43"/>
      <c r="N17" s="45"/>
    </row>
    <row r="18" spans="1:14" ht="17" thickBot="1" x14ac:dyDescent="0.25">
      <c r="A18" s="15"/>
      <c r="J18" s="43"/>
      <c r="K18" s="43"/>
      <c r="L18" s="43"/>
      <c r="M18" s="43"/>
      <c r="N18" s="45"/>
    </row>
    <row r="19" spans="1:14" x14ac:dyDescent="0.2">
      <c r="A19" s="18"/>
      <c r="B19" s="21" t="s">
        <v>41</v>
      </c>
      <c r="C19" s="13" t="s">
        <v>29</v>
      </c>
      <c r="D19" s="13" t="s">
        <v>42</v>
      </c>
      <c r="E19" s="13" t="s">
        <v>43</v>
      </c>
      <c r="F19" s="13" t="s">
        <v>44</v>
      </c>
      <c r="G19" s="13" t="s">
        <v>45</v>
      </c>
      <c r="H19" s="13" t="s">
        <v>46</v>
      </c>
      <c r="I19" s="13" t="s">
        <v>47</v>
      </c>
      <c r="J19" s="43"/>
      <c r="K19" s="43"/>
      <c r="L19" s="43"/>
      <c r="M19" s="43"/>
      <c r="N19" s="45"/>
    </row>
    <row r="20" spans="1:14" x14ac:dyDescent="0.2">
      <c r="A20" s="15" t="s">
        <v>35</v>
      </c>
      <c r="B20" s="22">
        <v>9.193164365912096E-3</v>
      </c>
      <c r="C20">
        <v>2.8931459487259812E-3</v>
      </c>
      <c r="D20">
        <v>3.1775667487360519</v>
      </c>
      <c r="E20">
        <v>1.649031605164413E-3</v>
      </c>
      <c r="F20">
        <v>3.4984342933008228E-3</v>
      </c>
      <c r="G20">
        <v>1.4887894438523369E-2</v>
      </c>
      <c r="H20">
        <v>3.4984342933008228E-3</v>
      </c>
      <c r="I20">
        <v>1.4887894438523369E-2</v>
      </c>
      <c r="J20" s="43"/>
      <c r="K20" s="43"/>
      <c r="L20" s="43"/>
      <c r="M20" s="43"/>
      <c r="N20" s="45"/>
    </row>
    <row r="21" spans="1:14" x14ac:dyDescent="0.2">
      <c r="A21" s="15" t="s">
        <v>48</v>
      </c>
      <c r="B21" s="22">
        <v>0.76032467823999605</v>
      </c>
      <c r="C21">
        <v>6.6416138045586312E-2</v>
      </c>
      <c r="D21">
        <v>11.447890537057857</v>
      </c>
      <c r="E21">
        <v>3.3290145055705324E-25</v>
      </c>
      <c r="F21">
        <v>0.62959432956835171</v>
      </c>
      <c r="G21">
        <v>0.89105502691163996</v>
      </c>
      <c r="H21">
        <v>0.62959432956835171</v>
      </c>
      <c r="I21">
        <v>0.89105502691163996</v>
      </c>
      <c r="J21" s="43"/>
      <c r="K21" s="43"/>
      <c r="L21" s="43"/>
      <c r="M21" s="43"/>
      <c r="N21" s="45"/>
    </row>
    <row r="22" spans="1:14" x14ac:dyDescent="0.2">
      <c r="A22" s="15" t="s">
        <v>51</v>
      </c>
      <c r="B22" s="22">
        <v>-6.2977553627755672E-2</v>
      </c>
      <c r="C22">
        <v>0.11402246026728438</v>
      </c>
      <c r="D22">
        <v>-0.55232586176554688</v>
      </c>
      <c r="E22">
        <v>0.58115952091619172</v>
      </c>
      <c r="F22">
        <v>-0.28741390939583039</v>
      </c>
      <c r="G22">
        <v>0.16145880214031907</v>
      </c>
      <c r="H22">
        <v>-0.28741390939583039</v>
      </c>
      <c r="I22">
        <v>0.16145880214031907</v>
      </c>
      <c r="J22" s="43"/>
      <c r="K22" s="43"/>
      <c r="L22" s="43"/>
      <c r="M22" s="43"/>
      <c r="N22" s="45"/>
    </row>
    <row r="23" spans="1:14" x14ac:dyDescent="0.2">
      <c r="A23" s="19" t="s">
        <v>52</v>
      </c>
      <c r="B23" s="22">
        <v>-0.28957945837083482</v>
      </c>
      <c r="C23" s="20">
        <v>8.9820732345831697E-2</v>
      </c>
      <c r="D23" s="20">
        <v>-3.2239712459244196</v>
      </c>
      <c r="E23" s="20">
        <v>1.4117350701018142E-3</v>
      </c>
      <c r="F23" s="20">
        <v>-0.46637829074879383</v>
      </c>
      <c r="G23" s="20">
        <v>-0.11278062599287583</v>
      </c>
      <c r="H23" s="20">
        <v>-0.46637829074879383</v>
      </c>
      <c r="I23" s="20">
        <v>-0.11278062599287583</v>
      </c>
      <c r="J23" s="46"/>
      <c r="K23" s="46"/>
      <c r="L23" s="46"/>
      <c r="M23" s="46"/>
      <c r="N23" s="47"/>
    </row>
    <row r="24" spans="1:14" x14ac:dyDescent="0.2">
      <c r="A24"/>
    </row>
    <row r="25" spans="1:14" x14ac:dyDescent="0.2">
      <c r="A25" s="40" t="s">
        <v>54</v>
      </c>
      <c r="B25" s="41"/>
      <c r="C25" s="41"/>
      <c r="D25" s="41"/>
      <c r="E25" s="41"/>
      <c r="F25" s="41"/>
      <c r="G25" s="41"/>
      <c r="H25" s="41"/>
      <c r="I25" s="41"/>
      <c r="J25" s="41"/>
      <c r="K25" s="41"/>
      <c r="L25" s="41"/>
      <c r="M25" s="41"/>
      <c r="N25" s="42"/>
    </row>
    <row r="26" spans="1:14" x14ac:dyDescent="0.2">
      <c r="A26" t="s">
        <v>24</v>
      </c>
      <c r="J26" s="43" t="s">
        <v>55</v>
      </c>
      <c r="K26" s="43"/>
      <c r="L26" s="43"/>
      <c r="M26" s="43"/>
      <c r="N26" s="43"/>
    </row>
    <row r="27" spans="1:14" ht="17" thickBot="1" x14ac:dyDescent="0.25">
      <c r="A27"/>
      <c r="J27" s="43"/>
      <c r="K27" s="43"/>
      <c r="L27" s="43"/>
      <c r="M27" s="43"/>
      <c r="N27" s="43"/>
    </row>
    <row r="28" spans="1:14" x14ac:dyDescent="0.2">
      <c r="A28" s="14" t="s">
        <v>25</v>
      </c>
      <c r="B28" s="14"/>
      <c r="J28" s="43"/>
      <c r="K28" s="43"/>
      <c r="L28" s="43"/>
      <c r="M28" s="43"/>
      <c r="N28" s="43"/>
    </row>
    <row r="29" spans="1:14" x14ac:dyDescent="0.2">
      <c r="A29" t="s">
        <v>26</v>
      </c>
      <c r="B29">
        <v>0.60066420961384814</v>
      </c>
      <c r="J29" s="43"/>
      <c r="K29" s="43"/>
      <c r="L29" s="43"/>
      <c r="M29" s="43"/>
      <c r="N29" s="43"/>
    </row>
    <row r="30" spans="1:14" x14ac:dyDescent="0.2">
      <c r="A30" t="s">
        <v>27</v>
      </c>
      <c r="B30">
        <v>0.3607974927110289</v>
      </c>
      <c r="J30" s="43"/>
      <c r="K30" s="43"/>
      <c r="L30" s="43"/>
      <c r="M30" s="43"/>
      <c r="N30" s="43"/>
    </row>
    <row r="31" spans="1:14" x14ac:dyDescent="0.2">
      <c r="A31" t="s">
        <v>28</v>
      </c>
      <c r="B31">
        <v>0.35404535354952571</v>
      </c>
      <c r="J31" s="43"/>
      <c r="K31" s="43"/>
      <c r="L31" s="43"/>
      <c r="M31" s="43"/>
      <c r="N31" s="43"/>
    </row>
    <row r="32" spans="1:14" x14ac:dyDescent="0.2">
      <c r="A32" t="s">
        <v>29</v>
      </c>
      <c r="B32">
        <v>5.6416673760042627E-2</v>
      </c>
      <c r="J32" s="43"/>
      <c r="K32" s="43"/>
      <c r="L32" s="43"/>
      <c r="M32" s="43"/>
      <c r="N32" s="43"/>
    </row>
    <row r="33" spans="1:14" ht="17" thickBot="1" x14ac:dyDescent="0.25">
      <c r="A33" s="12" t="s">
        <v>30</v>
      </c>
      <c r="B33" s="12">
        <v>288</v>
      </c>
      <c r="J33" s="43"/>
      <c r="K33" s="43"/>
      <c r="L33" s="43"/>
      <c r="M33" s="43"/>
      <c r="N33" s="43"/>
    </row>
    <row r="34" spans="1:14" x14ac:dyDescent="0.2">
      <c r="A34"/>
      <c r="J34" s="43"/>
      <c r="K34" s="43"/>
      <c r="L34" s="43"/>
      <c r="M34" s="43"/>
      <c r="N34" s="43"/>
    </row>
    <row r="35" spans="1:14" ht="17" thickBot="1" x14ac:dyDescent="0.25">
      <c r="A35" t="s">
        <v>31</v>
      </c>
      <c r="J35" s="43"/>
      <c r="K35" s="43"/>
      <c r="L35" s="43"/>
      <c r="M35" s="43"/>
      <c r="N35" s="43"/>
    </row>
    <row r="36" spans="1:14" x14ac:dyDescent="0.2">
      <c r="A36" s="13"/>
      <c r="B36" s="13" t="s">
        <v>36</v>
      </c>
      <c r="C36" s="13" t="s">
        <v>37</v>
      </c>
      <c r="D36" s="13" t="s">
        <v>38</v>
      </c>
      <c r="E36" s="13" t="s">
        <v>39</v>
      </c>
      <c r="F36" s="13" t="s">
        <v>40</v>
      </c>
      <c r="J36" s="43"/>
      <c r="K36" s="43"/>
      <c r="L36" s="43"/>
      <c r="M36" s="43"/>
      <c r="N36" s="43"/>
    </row>
    <row r="37" spans="1:14" x14ac:dyDescent="0.2">
      <c r="A37" t="s">
        <v>32</v>
      </c>
      <c r="B37">
        <v>3</v>
      </c>
      <c r="C37">
        <v>0.51022100695454775</v>
      </c>
      <c r="D37">
        <v>0.17007366898484924</v>
      </c>
      <c r="E37">
        <v>53.434546309129274</v>
      </c>
      <c r="F37">
        <v>2.0497633527952296E-27</v>
      </c>
      <c r="J37" s="43"/>
      <c r="K37" s="43"/>
      <c r="L37" s="43"/>
      <c r="M37" s="43"/>
      <c r="N37" s="43"/>
    </row>
    <row r="38" spans="1:14" x14ac:dyDescent="0.2">
      <c r="A38" t="s">
        <v>33</v>
      </c>
      <c r="B38">
        <v>284</v>
      </c>
      <c r="C38">
        <v>0.90392686619377149</v>
      </c>
      <c r="D38">
        <v>3.1828410781470826E-3</v>
      </c>
      <c r="J38" s="43"/>
      <c r="K38" s="43"/>
      <c r="L38" s="43"/>
      <c r="M38" s="43"/>
      <c r="N38" s="43"/>
    </row>
    <row r="39" spans="1:14" ht="17" thickBot="1" x14ac:dyDescent="0.25">
      <c r="A39" s="12" t="s">
        <v>34</v>
      </c>
      <c r="B39" s="12">
        <v>287</v>
      </c>
      <c r="C39" s="12">
        <v>1.4141478731483192</v>
      </c>
      <c r="D39" s="12"/>
      <c r="E39" s="12"/>
      <c r="F39" s="12"/>
      <c r="J39" s="43"/>
      <c r="K39" s="43"/>
      <c r="L39" s="43"/>
      <c r="M39" s="43"/>
      <c r="N39" s="43"/>
    </row>
    <row r="40" spans="1:14" ht="17" thickBot="1" x14ac:dyDescent="0.25">
      <c r="A40"/>
      <c r="J40" s="43"/>
      <c r="K40" s="43"/>
      <c r="L40" s="43"/>
      <c r="M40" s="43"/>
      <c r="N40" s="43"/>
    </row>
    <row r="41" spans="1:14" x14ac:dyDescent="0.2">
      <c r="A41" s="13"/>
      <c r="B41" s="21" t="s">
        <v>41</v>
      </c>
      <c r="C41" s="13" t="s">
        <v>29</v>
      </c>
      <c r="D41" s="13" t="s">
        <v>42</v>
      </c>
      <c r="E41" s="13" t="s">
        <v>43</v>
      </c>
      <c r="F41" s="13" t="s">
        <v>44</v>
      </c>
      <c r="G41" s="13" t="s">
        <v>45</v>
      </c>
      <c r="H41" s="13" t="s">
        <v>46</v>
      </c>
      <c r="I41" s="13" t="s">
        <v>47</v>
      </c>
      <c r="J41" s="43"/>
      <c r="K41" s="43"/>
      <c r="L41" s="43"/>
      <c r="M41" s="43"/>
      <c r="N41" s="43"/>
    </row>
    <row r="42" spans="1:14" x14ac:dyDescent="0.2">
      <c r="A42" t="s">
        <v>35</v>
      </c>
      <c r="B42" s="22">
        <v>1.8800272390632066E-3</v>
      </c>
      <c r="C42">
        <v>3.361617584430794E-3</v>
      </c>
      <c r="D42">
        <v>0.55926267394913753</v>
      </c>
      <c r="E42">
        <v>0.57642322175371841</v>
      </c>
      <c r="F42">
        <v>-4.7368199888158076E-3</v>
      </c>
      <c r="G42">
        <v>8.4968744669422207E-3</v>
      </c>
      <c r="H42">
        <v>-4.7368199888158076E-3</v>
      </c>
      <c r="I42">
        <v>8.4968744669422207E-3</v>
      </c>
      <c r="J42" s="43"/>
      <c r="K42" s="43"/>
      <c r="L42" s="43"/>
      <c r="M42" s="43"/>
      <c r="N42" s="43"/>
    </row>
    <row r="43" spans="1:14" x14ac:dyDescent="0.2">
      <c r="A43" t="s">
        <v>48</v>
      </c>
      <c r="B43" s="22">
        <v>0.94847541008584779</v>
      </c>
      <c r="C43">
        <v>7.7170547736225573E-2</v>
      </c>
      <c r="D43">
        <v>12.290639860789952</v>
      </c>
      <c r="E43">
        <v>3.9722573238095256E-28</v>
      </c>
      <c r="F43">
        <v>0.79657659588779828</v>
      </c>
      <c r="G43">
        <v>1.1003742242838974</v>
      </c>
      <c r="H43">
        <v>0.79657659588779828</v>
      </c>
      <c r="I43">
        <v>1.1003742242838974</v>
      </c>
      <c r="J43" s="43"/>
      <c r="K43" s="43"/>
      <c r="L43" s="43"/>
      <c r="M43" s="43"/>
      <c r="N43" s="43"/>
    </row>
    <row r="44" spans="1:14" x14ac:dyDescent="0.2">
      <c r="A44" t="s">
        <v>51</v>
      </c>
      <c r="B44" s="22">
        <v>-0.11287256736486775</v>
      </c>
      <c r="C44">
        <v>0.13248550686609975</v>
      </c>
      <c r="D44">
        <v>-0.85196162233009853</v>
      </c>
      <c r="E44">
        <v>0.39495323523000569</v>
      </c>
      <c r="F44">
        <v>-0.37365070075553264</v>
      </c>
      <c r="G44">
        <v>0.1479055660257971</v>
      </c>
      <c r="H44">
        <v>-0.37365070075553264</v>
      </c>
      <c r="I44">
        <v>0.1479055660257971</v>
      </c>
      <c r="J44" s="43"/>
      <c r="K44" s="43"/>
      <c r="L44" s="43"/>
      <c r="M44" s="43"/>
      <c r="N44" s="43"/>
    </row>
    <row r="45" spans="1:14" ht="17" thickBot="1" x14ac:dyDescent="0.25">
      <c r="A45" s="12" t="s">
        <v>52</v>
      </c>
      <c r="B45" s="22">
        <v>-0.10444828319128642</v>
      </c>
      <c r="C45" s="12">
        <v>0.1043649227005511</v>
      </c>
      <c r="D45" s="12">
        <v>-1.0007987405018686</v>
      </c>
      <c r="E45" s="12">
        <v>0.31777605701171208</v>
      </c>
      <c r="F45" s="12">
        <v>-0.30987520404548569</v>
      </c>
      <c r="G45" s="12">
        <v>0.10097863766291282</v>
      </c>
      <c r="H45" s="12">
        <v>-0.30987520404548569</v>
      </c>
      <c r="I45" s="12">
        <v>0.10097863766291282</v>
      </c>
      <c r="J45" s="43"/>
      <c r="K45" s="43"/>
      <c r="L45" s="43"/>
      <c r="M45" s="43"/>
      <c r="N45" s="43"/>
    </row>
    <row r="46" spans="1:14" x14ac:dyDescent="0.2">
      <c r="A46"/>
    </row>
    <row r="47" spans="1:14" x14ac:dyDescent="0.2">
      <c r="A47" s="40" t="s">
        <v>57</v>
      </c>
      <c r="B47" s="41"/>
      <c r="C47" s="41"/>
      <c r="D47" s="41"/>
      <c r="E47" s="41"/>
      <c r="F47" s="41"/>
      <c r="G47" s="41"/>
      <c r="H47" s="41"/>
      <c r="I47" s="41"/>
      <c r="J47" s="41"/>
      <c r="K47" s="41"/>
      <c r="L47" s="41"/>
      <c r="M47" s="41"/>
      <c r="N47" s="42"/>
    </row>
    <row r="48" spans="1:14" x14ac:dyDescent="0.2">
      <c r="A48" t="s">
        <v>24</v>
      </c>
      <c r="J48" s="43" t="s">
        <v>56</v>
      </c>
      <c r="K48" s="43"/>
      <c r="L48" s="43"/>
      <c r="M48" s="43"/>
      <c r="N48" s="43"/>
    </row>
    <row r="49" spans="1:14" ht="17" thickBot="1" x14ac:dyDescent="0.25">
      <c r="A49"/>
      <c r="J49" s="43"/>
      <c r="K49" s="43"/>
      <c r="L49" s="43"/>
      <c r="M49" s="43"/>
      <c r="N49" s="43"/>
    </row>
    <row r="50" spans="1:14" x14ac:dyDescent="0.2">
      <c r="A50" s="14" t="s">
        <v>25</v>
      </c>
      <c r="B50" s="14"/>
      <c r="J50" s="43"/>
      <c r="K50" s="43"/>
      <c r="L50" s="43"/>
      <c r="M50" s="43"/>
      <c r="N50" s="43"/>
    </row>
    <row r="51" spans="1:14" x14ac:dyDescent="0.2">
      <c r="A51" t="s">
        <v>26</v>
      </c>
      <c r="B51">
        <v>0.57132565944963942</v>
      </c>
      <c r="J51" s="43"/>
      <c r="K51" s="43"/>
      <c r="L51" s="43"/>
      <c r="M51" s="43"/>
      <c r="N51" s="43"/>
    </row>
    <row r="52" spans="1:14" x14ac:dyDescent="0.2">
      <c r="A52" t="s">
        <v>27</v>
      </c>
      <c r="B52">
        <v>0.32641300914556537</v>
      </c>
      <c r="J52" s="43"/>
      <c r="K52" s="43"/>
      <c r="L52" s="43"/>
      <c r="M52" s="43"/>
      <c r="N52" s="43"/>
    </row>
    <row r="53" spans="1:14" x14ac:dyDescent="0.2">
      <c r="A53" t="s">
        <v>28</v>
      </c>
      <c r="B53">
        <v>0.31929765360837059</v>
      </c>
      <c r="J53" s="43"/>
      <c r="K53" s="43"/>
      <c r="L53" s="43"/>
      <c r="M53" s="43"/>
      <c r="N53" s="43"/>
    </row>
    <row r="54" spans="1:14" x14ac:dyDescent="0.2">
      <c r="A54" t="s">
        <v>29</v>
      </c>
      <c r="B54">
        <v>7.633407458651531E-2</v>
      </c>
      <c r="J54" s="43"/>
      <c r="K54" s="43"/>
      <c r="L54" s="43"/>
      <c r="M54" s="43"/>
      <c r="N54" s="43"/>
    </row>
    <row r="55" spans="1:14" ht="17" thickBot="1" x14ac:dyDescent="0.25">
      <c r="A55" s="12" t="s">
        <v>30</v>
      </c>
      <c r="B55" s="12">
        <v>288</v>
      </c>
      <c r="J55" s="43"/>
      <c r="K55" s="43"/>
      <c r="L55" s="43"/>
      <c r="M55" s="43"/>
      <c r="N55" s="43"/>
    </row>
    <row r="56" spans="1:14" x14ac:dyDescent="0.2">
      <c r="A56"/>
      <c r="J56" s="43"/>
      <c r="K56" s="43"/>
      <c r="L56" s="43"/>
      <c r="M56" s="43"/>
      <c r="N56" s="43"/>
    </row>
    <row r="57" spans="1:14" ht="17" thickBot="1" x14ac:dyDescent="0.25">
      <c r="A57" t="s">
        <v>31</v>
      </c>
      <c r="J57" s="43"/>
      <c r="K57" s="43"/>
      <c r="L57" s="43"/>
      <c r="M57" s="43"/>
      <c r="N57" s="43"/>
    </row>
    <row r="58" spans="1:14" x14ac:dyDescent="0.2">
      <c r="A58" s="13"/>
      <c r="B58" s="13" t="s">
        <v>36</v>
      </c>
      <c r="C58" s="13" t="s">
        <v>37</v>
      </c>
      <c r="D58" s="13" t="s">
        <v>38</v>
      </c>
      <c r="E58" s="13" t="s">
        <v>39</v>
      </c>
      <c r="F58" s="13" t="s">
        <v>40</v>
      </c>
      <c r="J58" s="43"/>
      <c r="K58" s="43"/>
      <c r="L58" s="43"/>
      <c r="M58" s="43"/>
      <c r="N58" s="43"/>
    </row>
    <row r="59" spans="1:14" x14ac:dyDescent="0.2">
      <c r="A59" t="s">
        <v>32</v>
      </c>
      <c r="B59">
        <v>3</v>
      </c>
      <c r="C59">
        <v>0.80191622051154821</v>
      </c>
      <c r="D59">
        <v>0.26730540683718274</v>
      </c>
      <c r="E59">
        <v>45.874448218262259</v>
      </c>
      <c r="F59">
        <v>3.3237765285605429E-24</v>
      </c>
      <c r="J59" s="43"/>
      <c r="K59" s="43"/>
      <c r="L59" s="43"/>
      <c r="M59" s="43"/>
      <c r="N59" s="43"/>
    </row>
    <row r="60" spans="1:14" x14ac:dyDescent="0.2">
      <c r="A60" t="s">
        <v>33</v>
      </c>
      <c r="B60">
        <v>284</v>
      </c>
      <c r="C60">
        <v>1.6548370278062297</v>
      </c>
      <c r="D60">
        <v>5.8268909429796817E-3</v>
      </c>
      <c r="J60" s="43"/>
      <c r="K60" s="43"/>
      <c r="L60" s="43"/>
      <c r="M60" s="43"/>
      <c r="N60" s="43"/>
    </row>
    <row r="61" spans="1:14" ht="17" thickBot="1" x14ac:dyDescent="0.25">
      <c r="A61" s="12" t="s">
        <v>34</v>
      </c>
      <c r="B61" s="12">
        <v>287</v>
      </c>
      <c r="C61" s="12">
        <v>2.4567532483177779</v>
      </c>
      <c r="D61" s="12"/>
      <c r="E61" s="12"/>
      <c r="F61" s="12"/>
      <c r="J61" s="43"/>
      <c r="K61" s="43"/>
      <c r="L61" s="43"/>
      <c r="M61" s="43"/>
      <c r="N61" s="43"/>
    </row>
    <row r="62" spans="1:14" ht="17" thickBot="1" x14ac:dyDescent="0.25">
      <c r="A62"/>
      <c r="J62" s="43"/>
      <c r="K62" s="43"/>
      <c r="L62" s="43"/>
      <c r="M62" s="43"/>
      <c r="N62" s="43"/>
    </row>
    <row r="63" spans="1:14" x14ac:dyDescent="0.2">
      <c r="A63" s="13"/>
      <c r="B63" s="21" t="s">
        <v>41</v>
      </c>
      <c r="C63" s="13" t="s">
        <v>29</v>
      </c>
      <c r="D63" s="13" t="s">
        <v>42</v>
      </c>
      <c r="E63" s="13" t="s">
        <v>43</v>
      </c>
      <c r="F63" s="13" t="s">
        <v>44</v>
      </c>
      <c r="G63" s="13" t="s">
        <v>45</v>
      </c>
      <c r="H63" s="13" t="s">
        <v>46</v>
      </c>
      <c r="I63" s="13" t="s">
        <v>47</v>
      </c>
      <c r="J63" s="43"/>
      <c r="K63" s="43"/>
      <c r="L63" s="43"/>
      <c r="M63" s="43"/>
      <c r="N63" s="43"/>
    </row>
    <row r="64" spans="1:14" x14ac:dyDescent="0.2">
      <c r="A64" t="s">
        <v>35</v>
      </c>
      <c r="B64" s="22">
        <v>-1.534616712109629E-3</v>
      </c>
      <c r="C64">
        <v>4.5484065315992443E-3</v>
      </c>
      <c r="D64">
        <v>-0.33739655887136577</v>
      </c>
      <c r="E64">
        <v>0.73606720508119938</v>
      </c>
      <c r="F64">
        <v>-1.0487482525659711E-2</v>
      </c>
      <c r="G64">
        <v>7.4182491014404524E-3</v>
      </c>
      <c r="H64">
        <v>-1.0487482525659711E-2</v>
      </c>
      <c r="I64">
        <v>7.4182491014404524E-3</v>
      </c>
      <c r="J64" s="43"/>
      <c r="K64" s="43"/>
      <c r="L64" s="43"/>
      <c r="M64" s="43"/>
      <c r="N64" s="43"/>
    </row>
    <row r="65" spans="1:14" x14ac:dyDescent="0.2">
      <c r="A65" t="s">
        <v>48</v>
      </c>
      <c r="B65" s="22">
        <v>1.0813881620684076</v>
      </c>
      <c r="C65">
        <v>0.10441491768611549</v>
      </c>
      <c r="D65">
        <v>10.356644299803959</v>
      </c>
      <c r="E65">
        <v>1.5598309084283938E-21</v>
      </c>
      <c r="F65">
        <v>0.87586283347646576</v>
      </c>
      <c r="G65">
        <v>1.2869134906603494</v>
      </c>
      <c r="H65">
        <v>0.87586283347646576</v>
      </c>
      <c r="I65">
        <v>1.2869134906603494</v>
      </c>
      <c r="J65" s="43"/>
      <c r="K65" s="43"/>
      <c r="L65" s="43"/>
      <c r="M65" s="43"/>
      <c r="N65" s="43"/>
    </row>
    <row r="66" spans="1:14" x14ac:dyDescent="0.2">
      <c r="A66" t="s">
        <v>51</v>
      </c>
      <c r="B66" s="22">
        <v>0.109276308646393</v>
      </c>
      <c r="C66">
        <v>0.17925832717050108</v>
      </c>
      <c r="D66">
        <v>0.60960241217946387</v>
      </c>
      <c r="E66">
        <v>0.54261260866690553</v>
      </c>
      <c r="F66">
        <v>-0.24356720654279831</v>
      </c>
      <c r="G66">
        <v>0.46211982383558431</v>
      </c>
      <c r="H66">
        <v>-0.24356720654279831</v>
      </c>
      <c r="I66">
        <v>0.46211982383558431</v>
      </c>
      <c r="J66" s="43"/>
      <c r="K66" s="43"/>
      <c r="L66" s="43"/>
      <c r="M66" s="43"/>
      <c r="N66" s="43"/>
    </row>
    <row r="67" spans="1:14" ht="17" thickBot="1" x14ac:dyDescent="0.25">
      <c r="A67" s="12" t="s">
        <v>52</v>
      </c>
      <c r="B67" s="22">
        <v>0.46611080337709049</v>
      </c>
      <c r="C67" s="12">
        <v>0.14121002290075019</v>
      </c>
      <c r="D67" s="12">
        <v>3.300833707142004</v>
      </c>
      <c r="E67" s="12">
        <v>1.0871350611452819E-3</v>
      </c>
      <c r="F67" s="12">
        <v>0.18815975001901722</v>
      </c>
      <c r="G67" s="12">
        <v>0.74406185673516378</v>
      </c>
      <c r="H67" s="12">
        <v>0.18815975001901722</v>
      </c>
      <c r="I67" s="12">
        <v>0.74406185673516378</v>
      </c>
      <c r="J67" s="43"/>
      <c r="K67" s="43"/>
      <c r="L67" s="43"/>
      <c r="M67" s="43"/>
      <c r="N67" s="43"/>
    </row>
    <row r="68" spans="1:14" x14ac:dyDescent="0.2">
      <c r="A68"/>
    </row>
    <row r="69" spans="1:14" x14ac:dyDescent="0.2">
      <c r="A69" s="44" t="s">
        <v>58</v>
      </c>
      <c r="B69" s="44"/>
      <c r="C69" s="44"/>
      <c r="D69" s="44"/>
      <c r="E69" s="44"/>
      <c r="F69" s="44"/>
      <c r="G69" s="44"/>
      <c r="H69" s="44"/>
      <c r="I69" s="44"/>
      <c r="J69" s="44"/>
      <c r="K69" s="44"/>
      <c r="L69" s="44"/>
      <c r="M69" s="44"/>
      <c r="N69" s="44"/>
    </row>
    <row r="70" spans="1:14" ht="30" customHeight="1" x14ac:dyDescent="0.2">
      <c r="A70" s="48" t="s">
        <v>59</v>
      </c>
      <c r="B70" s="48"/>
      <c r="C70" s="48"/>
      <c r="D70" s="48"/>
      <c r="E70" s="48"/>
    </row>
    <row r="71" spans="1:14" ht="34" x14ac:dyDescent="0.2">
      <c r="A71" s="24"/>
      <c r="B71" s="24" t="s">
        <v>62</v>
      </c>
      <c r="C71" s="24" t="s">
        <v>19</v>
      </c>
      <c r="D71" s="24" t="s">
        <v>63</v>
      </c>
      <c r="E71" s="24" t="s">
        <v>64</v>
      </c>
    </row>
    <row r="72" spans="1:14" x14ac:dyDescent="0.2">
      <c r="A72" s="25" t="s">
        <v>60</v>
      </c>
      <c r="B72" s="26">
        <f>(1+B73)^12-1</f>
        <v>7.098929322823877E-2</v>
      </c>
      <c r="C72" s="26">
        <f>(1+C73)^12-1</f>
        <v>8.7580321676052231E-2</v>
      </c>
      <c r="D72" s="26">
        <f>(1+D73)^12-1</f>
        <v>0.10736970317762151</v>
      </c>
      <c r="E72" s="26">
        <v>0.01</v>
      </c>
    </row>
    <row r="73" spans="1:14" x14ac:dyDescent="0.2">
      <c r="A73" s="55" t="s">
        <v>61</v>
      </c>
      <c r="B73" s="26">
        <f>E73+B21*AVERAGE(MarketDataUnit5__2[F1: Mkt-RF])+'MC 5.6.'!B22*AVERAGE(MarketDataUnit5__2[F2: SMB])+B23*AVERAGE(MarketDataUnit5__2[F3: HML])</f>
        <v>5.7315959706562914E-3</v>
      </c>
      <c r="C73" s="26">
        <f>E73+B43*AVERAGE(MarketDataUnit5__2[F1: Mkt-RF])+'MC 5.6.'!B44*AVERAGE(MarketDataUnit5__2[F2: SMB])+'MC 5.6.'!B45*AVERAGE(MarketDataUnit5__2[F3: HML])</f>
        <v>7.0208094863940676E-3</v>
      </c>
      <c r="D73" s="26">
        <f>E73+B65*AVERAGE(MarketDataUnit5__2[F1: Mkt-RF])+'MC 5.6.'!B66*AVERAGE(MarketDataUnit5__2[F2: SMB])+'MC 5.6.'!B67*AVERAGE(MarketDataUnit5__2[F3: HML])</f>
        <v>8.53518260423357E-3</v>
      </c>
      <c r="E73" s="26">
        <f>(1+0.01)^(1/12)-1</f>
        <v>8.295381143461622E-4</v>
      </c>
    </row>
    <row r="77" spans="1:14" x14ac:dyDescent="0.2">
      <c r="A77" s="58" t="s">
        <v>65</v>
      </c>
      <c r="B77" s="58"/>
      <c r="C77" s="58"/>
      <c r="D77" s="58"/>
      <c r="E77" s="58"/>
      <c r="F77" s="58"/>
      <c r="G77" s="58"/>
      <c r="H77" s="58"/>
      <c r="I77" s="58"/>
      <c r="J77" s="58"/>
      <c r="K77" s="58"/>
      <c r="L77" s="58"/>
      <c r="M77" s="58"/>
      <c r="N77" s="58"/>
    </row>
    <row r="78" spans="1:14" x14ac:dyDescent="0.2">
      <c r="A78" s="57" t="s">
        <v>66</v>
      </c>
      <c r="B78" s="57"/>
      <c r="C78" s="57"/>
      <c r="D78" s="57"/>
      <c r="E78" s="57"/>
      <c r="F78" s="57"/>
      <c r="G78" s="57"/>
      <c r="H78" s="57"/>
      <c r="I78" s="57"/>
      <c r="J78" s="57"/>
      <c r="K78" s="57"/>
      <c r="L78" s="57"/>
      <c r="M78" s="57"/>
      <c r="N78" s="57"/>
    </row>
    <row r="79" spans="1:14" x14ac:dyDescent="0.2">
      <c r="A79" s="57"/>
      <c r="B79" s="57"/>
      <c r="C79" s="57"/>
      <c r="D79" s="57"/>
      <c r="E79" s="57"/>
      <c r="F79" s="57"/>
      <c r="G79" s="57"/>
      <c r="H79" s="57"/>
      <c r="I79" s="57"/>
      <c r="J79" s="57"/>
      <c r="K79" s="57"/>
      <c r="L79" s="57"/>
      <c r="M79" s="57"/>
      <c r="N79" s="57"/>
    </row>
    <row r="80" spans="1:14" x14ac:dyDescent="0.2">
      <c r="A80" s="57"/>
      <c r="B80" s="57"/>
      <c r="C80" s="57"/>
      <c r="D80" s="57"/>
      <c r="E80" s="57"/>
      <c r="F80" s="57"/>
      <c r="G80" s="57"/>
      <c r="H80" s="57"/>
      <c r="I80" s="57"/>
      <c r="J80" s="57"/>
      <c r="K80" s="57"/>
      <c r="L80" s="57"/>
      <c r="M80" s="57"/>
      <c r="N80" s="57"/>
    </row>
    <row r="81" spans="1:14" x14ac:dyDescent="0.2">
      <c r="A81" s="57"/>
      <c r="B81" s="57"/>
      <c r="C81" s="57"/>
      <c r="D81" s="57"/>
      <c r="E81" s="57"/>
      <c r="F81" s="57"/>
      <c r="G81" s="57"/>
      <c r="H81" s="57"/>
      <c r="I81" s="57"/>
      <c r="J81" s="57"/>
      <c r="K81" s="57"/>
      <c r="L81" s="57"/>
      <c r="M81" s="57"/>
      <c r="N81" s="57"/>
    </row>
    <row r="82" spans="1:14" x14ac:dyDescent="0.2">
      <c r="A82" s="57"/>
      <c r="B82" s="57"/>
      <c r="C82" s="57"/>
      <c r="D82" s="57"/>
      <c r="E82" s="57"/>
      <c r="F82" s="57"/>
      <c r="G82" s="57"/>
      <c r="H82" s="57"/>
      <c r="I82" s="57"/>
      <c r="J82" s="57"/>
      <c r="K82" s="57"/>
      <c r="L82" s="57"/>
      <c r="M82" s="57"/>
      <c r="N82" s="57"/>
    </row>
    <row r="83" spans="1:14" x14ac:dyDescent="0.2">
      <c r="L83" s="23"/>
    </row>
  </sheetData>
  <mergeCells count="12">
    <mergeCell ref="A78:N82"/>
    <mergeCell ref="A77:N77"/>
    <mergeCell ref="A1:N1"/>
    <mergeCell ref="A2:N2"/>
    <mergeCell ref="A3:N3"/>
    <mergeCell ref="A25:N25"/>
    <mergeCell ref="J26:N45"/>
    <mergeCell ref="A47:N47"/>
    <mergeCell ref="J48:N67"/>
    <mergeCell ref="A69:N69"/>
    <mergeCell ref="J4:N23"/>
    <mergeCell ref="A70:E7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2EE232-58F2-8A4F-947E-7FE809A11F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MC 5.1.</vt:lpstr>
      <vt:lpstr>MarketDataUnit5 (2)</vt:lpstr>
      <vt:lpstr>MC 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Олег Бурдуков</cp:lastModifiedBy>
  <dcterms:created xsi:type="dcterms:W3CDTF">2025-11-16T09:07:55Z</dcterms:created>
  <dcterms:modified xsi:type="dcterms:W3CDTF">2025-11-17T16:00:34Z</dcterms:modified>
</cp:coreProperties>
</file>