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olegburdukov/Documents/Österreich/WU/WU Hauptstudium/SBWL/SBWL Finanzen/Course I Principles of CM/Interactive part/Unit 2/MC2 to submit/"/>
    </mc:Choice>
  </mc:AlternateContent>
  <xr:revisionPtr revIDLastSave="0" documentId="13_ncr:1_{49EEBB86-D312-454B-83B0-07975D9B989F}" xr6:coauthVersionLast="47" xr6:coauthVersionMax="47" xr10:uidLastSave="{00000000-0000-0000-0000-000000000000}"/>
  <bookViews>
    <workbookView xWindow="14900" yWindow="740" windowWidth="14500" windowHeight="16620" xr2:uid="{28CF8EB8-521B-214A-AA2B-851F86A8E063}"/>
  </bookViews>
  <sheets>
    <sheet name="Mini-Case 2.4-2.5"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47" i="1" l="1"/>
  <c r="P170" i="1"/>
  <c r="O3" i="1"/>
  <c r="P3" i="1"/>
  <c r="Q3" i="1"/>
  <c r="R3" i="1"/>
  <c r="O4" i="1"/>
  <c r="P4" i="1"/>
  <c r="Q4" i="1"/>
  <c r="R4" i="1"/>
  <c r="O5" i="1"/>
  <c r="P5" i="1"/>
  <c r="Q5" i="1"/>
  <c r="R5" i="1"/>
  <c r="O6" i="1"/>
  <c r="P6" i="1"/>
  <c r="Q6" i="1"/>
  <c r="R6" i="1"/>
  <c r="O7" i="1"/>
  <c r="P7" i="1"/>
  <c r="Q7" i="1"/>
  <c r="R7" i="1"/>
  <c r="O8" i="1"/>
  <c r="P8" i="1"/>
  <c r="Q8" i="1"/>
  <c r="R8" i="1"/>
  <c r="O9" i="1"/>
  <c r="P9" i="1"/>
  <c r="Q9" i="1"/>
  <c r="R9" i="1"/>
  <c r="O10" i="1"/>
  <c r="P10" i="1"/>
  <c r="Q10" i="1"/>
  <c r="R10" i="1"/>
  <c r="O11" i="1"/>
  <c r="P11" i="1"/>
  <c r="Q11" i="1"/>
  <c r="R11" i="1"/>
  <c r="O12" i="1"/>
  <c r="P12" i="1"/>
  <c r="Q12" i="1"/>
  <c r="R12" i="1"/>
  <c r="O13" i="1"/>
  <c r="P13" i="1"/>
  <c r="Q13" i="1"/>
  <c r="R13" i="1"/>
  <c r="O14" i="1"/>
  <c r="P14" i="1"/>
  <c r="Q14" i="1"/>
  <c r="R14" i="1"/>
  <c r="O15" i="1"/>
  <c r="P15" i="1"/>
  <c r="Q15" i="1"/>
  <c r="R15" i="1"/>
  <c r="O16" i="1"/>
  <c r="P16" i="1"/>
  <c r="Q16" i="1"/>
  <c r="R16" i="1"/>
  <c r="O17" i="1"/>
  <c r="P17" i="1"/>
  <c r="Q17" i="1"/>
  <c r="R17" i="1"/>
  <c r="O18" i="1"/>
  <c r="P18" i="1"/>
  <c r="Q18" i="1"/>
  <c r="R18" i="1"/>
  <c r="O19" i="1"/>
  <c r="P19" i="1"/>
  <c r="Q19" i="1"/>
  <c r="R19" i="1"/>
  <c r="O20" i="1"/>
  <c r="P20" i="1"/>
  <c r="Q20" i="1"/>
  <c r="R20" i="1"/>
  <c r="O21" i="1"/>
  <c r="P21" i="1"/>
  <c r="Q21" i="1"/>
  <c r="R21" i="1"/>
  <c r="O22" i="1"/>
  <c r="P22" i="1"/>
  <c r="Q22" i="1"/>
  <c r="R22" i="1"/>
  <c r="O23" i="1"/>
  <c r="P23" i="1"/>
  <c r="Q23" i="1"/>
  <c r="R23" i="1"/>
  <c r="O24" i="1"/>
  <c r="P24" i="1"/>
  <c r="Q24" i="1"/>
  <c r="R24" i="1"/>
  <c r="O25" i="1"/>
  <c r="P25" i="1"/>
  <c r="Q25" i="1"/>
  <c r="R25" i="1"/>
  <c r="O26" i="1"/>
  <c r="P26" i="1"/>
  <c r="Q26" i="1"/>
  <c r="R26" i="1"/>
  <c r="O27" i="1"/>
  <c r="P27" i="1"/>
  <c r="Q27" i="1"/>
  <c r="R27" i="1"/>
  <c r="O28" i="1"/>
  <c r="P28" i="1"/>
  <c r="Q28" i="1"/>
  <c r="R28" i="1"/>
  <c r="O29" i="1"/>
  <c r="P29" i="1"/>
  <c r="Q29" i="1"/>
  <c r="R29" i="1"/>
  <c r="O30" i="1"/>
  <c r="P30" i="1"/>
  <c r="Q30" i="1"/>
  <c r="R30" i="1"/>
  <c r="O31" i="1"/>
  <c r="P31" i="1"/>
  <c r="Q31" i="1"/>
  <c r="R31" i="1"/>
  <c r="O32" i="1"/>
  <c r="P32" i="1"/>
  <c r="Q32" i="1"/>
  <c r="R32" i="1"/>
  <c r="O33" i="1"/>
  <c r="P33" i="1"/>
  <c r="Q33" i="1"/>
  <c r="R33" i="1"/>
  <c r="O34" i="1"/>
  <c r="P34" i="1"/>
  <c r="Q34" i="1"/>
  <c r="R34" i="1"/>
  <c r="O35" i="1"/>
  <c r="P35" i="1"/>
  <c r="Q35" i="1"/>
  <c r="R35" i="1"/>
  <c r="O36" i="1"/>
  <c r="P36" i="1"/>
  <c r="Q36" i="1"/>
  <c r="R36" i="1"/>
  <c r="O37" i="1"/>
  <c r="P37" i="1"/>
  <c r="Q37" i="1"/>
  <c r="R37" i="1"/>
  <c r="O38" i="1"/>
  <c r="P38" i="1"/>
  <c r="Q38" i="1"/>
  <c r="R38" i="1"/>
  <c r="O39" i="1"/>
  <c r="P39" i="1"/>
  <c r="Q39" i="1"/>
  <c r="R39" i="1"/>
  <c r="O40" i="1"/>
  <c r="P40" i="1"/>
  <c r="Q40" i="1"/>
  <c r="R40" i="1"/>
  <c r="O41" i="1"/>
  <c r="P41" i="1"/>
  <c r="Q41" i="1"/>
  <c r="R41" i="1"/>
  <c r="O42" i="1"/>
  <c r="P42" i="1"/>
  <c r="Q42" i="1"/>
  <c r="R42" i="1"/>
  <c r="O43" i="1"/>
  <c r="P43" i="1"/>
  <c r="Q43" i="1"/>
  <c r="R43" i="1"/>
  <c r="O44" i="1"/>
  <c r="P44" i="1"/>
  <c r="Q44" i="1"/>
  <c r="R44" i="1"/>
  <c r="O45" i="1"/>
  <c r="P45" i="1"/>
  <c r="Q45" i="1"/>
  <c r="R45" i="1"/>
  <c r="O46" i="1"/>
  <c r="P46" i="1"/>
  <c r="Q46" i="1"/>
  <c r="R46" i="1"/>
  <c r="O47" i="1"/>
  <c r="P47" i="1"/>
  <c r="Q47" i="1"/>
  <c r="R47" i="1"/>
  <c r="O48" i="1"/>
  <c r="P48" i="1"/>
  <c r="Q48" i="1"/>
  <c r="R48" i="1"/>
  <c r="O49" i="1"/>
  <c r="P49" i="1"/>
  <c r="Q49" i="1"/>
  <c r="R49" i="1"/>
  <c r="O50" i="1"/>
  <c r="P50" i="1"/>
  <c r="Q50" i="1"/>
  <c r="R50" i="1"/>
  <c r="O51" i="1"/>
  <c r="P51" i="1"/>
  <c r="Q51" i="1"/>
  <c r="R51" i="1"/>
  <c r="O52" i="1"/>
  <c r="P52" i="1"/>
  <c r="Q52" i="1"/>
  <c r="R52" i="1"/>
  <c r="O53" i="1"/>
  <c r="P53" i="1"/>
  <c r="Q53" i="1"/>
  <c r="R53" i="1"/>
  <c r="O54" i="1"/>
  <c r="P54" i="1"/>
  <c r="Q54" i="1"/>
  <c r="R54" i="1"/>
  <c r="O55" i="1"/>
  <c r="P55" i="1"/>
  <c r="Q55" i="1"/>
  <c r="R55" i="1"/>
  <c r="O56" i="1"/>
  <c r="P56" i="1"/>
  <c r="Q56" i="1"/>
  <c r="R56" i="1"/>
  <c r="O57" i="1"/>
  <c r="P57" i="1"/>
  <c r="Q57" i="1"/>
  <c r="R57" i="1"/>
  <c r="O58" i="1"/>
  <c r="P58" i="1"/>
  <c r="Q58" i="1"/>
  <c r="R58" i="1"/>
  <c r="O59" i="1"/>
  <c r="P59" i="1"/>
  <c r="Q59" i="1"/>
  <c r="R59" i="1"/>
  <c r="O60" i="1"/>
  <c r="P60" i="1"/>
  <c r="Q60" i="1"/>
  <c r="R60" i="1"/>
  <c r="O61" i="1"/>
  <c r="P61" i="1"/>
  <c r="Q61" i="1"/>
  <c r="R61" i="1"/>
  <c r="O62" i="1"/>
  <c r="P62" i="1"/>
  <c r="Q62" i="1"/>
  <c r="R62" i="1"/>
  <c r="O63" i="1"/>
  <c r="P63" i="1"/>
  <c r="Q63" i="1"/>
  <c r="R63" i="1"/>
  <c r="O64" i="1"/>
  <c r="P64" i="1"/>
  <c r="Q64" i="1"/>
  <c r="R64" i="1"/>
  <c r="O65" i="1"/>
  <c r="P65" i="1"/>
  <c r="Q65" i="1"/>
  <c r="R65" i="1"/>
  <c r="O66" i="1"/>
  <c r="P66" i="1"/>
  <c r="Q66" i="1"/>
  <c r="R66" i="1"/>
  <c r="O67" i="1"/>
  <c r="P67" i="1"/>
  <c r="Q67" i="1"/>
  <c r="R67" i="1"/>
  <c r="O68" i="1"/>
  <c r="P68" i="1"/>
  <c r="Q68" i="1"/>
  <c r="R68" i="1"/>
  <c r="O69" i="1"/>
  <c r="P69" i="1"/>
  <c r="Q69" i="1"/>
  <c r="R69" i="1"/>
  <c r="O70" i="1"/>
  <c r="P70" i="1"/>
  <c r="Q70" i="1"/>
  <c r="R70" i="1"/>
  <c r="O71" i="1"/>
  <c r="P71" i="1"/>
  <c r="Q71" i="1"/>
  <c r="R71" i="1"/>
  <c r="O72" i="1"/>
  <c r="P72" i="1"/>
  <c r="Q72" i="1"/>
  <c r="R72" i="1"/>
  <c r="O73" i="1"/>
  <c r="P73" i="1"/>
  <c r="Q73" i="1"/>
  <c r="R73" i="1"/>
  <c r="O74" i="1"/>
  <c r="P74" i="1"/>
  <c r="Q74" i="1"/>
  <c r="R74" i="1"/>
  <c r="O75" i="1"/>
  <c r="P75" i="1"/>
  <c r="Q75" i="1"/>
  <c r="R75" i="1"/>
  <c r="O76" i="1"/>
  <c r="P76" i="1"/>
  <c r="Q76" i="1"/>
  <c r="R76" i="1"/>
  <c r="O77" i="1"/>
  <c r="P77" i="1"/>
  <c r="Q77" i="1"/>
  <c r="R77" i="1"/>
  <c r="O78" i="1"/>
  <c r="P78" i="1"/>
  <c r="Q78" i="1"/>
  <c r="R78" i="1"/>
  <c r="O79" i="1"/>
  <c r="P79" i="1"/>
  <c r="Q79" i="1"/>
  <c r="R79" i="1"/>
  <c r="O80" i="1"/>
  <c r="P80" i="1"/>
  <c r="Q80" i="1"/>
  <c r="R80" i="1"/>
  <c r="O81" i="1"/>
  <c r="P81" i="1"/>
  <c r="Q81" i="1"/>
  <c r="R81" i="1"/>
  <c r="O82" i="1"/>
  <c r="P82" i="1"/>
  <c r="Q82" i="1"/>
  <c r="R82" i="1"/>
  <c r="O83" i="1"/>
  <c r="P83" i="1"/>
  <c r="Q83" i="1"/>
  <c r="R83" i="1"/>
  <c r="O84" i="1"/>
  <c r="P84" i="1"/>
  <c r="Q84" i="1"/>
  <c r="R84" i="1"/>
  <c r="O85" i="1"/>
  <c r="P85" i="1"/>
  <c r="Q85" i="1"/>
  <c r="R85" i="1"/>
  <c r="O86" i="1"/>
  <c r="P86" i="1"/>
  <c r="Q86" i="1"/>
  <c r="R86" i="1"/>
  <c r="O87" i="1"/>
  <c r="P87" i="1"/>
  <c r="Q87" i="1"/>
  <c r="R87" i="1"/>
  <c r="O88" i="1"/>
  <c r="P88" i="1"/>
  <c r="Q88" i="1"/>
  <c r="R88" i="1"/>
  <c r="O89" i="1"/>
  <c r="P89" i="1"/>
  <c r="Q89" i="1"/>
  <c r="R89" i="1"/>
  <c r="O90" i="1"/>
  <c r="P90" i="1"/>
  <c r="Q90" i="1"/>
  <c r="R90" i="1"/>
  <c r="O91" i="1"/>
  <c r="P91" i="1"/>
  <c r="Q91" i="1"/>
  <c r="R91" i="1"/>
  <c r="O92" i="1"/>
  <c r="P92" i="1"/>
  <c r="Q92" i="1"/>
  <c r="R92" i="1"/>
  <c r="O93" i="1"/>
  <c r="P93" i="1"/>
  <c r="Q93" i="1"/>
  <c r="R93" i="1"/>
  <c r="O94" i="1"/>
  <c r="P94" i="1"/>
  <c r="Q94" i="1"/>
  <c r="R94" i="1"/>
  <c r="O95" i="1"/>
  <c r="P95" i="1"/>
  <c r="Q95" i="1"/>
  <c r="R95" i="1"/>
  <c r="O96" i="1"/>
  <c r="P96" i="1"/>
  <c r="Q96" i="1"/>
  <c r="R96" i="1"/>
  <c r="O97" i="1"/>
  <c r="P97" i="1"/>
  <c r="Q97" i="1"/>
  <c r="R97" i="1"/>
  <c r="O98" i="1"/>
  <c r="P98" i="1"/>
  <c r="Q98" i="1"/>
  <c r="R98" i="1"/>
  <c r="O99" i="1"/>
  <c r="P99" i="1"/>
  <c r="Q99" i="1"/>
  <c r="R99" i="1"/>
  <c r="O100" i="1"/>
  <c r="P100" i="1"/>
  <c r="Q100" i="1"/>
  <c r="R100" i="1"/>
  <c r="O101" i="1"/>
  <c r="P101" i="1"/>
  <c r="Q101" i="1"/>
  <c r="R101" i="1"/>
  <c r="O102" i="1"/>
  <c r="P102" i="1"/>
  <c r="Q102" i="1"/>
  <c r="R102" i="1"/>
  <c r="O103" i="1"/>
  <c r="P103" i="1"/>
  <c r="Q103" i="1"/>
  <c r="R103" i="1"/>
  <c r="O104" i="1"/>
  <c r="P104" i="1"/>
  <c r="Q104" i="1"/>
  <c r="R104" i="1"/>
  <c r="O105" i="1"/>
  <c r="P105" i="1"/>
  <c r="Q105" i="1"/>
  <c r="R105" i="1"/>
  <c r="O106" i="1"/>
  <c r="P106" i="1"/>
  <c r="Q106" i="1"/>
  <c r="R106" i="1"/>
  <c r="O107" i="1"/>
  <c r="P107" i="1"/>
  <c r="Q107" i="1"/>
  <c r="R107" i="1"/>
  <c r="O108" i="1"/>
  <c r="P108" i="1"/>
  <c r="Q108" i="1"/>
  <c r="R108" i="1"/>
  <c r="O109" i="1"/>
  <c r="P109" i="1"/>
  <c r="Q109" i="1"/>
  <c r="R109" i="1"/>
  <c r="O110" i="1"/>
  <c r="P110" i="1"/>
  <c r="Q110" i="1"/>
  <c r="R110" i="1"/>
  <c r="O111" i="1"/>
  <c r="P111" i="1"/>
  <c r="Q111" i="1"/>
  <c r="R111" i="1"/>
  <c r="O112" i="1"/>
  <c r="P112" i="1"/>
  <c r="Q112" i="1"/>
  <c r="R112" i="1"/>
  <c r="O113" i="1"/>
  <c r="P113" i="1"/>
  <c r="Q113" i="1"/>
  <c r="R113" i="1"/>
  <c r="O114" i="1"/>
  <c r="P114" i="1"/>
  <c r="Q114" i="1"/>
  <c r="R114" i="1"/>
  <c r="O115" i="1"/>
  <c r="P115" i="1"/>
  <c r="Q115" i="1"/>
  <c r="R115" i="1"/>
  <c r="O116" i="1"/>
  <c r="P116" i="1"/>
  <c r="Q116" i="1"/>
  <c r="R116" i="1"/>
  <c r="O117" i="1"/>
  <c r="P117" i="1"/>
  <c r="Q117" i="1"/>
  <c r="R117" i="1"/>
  <c r="O118" i="1"/>
  <c r="P118" i="1"/>
  <c r="Q118" i="1"/>
  <c r="R118" i="1"/>
  <c r="O119" i="1"/>
  <c r="P119" i="1"/>
  <c r="Q119" i="1"/>
  <c r="R119" i="1"/>
  <c r="O120" i="1"/>
  <c r="P120" i="1"/>
  <c r="Q120" i="1"/>
  <c r="R120" i="1"/>
  <c r="O121" i="1"/>
  <c r="P121" i="1"/>
  <c r="Q121" i="1"/>
  <c r="R121" i="1"/>
  <c r="O122" i="1"/>
  <c r="P122" i="1"/>
  <c r="Q122" i="1"/>
  <c r="R122" i="1"/>
  <c r="O123" i="1"/>
  <c r="P123" i="1"/>
  <c r="Q123" i="1"/>
  <c r="R123" i="1"/>
  <c r="O124" i="1"/>
  <c r="P124" i="1"/>
  <c r="Q124" i="1"/>
  <c r="R124" i="1"/>
  <c r="O125" i="1"/>
  <c r="P125" i="1"/>
  <c r="Q125" i="1"/>
  <c r="R125" i="1"/>
  <c r="O126" i="1"/>
  <c r="P126" i="1"/>
  <c r="Q126" i="1"/>
  <c r="R126" i="1"/>
  <c r="O127" i="1"/>
  <c r="P127" i="1"/>
  <c r="Q127" i="1"/>
  <c r="R127" i="1"/>
  <c r="O128" i="1"/>
  <c r="P128" i="1"/>
  <c r="Q128" i="1"/>
  <c r="R128" i="1"/>
  <c r="O129" i="1"/>
  <c r="P129" i="1"/>
  <c r="Q129" i="1"/>
  <c r="R129" i="1"/>
  <c r="O130" i="1"/>
  <c r="P130" i="1"/>
  <c r="Q130" i="1"/>
  <c r="R130" i="1"/>
  <c r="O131" i="1"/>
  <c r="P131" i="1"/>
  <c r="Q131" i="1"/>
  <c r="R131" i="1"/>
  <c r="O132" i="1"/>
  <c r="P132" i="1"/>
  <c r="Q132" i="1"/>
  <c r="R132" i="1"/>
  <c r="O133" i="1"/>
  <c r="P133" i="1"/>
  <c r="Q133" i="1"/>
  <c r="R133" i="1"/>
  <c r="O134" i="1"/>
  <c r="P134" i="1"/>
  <c r="Q134" i="1"/>
  <c r="R134" i="1"/>
  <c r="O135" i="1"/>
  <c r="P135" i="1"/>
  <c r="Q135" i="1"/>
  <c r="R135" i="1"/>
  <c r="O136" i="1"/>
  <c r="P136" i="1"/>
  <c r="Q136" i="1"/>
  <c r="R136" i="1"/>
  <c r="O137" i="1"/>
  <c r="P137" i="1"/>
  <c r="Q137" i="1"/>
  <c r="R137" i="1"/>
  <c r="O138" i="1"/>
  <c r="P138" i="1"/>
  <c r="Q138" i="1"/>
  <c r="R138" i="1"/>
  <c r="O139" i="1"/>
  <c r="P139" i="1"/>
  <c r="Q139" i="1"/>
  <c r="R139" i="1"/>
  <c r="O140" i="1"/>
  <c r="P140" i="1"/>
  <c r="Q140" i="1"/>
  <c r="R140" i="1"/>
  <c r="O141" i="1"/>
  <c r="P141" i="1"/>
  <c r="Q141" i="1"/>
  <c r="R141" i="1"/>
  <c r="O142" i="1"/>
  <c r="P142" i="1"/>
  <c r="Q142" i="1"/>
  <c r="R142" i="1"/>
  <c r="O143" i="1"/>
  <c r="P143" i="1"/>
  <c r="Q143" i="1"/>
  <c r="R143" i="1"/>
  <c r="O144" i="1"/>
  <c r="P144" i="1"/>
  <c r="Q144" i="1"/>
  <c r="R144" i="1"/>
  <c r="O145" i="1"/>
  <c r="P145" i="1"/>
  <c r="Q145" i="1"/>
  <c r="R145" i="1"/>
  <c r="R147" i="1" l="1"/>
  <c r="R149" i="1" s="1"/>
  <c r="R150" i="1" s="1"/>
  <c r="R165" i="1"/>
  <c r="Q166" i="1" s="1"/>
  <c r="R167" i="1"/>
  <c r="S166" i="1" s="1"/>
  <c r="S165" i="1"/>
  <c r="Q167" i="1" s="1"/>
  <c r="S170" i="1"/>
  <c r="P173" i="1" s="1"/>
  <c r="P164" i="1"/>
  <c r="Q172" i="1"/>
  <c r="R171" i="1" s="1"/>
  <c r="R146" i="1"/>
  <c r="R148" i="1" s="1"/>
  <c r="Q164" i="1"/>
  <c r="P165" i="1" s="1"/>
  <c r="Q170" i="1"/>
  <c r="P171" i="1" s="1"/>
  <c r="R164" i="1"/>
  <c r="P166" i="1" s="1"/>
  <c r="S167" i="1"/>
  <c r="Q173" i="1"/>
  <c r="S171" i="1" s="1"/>
  <c r="S164" i="1"/>
  <c r="R170" i="1"/>
  <c r="P172" i="1" s="1"/>
  <c r="R173" i="1"/>
  <c r="S172" i="1" s="1"/>
  <c r="O149" i="1"/>
  <c r="O150" i="1" s="1"/>
  <c r="Q146" i="1"/>
  <c r="Q148" i="1" s="1"/>
  <c r="P147" i="1"/>
  <c r="P146" i="1"/>
  <c r="P148" i="1" s="1"/>
  <c r="Q147" i="1"/>
  <c r="O146" i="1"/>
  <c r="O148" i="1" s="1"/>
  <c r="P149" i="1" l="1"/>
  <c r="P150" i="1" s="1"/>
  <c r="Q165" i="1"/>
  <c r="Q149" i="1"/>
  <c r="Q150" i="1" s="1"/>
  <c r="R166" i="1"/>
  <c r="P167" i="1"/>
</calcChain>
</file>

<file path=xl/sharedStrings.xml><?xml version="1.0" encoding="utf-8"?>
<sst xmlns="http://schemas.openxmlformats.org/spreadsheetml/2006/main" count="631" uniqueCount="24">
  <si>
    <t>date</t>
  </si>
  <si>
    <t>TICKER</t>
  </si>
  <si>
    <t>PRC</t>
  </si>
  <si>
    <t>ORCL</t>
  </si>
  <si>
    <t>CVX</t>
  </si>
  <si>
    <t>TGT</t>
  </si>
  <si>
    <t>BAC</t>
  </si>
  <si>
    <t>TASK A</t>
  </si>
  <si>
    <t xml:space="preserve"> E(R~)</t>
  </si>
  <si>
    <t>TASK C</t>
  </si>
  <si>
    <t>Yearly E(R~)</t>
  </si>
  <si>
    <t>Yearly variance</t>
  </si>
  <si>
    <t>Yearly volatility</t>
  </si>
  <si>
    <t>MC 2.4.</t>
  </si>
  <si>
    <t>MC 2.5.</t>
  </si>
  <si>
    <t>TASK B</t>
  </si>
  <si>
    <t>Variance</t>
  </si>
  <si>
    <t>Covariance</t>
  </si>
  <si>
    <t>Correlation</t>
  </si>
  <si>
    <t>Stock</t>
  </si>
  <si>
    <t>Monthly returns</t>
  </si>
  <si>
    <t>Interpretation of the results</t>
  </si>
  <si>
    <t>Covariance:
- Considering covariance we pay attention at the sign before the value. Every value in the matrix is positive (+), so we can say here that stocks' prices move in the same direction.
Correlation:
- There is a positive correlation between all the stocks to observe.
- Correlation value of the stocks CVX and TGT is the lowest, whch shows the best diversification effect among the stocks. That's why if we talk about a portfolio inestment, these stocks should be the first possible composition to research.
- On the other hand the stocks of BAC and CVX have the highest correlation, though they are not perfectly correlated.</t>
  </si>
  <si>
    <t>It appears that all these stocks have different average rates of return. As calculations show, the stocks of such companies as Oracle and Bank of America bring the highest returns for their investors on the annual basis in average. On the other hand, Chevron offers a lower average rate in comparison to other stocks in the table.
Considering risk indicators, it is worth saying that near one of the highest returns per period, Bank of America possesses one of the biggest volatility on the stock price. This appears quite risky, as the value of standard deviation is around 28,6%. The best combination of risk and yearly return can be seen in the Oracle's column, whereby we observe considerable return with the lowest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</si>
</sst>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000000"/>
    <numFmt numFmtId="165" formatCode="0.000000000"/>
  </numFmts>
  <fonts count="8" x14ac:knownFonts="1">
    <font>
      <sz val="12"/>
      <color theme="1"/>
      <name val="Aptos Narrow"/>
      <family val="2"/>
      <scheme val="minor"/>
    </font>
    <font>
      <sz val="12"/>
      <color theme="1"/>
      <name val="Aptos Narrow"/>
      <family val="2"/>
      <scheme val="minor"/>
    </font>
    <font>
      <sz val="16"/>
      <color theme="1"/>
      <name val="Aptos Narrow"/>
      <family val="2"/>
      <scheme val="minor"/>
    </font>
    <font>
      <sz val="12"/>
      <color theme="1"/>
      <name val="Aptos Narrow"/>
      <scheme val="minor"/>
    </font>
    <font>
      <sz val="16"/>
      <color theme="0"/>
      <name val="Aptos Narrow"/>
      <family val="2"/>
      <scheme val="minor"/>
    </font>
    <font>
      <sz val="18"/>
      <color theme="0"/>
      <name val="Aptos Narrow"/>
      <family val="2"/>
      <scheme val="minor"/>
    </font>
    <font>
      <sz val="20"/>
      <color theme="0"/>
      <name val="Aptos Narrow"/>
      <family val="2"/>
      <scheme val="minor"/>
    </font>
    <font>
      <sz val="11"/>
      <color rgb="FF000000"/>
      <name val="Aptos Narrow"/>
      <scheme val="minor"/>
    </font>
  </fonts>
  <fills count="9">
    <fill>
      <patternFill patternType="none"/>
    </fill>
    <fill>
      <patternFill patternType="gray125"/>
    </fill>
    <fill>
      <patternFill patternType="solid">
        <fgColor theme="2" tint="-0.499984740745262"/>
        <bgColor indexed="64"/>
      </patternFill>
    </fill>
    <fill>
      <patternFill patternType="solid">
        <fgColor theme="5"/>
        <bgColor indexed="64"/>
      </patternFill>
    </fill>
    <fill>
      <patternFill patternType="solid">
        <fgColor theme="2" tint="-0.249977111117893"/>
        <bgColor indexed="64"/>
      </patternFill>
    </fill>
    <fill>
      <patternFill patternType="solid">
        <fgColor theme="3" tint="0.499984740745262"/>
        <bgColor indexed="64"/>
      </patternFill>
    </fill>
    <fill>
      <patternFill patternType="solid">
        <fgColor theme="9"/>
        <bgColor indexed="64"/>
      </patternFill>
    </fill>
    <fill>
      <patternFill patternType="solid">
        <fgColor theme="8" tint="0.39997558519241921"/>
        <bgColor indexed="64"/>
      </patternFill>
    </fill>
    <fill>
      <patternFill patternType="solid">
        <fgColor theme="2" tint="-9.9978637043366805E-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right style="medium">
        <color indexed="64"/>
      </right>
      <top style="medium">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s>
  <cellStyleXfs count="2">
    <xf numFmtId="0" fontId="0" fillId="0" borderId="0"/>
    <xf numFmtId="9" fontId="1" fillId="0" borderId="0" applyFont="0" applyFill="0" applyBorder="0" applyAlignment="0" applyProtection="0"/>
  </cellStyleXfs>
  <cellXfs count="47">
    <xf numFmtId="0" fontId="0" fillId="0" borderId="0" xfId="0"/>
    <xf numFmtId="14" fontId="0" fillId="0" borderId="0" xfId="0" applyNumberFormat="1"/>
    <xf numFmtId="0" fontId="0" fillId="5" borderId="0" xfId="0" applyFill="1"/>
    <xf numFmtId="10" fontId="0" fillId="0" borderId="0" xfId="1" applyNumberFormat="1" applyFont="1"/>
    <xf numFmtId="0" fontId="0" fillId="3" borderId="0" xfId="0" applyFill="1"/>
    <xf numFmtId="0" fontId="0" fillId="6" borderId="0" xfId="0" applyFill="1"/>
    <xf numFmtId="0" fontId="0" fillId="7" borderId="0" xfId="0" applyFill="1"/>
    <xf numFmtId="0" fontId="0" fillId="0" borderId="0" xfId="0" applyAlignment="1">
      <alignment horizontal="center"/>
    </xf>
    <xf numFmtId="10" fontId="0" fillId="0" borderId="0" xfId="1" applyNumberFormat="1" applyFont="1" applyAlignment="1">
      <alignment horizontal="center"/>
    </xf>
    <xf numFmtId="0" fontId="3" fillId="0" borderId="0" xfId="1" applyNumberFormat="1" applyFont="1"/>
    <xf numFmtId="0" fontId="0" fillId="0" borderId="1" xfId="0" applyBorder="1"/>
    <xf numFmtId="0" fontId="2" fillId="8" borderId="1" xfId="0" applyFont="1" applyFill="1" applyBorder="1" applyAlignment="1">
      <alignment horizontal="center" vertical="center"/>
    </xf>
    <xf numFmtId="0" fontId="4" fillId="2" borderId="1" xfId="0" applyFont="1" applyFill="1" applyBorder="1" applyAlignment="1">
      <alignment horizontal="center" vertical="center"/>
    </xf>
    <xf numFmtId="0" fontId="2" fillId="4" borderId="1" xfId="0" applyFont="1" applyFill="1" applyBorder="1" applyAlignment="1">
      <alignment horizontal="center" vertical="center"/>
    </xf>
    <xf numFmtId="0" fontId="0" fillId="0" borderId="1" xfId="0" applyBorder="1" applyAlignment="1">
      <alignment horizontal="center" vertical="center"/>
    </xf>
    <xf numFmtId="0" fontId="7" fillId="0" borderId="0" xfId="0" applyFont="1" applyAlignment="1">
      <alignment wrapText="1"/>
    </xf>
    <xf numFmtId="0" fontId="5" fillId="0" borderId="1" xfId="0" applyFont="1" applyBorder="1" applyAlignment="1">
      <alignment horizontal="center" vertical="center" textRotation="90"/>
    </xf>
    <xf numFmtId="0" fontId="2" fillId="0" borderId="1" xfId="0" applyFont="1" applyBorder="1" applyAlignment="1">
      <alignment horizontal="center" vertical="center"/>
    </xf>
    <xf numFmtId="0" fontId="0" fillId="0" borderId="0" xfId="0" applyAlignment="1">
      <alignment vertical="center" wrapText="1"/>
    </xf>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164" fontId="0" fillId="0" borderId="0" xfId="0" applyNumberFormat="1"/>
    <xf numFmtId="165" fontId="0" fillId="0" borderId="0" xfId="0" applyNumberFormat="1"/>
    <xf numFmtId="0" fontId="0" fillId="0" borderId="0" xfId="1" applyNumberFormat="1" applyFont="1"/>
    <xf numFmtId="0" fontId="3" fillId="0" borderId="0" xfId="0" applyFont="1"/>
    <xf numFmtId="0" fontId="0" fillId="4" borderId="4" xfId="0" applyFill="1" applyBorder="1" applyAlignment="1">
      <alignment horizontal="center" vertical="center"/>
    </xf>
    <xf numFmtId="0" fontId="0" fillId="4" borderId="5" xfId="0" applyFill="1" applyBorder="1" applyAlignment="1">
      <alignment horizontal="center" vertical="center"/>
    </xf>
    <xf numFmtId="0" fontId="0" fillId="4" borderId="6" xfId="0" applyFill="1" applyBorder="1" applyAlignment="1">
      <alignment horizontal="center" vertical="center"/>
    </xf>
    <xf numFmtId="0" fontId="6" fillId="2" borderId="4" xfId="0" applyFont="1" applyFill="1" applyBorder="1" applyAlignment="1">
      <alignment horizontal="center" vertical="center" textRotation="90"/>
    </xf>
    <xf numFmtId="0" fontId="6" fillId="2" borderId="5" xfId="0" applyFont="1" applyFill="1" applyBorder="1" applyAlignment="1">
      <alignment horizontal="center" vertical="center" textRotation="90"/>
    </xf>
    <xf numFmtId="0" fontId="6" fillId="2" borderId="6" xfId="0" applyFont="1" applyFill="1" applyBorder="1" applyAlignment="1">
      <alignment horizontal="center" vertical="center" textRotation="90"/>
    </xf>
    <xf numFmtId="49" fontId="0" fillId="0" borderId="7" xfId="0" applyNumberFormat="1" applyBorder="1" applyAlignment="1">
      <alignment horizontal="left" vertical="center" wrapText="1" indent="1"/>
    </xf>
    <xf numFmtId="49" fontId="0" fillId="0" borderId="7" xfId="0" applyNumberFormat="1" applyBorder="1" applyAlignment="1">
      <alignment horizontal="left" vertical="center" indent="1"/>
    </xf>
    <xf numFmtId="49" fontId="0" fillId="0" borderId="8" xfId="0" applyNumberFormat="1" applyBorder="1" applyAlignment="1">
      <alignment horizontal="left" vertical="center" indent="1"/>
    </xf>
    <xf numFmtId="49" fontId="0" fillId="0" borderId="0" xfId="0" applyNumberFormat="1" applyAlignment="1">
      <alignment horizontal="left" vertical="center" indent="1"/>
    </xf>
    <xf numFmtId="49" fontId="0" fillId="0" borderId="2" xfId="0" applyNumberFormat="1" applyBorder="1" applyAlignment="1">
      <alignment horizontal="left" vertical="center" indent="1"/>
    </xf>
    <xf numFmtId="49" fontId="0" fillId="0" borderId="9" xfId="0" applyNumberFormat="1" applyBorder="1" applyAlignment="1">
      <alignment horizontal="left" vertical="center" indent="1"/>
    </xf>
    <xf numFmtId="49" fontId="0" fillId="0" borderId="10" xfId="0" applyNumberFormat="1" applyBorder="1" applyAlignment="1">
      <alignment horizontal="left" vertical="center" indent="1"/>
    </xf>
    <xf numFmtId="0" fontId="0" fillId="0" borderId="3" xfId="0" applyBorder="1" applyAlignment="1">
      <alignment horizontal="left" vertical="center" wrapText="1" indent="1"/>
    </xf>
    <xf numFmtId="0" fontId="0" fillId="0" borderId="1" xfId="0" applyBorder="1" applyAlignment="1">
      <alignment horizontal="left" vertical="center" wrapText="1" indent="1"/>
    </xf>
    <xf numFmtId="0" fontId="0" fillId="4" borderId="1" xfId="0" applyFill="1" applyBorder="1" applyAlignment="1">
      <alignment horizontal="center" vertical="center"/>
    </xf>
    <xf numFmtId="0" fontId="2" fillId="8" borderId="1" xfId="0" applyFont="1" applyFill="1" applyBorder="1" applyAlignment="1">
      <alignment horizontal="center" vertical="center"/>
    </xf>
    <xf numFmtId="0" fontId="2" fillId="8" borderId="1" xfId="0" applyFont="1" applyFill="1" applyBorder="1" applyAlignment="1">
      <alignment horizontal="center" vertical="center" wrapText="1"/>
    </xf>
    <xf numFmtId="0" fontId="5" fillId="2" borderId="1" xfId="0" applyFont="1" applyFill="1" applyBorder="1" applyAlignment="1">
      <alignment horizontal="center" vertical="center" textRotation="90"/>
    </xf>
  </cellXfs>
  <cellStyles count="2">
    <cellStyle name="Normal" xfId="0" builtinId="0"/>
    <cellStyle name="Per cent" xfId="1" builtinId="5"/>
  </cellStyles>
  <dxfs count="30">
    <dxf>
      <numFmt numFmtId="165" formatCode="0.000000000"/>
    </dxf>
    <dxf>
      <numFmt numFmtId="165" formatCode="0.000000000"/>
    </dxf>
    <dxf>
      <numFmt numFmtId="165" formatCode="0.000000000"/>
    </dxf>
    <dxf>
      <numFmt numFmtId="165" formatCode="0.000000000"/>
    </dxf>
    <dxf>
      <border diagonalUp="0" diagonalDown="0" outline="0">
        <left style="medium">
          <color indexed="64"/>
        </left>
        <right/>
        <top style="thin">
          <color indexed="64"/>
        </top>
        <bottom style="thin">
          <color indexed="64"/>
        </bottom>
      </border>
    </dxf>
    <dxf>
      <numFmt numFmtId="164" formatCode="0.00000000"/>
    </dxf>
    <dxf>
      <numFmt numFmtId="164" formatCode="0.00000000"/>
    </dxf>
    <dxf>
      <numFmt numFmtId="164" formatCode="0.00000000"/>
    </dxf>
    <dxf>
      <numFmt numFmtId="164" formatCode="0.00000000"/>
    </dxf>
    <dxf>
      <border diagonalUp="0" diagonalDown="0" outline="0">
        <left style="medium">
          <color indexed="64"/>
        </left>
        <right/>
        <top style="thin">
          <color indexed="64"/>
        </top>
        <bottom style="thin">
          <color indexed="64"/>
        </bottom>
      </border>
    </dxf>
    <dxf>
      <font>
        <b val="0"/>
        <i val="0"/>
        <strike val="0"/>
        <condense val="0"/>
        <extend val="0"/>
        <outline val="0"/>
        <shadow val="0"/>
        <u val="none"/>
        <vertAlign val="baseline"/>
        <sz val="12"/>
        <color theme="1"/>
        <name val="Aptos Narrow"/>
        <scheme val="minor"/>
      </font>
      <numFmt numFmtId="0" formatCode="General"/>
    </dxf>
    <dxf>
      <font>
        <b val="0"/>
      </font>
      <numFmt numFmtId="0" formatCode="General"/>
    </dxf>
    <dxf>
      <font>
        <b val="0"/>
        <i val="0"/>
        <strike val="0"/>
        <condense val="0"/>
        <extend val="0"/>
        <outline val="0"/>
        <shadow val="0"/>
        <u val="none"/>
        <vertAlign val="baseline"/>
        <sz val="12"/>
        <color theme="1"/>
        <name val="Aptos Narrow"/>
        <family val="2"/>
        <scheme val="minor"/>
      </font>
    </dxf>
    <dxf>
      <fill>
        <patternFill patternType="solid">
          <fgColor indexed="64"/>
          <bgColor theme="8" tint="0.39997558519241921"/>
        </patternFill>
      </fill>
    </dxf>
    <dxf>
      <font>
        <b val="0"/>
        <i val="0"/>
        <strike val="0"/>
        <condense val="0"/>
        <extend val="0"/>
        <outline val="0"/>
        <shadow val="0"/>
        <u val="none"/>
        <vertAlign val="baseline"/>
        <sz val="12"/>
        <color theme="1"/>
        <name val="Aptos Narrow"/>
        <family val="2"/>
        <scheme val="minor"/>
      </font>
      <numFmt numFmtId="0" formatCode="General"/>
    </dxf>
    <dxf>
      <numFmt numFmtId="0" formatCode="General"/>
    </dxf>
    <dxf>
      <font>
        <b val="0"/>
        <i val="0"/>
        <strike val="0"/>
        <condense val="0"/>
        <extend val="0"/>
        <outline val="0"/>
        <shadow val="0"/>
        <u val="none"/>
        <vertAlign val="baseline"/>
        <sz val="12"/>
        <color theme="1"/>
        <name val="Aptos Narrow"/>
        <family val="2"/>
        <scheme val="minor"/>
      </font>
    </dxf>
    <dxf>
      <fill>
        <patternFill patternType="solid">
          <fgColor indexed="64"/>
          <bgColor theme="9"/>
        </patternFill>
      </fill>
    </dxf>
    <dxf>
      <font>
        <b val="0"/>
        <i val="0"/>
        <strike val="0"/>
        <condense val="0"/>
        <extend val="0"/>
        <outline val="0"/>
        <shadow val="0"/>
        <u val="none"/>
        <vertAlign val="baseline"/>
        <sz val="12"/>
        <color theme="1"/>
        <name val="Aptos Narrow"/>
        <family val="2"/>
        <scheme val="minor"/>
      </font>
      <numFmt numFmtId="0" formatCode="General"/>
    </dxf>
    <dxf>
      <numFmt numFmtId="0" formatCode="General"/>
    </dxf>
    <dxf>
      <font>
        <b val="0"/>
        <i val="0"/>
        <strike val="0"/>
        <condense val="0"/>
        <extend val="0"/>
        <outline val="0"/>
        <shadow val="0"/>
        <u val="none"/>
        <vertAlign val="baseline"/>
        <sz val="12"/>
        <color theme="1"/>
        <name val="Aptos Narrow"/>
        <family val="2"/>
        <scheme val="minor"/>
      </font>
    </dxf>
    <dxf>
      <fill>
        <patternFill patternType="solid">
          <fgColor indexed="64"/>
          <bgColor theme="5"/>
        </patternFill>
      </fill>
    </dxf>
    <dxf>
      <font>
        <b val="0"/>
        <i val="0"/>
        <strike val="0"/>
        <condense val="0"/>
        <extend val="0"/>
        <outline val="0"/>
        <shadow val="0"/>
        <u val="none"/>
        <vertAlign val="baseline"/>
        <sz val="12"/>
        <color theme="1"/>
        <name val="Aptos Narrow"/>
        <family val="2"/>
        <scheme val="minor"/>
      </font>
      <numFmt numFmtId="0" formatCode="General"/>
    </dxf>
    <dxf>
      <numFmt numFmtId="0" formatCode="General"/>
    </dxf>
    <dxf>
      <font>
        <b val="0"/>
        <i val="0"/>
        <strike val="0"/>
        <condense val="0"/>
        <extend val="0"/>
        <outline val="0"/>
        <shadow val="0"/>
        <u val="none"/>
        <vertAlign val="baseline"/>
        <sz val="12"/>
        <color theme="1"/>
        <name val="Aptos Narrow"/>
        <family val="2"/>
        <scheme val="minor"/>
      </font>
    </dxf>
    <dxf>
      <fill>
        <patternFill patternType="solid">
          <fgColor indexed="64"/>
          <bgColor theme="3" tint="0.499984740745262"/>
        </patternFill>
      </fill>
    </dxf>
    <dxf>
      <numFmt numFmtId="19" formatCode="dd/mm/yy"/>
    </dxf>
    <dxf>
      <numFmt numFmtId="19" formatCode="dd/mm/yy"/>
    </dxf>
    <dxf>
      <numFmt numFmtId="19" formatCode="dd/mm/yy"/>
    </dxf>
    <dxf>
      <numFmt numFmtId="19" formatCode="dd/mm/yy"/>
    </dxf>
  </dxfs>
  <tableStyles count="1" defaultTableStyle="TableStyleMedium2" defaultPivotStyle="PivotStyleLight16">
    <tableStyle name="Table Style 1" pivot="0" count="0" xr9:uid="{24C38954-867E-3742-81BE-B6AF5832E5F5}"/>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16</xdr:col>
      <xdr:colOff>252132</xdr:colOff>
      <xdr:row>180</xdr:row>
      <xdr:rowOff>102720</xdr:rowOff>
    </xdr:from>
    <xdr:ext cx="184731" cy="264560"/>
    <xdr:sp macro="" textlink="">
      <xdr:nvSpPr>
        <xdr:cNvPr id="2" name="TextBox 1">
          <a:extLst>
            <a:ext uri="{FF2B5EF4-FFF2-40B4-BE49-F238E27FC236}">
              <a16:creationId xmlns:a16="http://schemas.microsoft.com/office/drawing/2014/main" id="{B3A2B74B-A77D-F598-D098-5AC99AC63F01}"/>
            </a:ext>
          </a:extLst>
        </xdr:cNvPr>
        <xdr:cNvSpPr txBox="1"/>
      </xdr:nvSpPr>
      <xdr:spPr>
        <a:xfrm>
          <a:off x="13064191" y="351397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3F52B6-53E6-8C4C-866F-4FB6C176EADB}" name="Table1" displayName="Table1" ref="A1:C145" totalsRowShown="0">
  <autoFilter ref="A1:C145" xr:uid="{E83F52B6-53E6-8C4C-866F-4FB6C176EADB}"/>
  <tableColumns count="3">
    <tableColumn id="1" xr3:uid="{8EBBF867-E208-AD4B-ADF9-65EA270A66C6}" name="date" dataDxfId="29"/>
    <tableColumn id="2" xr3:uid="{1BD15466-0A0A-4649-8434-047535A4986B}" name="TICKER"/>
    <tableColumn id="3" xr3:uid="{EE6C44F6-BA82-094D-AF10-3471C1231B3A}" name="PRC"/>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CB7CADF-3F42-0B49-90C9-551DF8A8F89D}" name="Table2" displayName="Table2" ref="D1:F145">
  <autoFilter ref="D1:F145" xr:uid="{3CB7CADF-3F42-0B49-90C9-551DF8A8F89D}"/>
  <tableColumns count="3">
    <tableColumn id="1" xr3:uid="{2A84526E-A956-0645-86BC-83A2F8CB8561}" name="date" totalsRowLabel="Total" dataDxfId="28"/>
    <tableColumn id="2" xr3:uid="{FC2E58CD-56A1-B643-810A-D132BC0D45A0}" name="TICKER"/>
    <tableColumn id="3" xr3:uid="{6C9647DF-5F27-0F4F-A6C9-7468F3FA970D}" name="PRC" totalsRowFunction="sum"/>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CCBD541-60AC-3E46-B95D-63ABDF2913B4}" name="Table3" displayName="Table3" ref="G1:I145" totalsRowShown="0">
  <autoFilter ref="G1:I145" xr:uid="{7CCBD541-60AC-3E46-B95D-63ABDF2913B4}"/>
  <tableColumns count="3">
    <tableColumn id="1" xr3:uid="{D98908F2-F0A3-F349-AF2B-7EA9B61A35D4}" name="date" dataDxfId="27"/>
    <tableColumn id="2" xr3:uid="{3B610463-C988-FC4D-9DCF-C607966F58FA}" name="TICKER"/>
    <tableColumn id="3" xr3:uid="{8ADAB59B-A86E-934F-B30A-B0EF784362C0}" name="PRC"/>
  </tableColumns>
  <tableStyleInfo name="TableStyleMedium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EFFA495-F4D8-2344-9AC1-D5983F42F194}" name="Table4" displayName="Table4" ref="J1:L145" totalsRowShown="0">
  <autoFilter ref="J1:L145" xr:uid="{0EFFA495-F4D8-2344-9AC1-D5983F42F194}"/>
  <tableColumns count="3">
    <tableColumn id="1" xr3:uid="{18EBAF56-E863-6A4C-9857-6A71635AF7DE}" name="date" dataDxfId="26"/>
    <tableColumn id="2" xr3:uid="{8EAFCDC3-1B64-4441-8388-CE8192388DEA}" name="TICKER"/>
    <tableColumn id="3" xr3:uid="{C659577A-8069-4248-830C-6928DE390F0A}" name="PRC"/>
  </tableColumns>
  <tableStyleInfo name="TableStyleMedium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444E0F2-249B-DB4D-AED5-3E3025A226A3}" name="Table6" displayName="Table6" ref="O2:O146" totalsRowCount="1" headerRowDxfId="25" dataDxfId="24" totalsRowDxfId="23" dataCellStyle="Per cent" totalsRowCellStyle="Per cent">
  <autoFilter ref="O2:O145" xr:uid="{9444E0F2-249B-DB4D-AED5-3E3025A226A3}"/>
  <tableColumns count="1">
    <tableColumn id="1" xr3:uid="{2257B241-BA23-4048-95C0-B571A855EB44}" name="ORCL" totalsRowFunction="custom" totalsRowDxfId="22" dataCellStyle="Per cent" totalsRowCellStyle="Per cent">
      <calculatedColumnFormula>(C3-C2)/C2</calculatedColumnFormula>
      <totalsRowFormula>AVERAGE(Table6[ORCL])</totalsRow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98154AC-1780-5546-BE05-5F082008374C}" name="Table7" displayName="Table7" ref="P2:P146" totalsRowCount="1" headerRowDxfId="21" dataDxfId="20" totalsRowDxfId="19" dataCellStyle="Per cent" totalsRowCellStyle="Per cent">
  <autoFilter ref="P2:P145" xr:uid="{D98154AC-1780-5546-BE05-5F082008374C}"/>
  <tableColumns count="1">
    <tableColumn id="1" xr3:uid="{4BBEF4D8-B24C-1542-B78A-91DA1BEA6063}" name="CVX" totalsRowFunction="custom" totalsRowDxfId="18" dataCellStyle="Per cent" totalsRowCellStyle="Per cent">
      <calculatedColumnFormula>(F3-F2)/F2</calculatedColumnFormula>
      <totalsRowFormula>AVERAGE(Table7[CVX])</totalsRowFormula>
    </tableColumn>
  </tableColumns>
  <tableStyleInfo name="TableStyleMedium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7892ACA-C899-5845-BEFD-499E3DC96D96}" name="Table8" displayName="Table8" ref="Q2:Q146" totalsRowCount="1" headerRowDxfId="17" dataDxfId="16" totalsRowDxfId="15" dataCellStyle="Per cent" totalsRowCellStyle="Per cent">
  <autoFilter ref="Q2:Q145" xr:uid="{27892ACA-C899-5845-BEFD-499E3DC96D96}"/>
  <tableColumns count="1">
    <tableColumn id="1" xr3:uid="{00A5F4FF-C21C-A74D-9543-CCC0F84D6176}" name="TGT" totalsRowFunction="custom" totalsRowDxfId="14" dataCellStyle="Per cent" totalsRowCellStyle="Per cent">
      <calculatedColumnFormula>(I3-I2)/I2</calculatedColumnFormula>
      <totalsRowFormula>AVERAGE(Table8[TGT])</totalsRowFormula>
    </tableColumn>
  </tableColumns>
  <tableStyleInfo name="TableStyleMedium4"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1E62DCF-B7B2-6D4B-B014-8AA5AB21878A}" name="Table9" displayName="Table9" ref="R2:R146" totalsRowCount="1" headerRowDxfId="13" dataDxfId="12" totalsRowDxfId="11" dataCellStyle="Per cent" totalsRowCellStyle="Per cent">
  <autoFilter ref="R2:R145" xr:uid="{21E62DCF-B7B2-6D4B-B014-8AA5AB21878A}"/>
  <tableColumns count="1">
    <tableColumn id="1" xr3:uid="{152A777F-EF7F-244B-90B7-DFD0A9CCB569}" name="BAC" totalsRowFunction="custom" totalsRowDxfId="10" dataCellStyle="Per cent">
      <calculatedColumnFormula>(L3-L2)/L2</calculatedColumnFormula>
      <totalsRowFormula>AVERAGE(Table9[BAC])</totalsRowFormula>
    </tableColumn>
  </tableColumns>
  <tableStyleInfo name="TableStyleMedium6"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1DAD352-B24E-1F48-91A8-397329A10A69}" name="Table10" displayName="Table10" ref="O163:S167">
  <autoFilter ref="O163:S167" xr:uid="{D1DAD352-B24E-1F48-91A8-397329A10A69}"/>
  <tableColumns count="5">
    <tableColumn id="1" xr3:uid="{08A7F226-7768-1348-81A1-1EE704BB917D}" name="Stock" totalsRowLabel="Total" dataDxfId="9"/>
    <tableColumn id="2" xr3:uid="{44AF1A1D-523D-0E4F-AE7C-E64D5F16A6C8}" name="ORCL" dataDxfId="8"/>
    <tableColumn id="3" xr3:uid="{5391834D-4821-A94F-B59D-CA6F61819C9A}" name="CVX" dataDxfId="7"/>
    <tableColumn id="4" xr3:uid="{9EB58D2C-6D40-2740-ABE0-D91FDD05FC97}" name="TGT" dataDxfId="6"/>
    <tableColumn id="5" xr3:uid="{19D53E36-7998-FC41-B3D8-1C50F7CFB951}" name="BAC" totalsRowFunction="sum" dataDxfId="5"/>
  </tableColumns>
  <tableStyleInfo name="TableStyleMedium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2665A9A-8B57-D84D-930A-C38E8902CF63}" name="Table11" displayName="Table11" ref="O169:S173" totalsRowShown="0">
  <autoFilter ref="O169:S173" xr:uid="{C2665A9A-8B57-D84D-930A-C38E8902CF63}"/>
  <tableColumns count="5">
    <tableColumn id="1" xr3:uid="{67EFBF38-67F1-B44B-8B92-3C1FD8B89A96}" name="Stock" dataDxfId="4"/>
    <tableColumn id="2" xr3:uid="{E7EFE94C-239C-B245-A34D-3ED6CCA4B7D6}" name="ORCL" dataDxfId="3"/>
    <tableColumn id="3" xr3:uid="{21EBAFDB-380F-584D-BD82-7F2D033AF4C8}" name="CVX" dataDxfId="2"/>
    <tableColumn id="4" xr3:uid="{0E70F691-E6AB-3E40-B073-83258EFD7F8D}" name="TGT" dataDxfId="1"/>
    <tableColumn id="5" xr3:uid="{7B9DF475-9915-C94F-A280-C1AB8871DDFD}" name="BAC"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drawing" Target="../drawings/drawing1.xml"/><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96576-9B73-6043-9207-BC06CFA56CC6}">
  <dimension ref="A1:S195"/>
  <sheetViews>
    <sheetView tabSelected="1" topLeftCell="L135" zoomScale="109" workbookViewId="0">
      <selection activeCell="O149" sqref="O149"/>
    </sheetView>
  </sheetViews>
  <sheetFormatPr baseColWidth="10" defaultRowHeight="16" x14ac:dyDescent="0.2"/>
  <cols>
    <col min="1" max="1" width="8.1640625" bestFit="1" customWidth="1"/>
    <col min="2" max="2" width="9.5" customWidth="1"/>
    <col min="3" max="3" width="10.1640625" bestFit="1" customWidth="1"/>
    <col min="4" max="4" width="8.1640625" bestFit="1" customWidth="1"/>
    <col min="5" max="5" width="9.5" customWidth="1"/>
    <col min="6" max="6" width="10.1640625" bestFit="1" customWidth="1"/>
    <col min="7" max="7" width="8.1640625" bestFit="1" customWidth="1"/>
    <col min="8" max="8" width="9.5" customWidth="1"/>
    <col min="9" max="9" width="10.1640625" bestFit="1" customWidth="1"/>
    <col min="10" max="10" width="8.1640625" bestFit="1" customWidth="1"/>
    <col min="11" max="11" width="9.5" customWidth="1"/>
    <col min="12" max="12" width="7.1640625" customWidth="1"/>
    <col min="14" max="14" width="26.1640625" customWidth="1"/>
    <col min="16" max="19" width="12.6640625" bestFit="1" customWidth="1"/>
  </cols>
  <sheetData>
    <row r="1" spans="1:18" ht="22" x14ac:dyDescent="0.2">
      <c r="A1" t="s">
        <v>0</v>
      </c>
      <c r="B1" t="s">
        <v>1</v>
      </c>
      <c r="C1" t="s">
        <v>2</v>
      </c>
      <c r="D1" t="s">
        <v>0</v>
      </c>
      <c r="E1" t="s">
        <v>1</v>
      </c>
      <c r="F1" t="s">
        <v>2</v>
      </c>
      <c r="G1" t="s">
        <v>0</v>
      </c>
      <c r="H1" t="s">
        <v>1</v>
      </c>
      <c r="I1" t="s">
        <v>2</v>
      </c>
      <c r="J1" t="s">
        <v>0</v>
      </c>
      <c r="K1" t="s">
        <v>1</v>
      </c>
      <c r="L1" t="s">
        <v>2</v>
      </c>
      <c r="M1" s="12" t="s">
        <v>13</v>
      </c>
      <c r="N1" s="10"/>
    </row>
    <row r="2" spans="1:18" ht="22" x14ac:dyDescent="0.2">
      <c r="A2" s="1">
        <v>41305</v>
      </c>
      <c r="B2" t="s">
        <v>3</v>
      </c>
      <c r="C2">
        <v>35.51</v>
      </c>
      <c r="D2" s="1">
        <v>41305</v>
      </c>
      <c r="E2" t="s">
        <v>4</v>
      </c>
      <c r="F2">
        <v>115.15</v>
      </c>
      <c r="G2" s="1">
        <v>41305</v>
      </c>
      <c r="H2" t="s">
        <v>5</v>
      </c>
      <c r="I2">
        <v>60.41</v>
      </c>
      <c r="J2" s="1">
        <v>41305</v>
      </c>
      <c r="K2" t="s">
        <v>6</v>
      </c>
      <c r="L2">
        <v>11.32</v>
      </c>
      <c r="M2" s="13" t="s">
        <v>7</v>
      </c>
      <c r="N2" s="11" t="s">
        <v>20</v>
      </c>
      <c r="O2" s="2" t="s">
        <v>3</v>
      </c>
      <c r="P2" s="4" t="s">
        <v>4</v>
      </c>
      <c r="Q2" s="5" t="s">
        <v>5</v>
      </c>
      <c r="R2" s="6" t="s">
        <v>6</v>
      </c>
    </row>
    <row r="3" spans="1:18" x14ac:dyDescent="0.2">
      <c r="A3" s="1">
        <v>41333</v>
      </c>
      <c r="B3" t="s">
        <v>3</v>
      </c>
      <c r="C3">
        <v>34.24</v>
      </c>
      <c r="D3" s="1">
        <v>41333</v>
      </c>
      <c r="E3" t="s">
        <v>4</v>
      </c>
      <c r="F3">
        <v>117.15</v>
      </c>
      <c r="G3" s="1">
        <v>41333</v>
      </c>
      <c r="H3" t="s">
        <v>5</v>
      </c>
      <c r="I3">
        <v>62.96</v>
      </c>
      <c r="J3" s="1">
        <v>41333</v>
      </c>
      <c r="K3" t="s">
        <v>6</v>
      </c>
      <c r="L3">
        <v>11.23</v>
      </c>
      <c r="O3" s="3">
        <f t="shared" ref="O3:O34" si="0">(C3-C2)/C2</f>
        <v>-3.57645733596169E-2</v>
      </c>
      <c r="P3" s="3">
        <f t="shared" ref="P3:P34" si="1">(F3-F2)/F2</f>
        <v>1.736864958749457E-2</v>
      </c>
      <c r="Q3" s="3">
        <f t="shared" ref="Q3:Q34" si="2">(I3-I2)/I2</f>
        <v>4.2211554378414243E-2</v>
      </c>
      <c r="R3" s="3">
        <f t="shared" ref="R3:R34" si="3">(L3-L2)/L2</f>
        <v>-7.9505300353356761E-3</v>
      </c>
    </row>
    <row r="4" spans="1:18" x14ac:dyDescent="0.2">
      <c r="A4" s="1">
        <v>41361</v>
      </c>
      <c r="B4" t="s">
        <v>3</v>
      </c>
      <c r="C4">
        <v>32.33</v>
      </c>
      <c r="D4" s="1">
        <v>41361</v>
      </c>
      <c r="E4" t="s">
        <v>4</v>
      </c>
      <c r="F4">
        <v>118.82</v>
      </c>
      <c r="G4" s="1">
        <v>41361</v>
      </c>
      <c r="H4" t="s">
        <v>5</v>
      </c>
      <c r="I4">
        <v>68.45</v>
      </c>
      <c r="J4" s="1">
        <v>41361</v>
      </c>
      <c r="K4" t="s">
        <v>6</v>
      </c>
      <c r="L4">
        <v>12.18</v>
      </c>
      <c r="O4" s="3">
        <f t="shared" si="0"/>
        <v>-5.5782710280373939E-2</v>
      </c>
      <c r="P4" s="3">
        <f t="shared" si="1"/>
        <v>1.4255228339735275E-2</v>
      </c>
      <c r="Q4" s="3">
        <f t="shared" si="2"/>
        <v>8.7198221092757336E-2</v>
      </c>
      <c r="R4" s="3">
        <f t="shared" si="3"/>
        <v>8.4594835262689155E-2</v>
      </c>
    </row>
    <row r="5" spans="1:18" x14ac:dyDescent="0.2">
      <c r="A5" s="1">
        <v>41394</v>
      </c>
      <c r="B5" t="s">
        <v>3</v>
      </c>
      <c r="C5">
        <v>32.78</v>
      </c>
      <c r="D5" s="1">
        <v>41394</v>
      </c>
      <c r="E5" t="s">
        <v>4</v>
      </c>
      <c r="F5">
        <v>122.01</v>
      </c>
      <c r="G5" s="1">
        <v>41394</v>
      </c>
      <c r="H5" t="s">
        <v>5</v>
      </c>
      <c r="I5">
        <v>70.56</v>
      </c>
      <c r="J5" s="1">
        <v>41394</v>
      </c>
      <c r="K5" t="s">
        <v>6</v>
      </c>
      <c r="L5">
        <v>12.31</v>
      </c>
      <c r="O5" s="3">
        <f t="shared" si="0"/>
        <v>1.3918960717599842E-2</v>
      </c>
      <c r="P5" s="3">
        <f t="shared" si="1"/>
        <v>2.6847332098973338E-2</v>
      </c>
      <c r="Q5" s="3">
        <f t="shared" si="2"/>
        <v>3.0825420014609195E-2</v>
      </c>
      <c r="R5" s="3">
        <f t="shared" si="3"/>
        <v>1.0673234811165911E-2</v>
      </c>
    </row>
    <row r="6" spans="1:18" x14ac:dyDescent="0.2">
      <c r="A6" s="1">
        <v>41425</v>
      </c>
      <c r="B6" t="s">
        <v>3</v>
      </c>
      <c r="C6">
        <v>33.78</v>
      </c>
      <c r="D6" s="1">
        <v>41425</v>
      </c>
      <c r="E6" t="s">
        <v>4</v>
      </c>
      <c r="F6">
        <v>122.75</v>
      </c>
      <c r="G6" s="1">
        <v>41425</v>
      </c>
      <c r="H6" t="s">
        <v>5</v>
      </c>
      <c r="I6">
        <v>69.5</v>
      </c>
      <c r="J6" s="1">
        <v>41425</v>
      </c>
      <c r="K6" t="s">
        <v>6</v>
      </c>
      <c r="L6">
        <v>13.66</v>
      </c>
      <c r="O6" s="3">
        <f t="shared" si="0"/>
        <v>3.0506406345332519E-2</v>
      </c>
      <c r="P6" s="3">
        <f t="shared" si="1"/>
        <v>6.0650766330628218E-3</v>
      </c>
      <c r="Q6" s="3">
        <f t="shared" si="2"/>
        <v>-1.5022675736961482E-2</v>
      </c>
      <c r="R6" s="3">
        <f t="shared" si="3"/>
        <v>0.10966693744922823</v>
      </c>
    </row>
    <row r="7" spans="1:18" x14ac:dyDescent="0.2">
      <c r="A7" s="1">
        <v>41453</v>
      </c>
      <c r="B7" t="s">
        <v>3</v>
      </c>
      <c r="C7">
        <v>30.71</v>
      </c>
      <c r="D7" s="1">
        <v>41453</v>
      </c>
      <c r="E7" t="s">
        <v>4</v>
      </c>
      <c r="F7">
        <v>118.34</v>
      </c>
      <c r="G7" s="1">
        <v>41453</v>
      </c>
      <c r="H7" t="s">
        <v>5</v>
      </c>
      <c r="I7">
        <v>68.86</v>
      </c>
      <c r="J7" s="1">
        <v>41453</v>
      </c>
      <c r="K7" t="s">
        <v>6</v>
      </c>
      <c r="L7">
        <v>12.86</v>
      </c>
      <c r="O7" s="3">
        <f t="shared" si="0"/>
        <v>-9.0882178804026062E-2</v>
      </c>
      <c r="P7" s="3">
        <f t="shared" si="1"/>
        <v>-3.5926680244399156E-2</v>
      </c>
      <c r="Q7" s="3">
        <f t="shared" si="2"/>
        <v>-9.2086330935251884E-3</v>
      </c>
      <c r="R7" s="3">
        <f t="shared" si="3"/>
        <v>-5.8565153733528601E-2</v>
      </c>
    </row>
    <row r="8" spans="1:18" x14ac:dyDescent="0.2">
      <c r="A8" s="1">
        <v>41486</v>
      </c>
      <c r="B8" t="s">
        <v>3</v>
      </c>
      <c r="C8">
        <v>32.35</v>
      </c>
      <c r="D8" s="1">
        <v>41486</v>
      </c>
      <c r="E8" t="s">
        <v>4</v>
      </c>
      <c r="F8">
        <v>125.89</v>
      </c>
      <c r="G8" s="1">
        <v>41486</v>
      </c>
      <c r="H8" t="s">
        <v>5</v>
      </c>
      <c r="I8">
        <v>71.25</v>
      </c>
      <c r="J8" s="1">
        <v>41486</v>
      </c>
      <c r="K8" t="s">
        <v>6</v>
      </c>
      <c r="L8">
        <v>14.6</v>
      </c>
      <c r="O8" s="3">
        <f t="shared" si="0"/>
        <v>5.3402800390752216E-2</v>
      </c>
      <c r="P8" s="3">
        <f t="shared" si="1"/>
        <v>6.3799222579009607E-2</v>
      </c>
      <c r="Q8" s="3">
        <f t="shared" si="2"/>
        <v>3.4708103398199255E-2</v>
      </c>
      <c r="R8" s="3">
        <f t="shared" si="3"/>
        <v>0.13530326594090206</v>
      </c>
    </row>
    <row r="9" spans="1:18" x14ac:dyDescent="0.2">
      <c r="A9" s="1">
        <v>41516</v>
      </c>
      <c r="B9" t="s">
        <v>3</v>
      </c>
      <c r="C9">
        <v>31.86</v>
      </c>
      <c r="D9" s="1">
        <v>41516</v>
      </c>
      <c r="E9" t="s">
        <v>4</v>
      </c>
      <c r="F9">
        <v>120.43</v>
      </c>
      <c r="G9" s="1">
        <v>41516</v>
      </c>
      <c r="H9" t="s">
        <v>5</v>
      </c>
      <c r="I9">
        <v>63.31</v>
      </c>
      <c r="J9" s="1">
        <v>41516</v>
      </c>
      <c r="K9" t="s">
        <v>6</v>
      </c>
      <c r="L9">
        <v>14.12</v>
      </c>
      <c r="O9" s="3">
        <f t="shared" si="0"/>
        <v>-1.5146831530139165E-2</v>
      </c>
      <c r="P9" s="3">
        <f t="shared" si="1"/>
        <v>-4.3371197076813042E-2</v>
      </c>
      <c r="Q9" s="3">
        <f t="shared" si="2"/>
        <v>-0.11143859649122803</v>
      </c>
      <c r="R9" s="3">
        <f t="shared" si="3"/>
        <v>-3.2876712328767155E-2</v>
      </c>
    </row>
    <row r="10" spans="1:18" x14ac:dyDescent="0.2">
      <c r="A10" s="1">
        <v>41547</v>
      </c>
      <c r="B10" t="s">
        <v>3</v>
      </c>
      <c r="C10">
        <v>33.17</v>
      </c>
      <c r="D10" s="1">
        <v>41547</v>
      </c>
      <c r="E10" t="s">
        <v>4</v>
      </c>
      <c r="F10">
        <v>121.5</v>
      </c>
      <c r="G10" s="1">
        <v>41547</v>
      </c>
      <c r="H10" t="s">
        <v>5</v>
      </c>
      <c r="I10">
        <v>63.98</v>
      </c>
      <c r="J10" s="1">
        <v>41547</v>
      </c>
      <c r="K10" t="s">
        <v>6</v>
      </c>
      <c r="L10">
        <v>13.8</v>
      </c>
      <c r="O10" s="3">
        <f t="shared" si="0"/>
        <v>4.1117388575015769E-2</v>
      </c>
      <c r="P10" s="3">
        <f t="shared" si="1"/>
        <v>8.8848293614547293E-3</v>
      </c>
      <c r="Q10" s="3">
        <f t="shared" si="2"/>
        <v>1.0582846311798998E-2</v>
      </c>
      <c r="R10" s="3">
        <f t="shared" si="3"/>
        <v>-2.2662889518413495E-2</v>
      </c>
    </row>
    <row r="11" spans="1:18" x14ac:dyDescent="0.2">
      <c r="A11" s="1">
        <v>41578</v>
      </c>
      <c r="B11" t="s">
        <v>3</v>
      </c>
      <c r="C11">
        <v>33.5</v>
      </c>
      <c r="D11" s="1">
        <v>41578</v>
      </c>
      <c r="E11" t="s">
        <v>4</v>
      </c>
      <c r="F11">
        <v>119.96</v>
      </c>
      <c r="G11" s="1">
        <v>41578</v>
      </c>
      <c r="H11" t="s">
        <v>5</v>
      </c>
      <c r="I11">
        <v>64.790000000000006</v>
      </c>
      <c r="J11" s="1">
        <v>41578</v>
      </c>
      <c r="K11" t="s">
        <v>6</v>
      </c>
      <c r="L11">
        <v>13.97</v>
      </c>
      <c r="O11" s="3">
        <f t="shared" si="0"/>
        <v>9.9487488694603044E-3</v>
      </c>
      <c r="P11" s="3">
        <f t="shared" si="1"/>
        <v>-1.2674897119341616E-2</v>
      </c>
      <c r="Q11" s="3">
        <f t="shared" si="2"/>
        <v>1.266020631447342E-2</v>
      </c>
      <c r="R11" s="3">
        <f t="shared" si="3"/>
        <v>1.2318840579710139E-2</v>
      </c>
    </row>
    <row r="12" spans="1:18" x14ac:dyDescent="0.2">
      <c r="A12" s="1">
        <v>41607</v>
      </c>
      <c r="B12" t="s">
        <v>3</v>
      </c>
      <c r="C12">
        <v>35.29</v>
      </c>
      <c r="D12" s="1">
        <v>41607</v>
      </c>
      <c r="E12" t="s">
        <v>4</v>
      </c>
      <c r="F12">
        <v>122.44</v>
      </c>
      <c r="G12" s="1">
        <v>41607</v>
      </c>
      <c r="H12" t="s">
        <v>5</v>
      </c>
      <c r="I12">
        <v>63.93</v>
      </c>
      <c r="J12" s="1">
        <v>41607</v>
      </c>
      <c r="K12" t="s">
        <v>6</v>
      </c>
      <c r="L12">
        <v>15.82</v>
      </c>
      <c r="O12" s="3">
        <f t="shared" si="0"/>
        <v>5.3432835820895495E-2</v>
      </c>
      <c r="P12" s="3">
        <f t="shared" si="1"/>
        <v>2.0673557852617572E-2</v>
      </c>
      <c r="Q12" s="3">
        <f t="shared" si="2"/>
        <v>-1.3273653341565156E-2</v>
      </c>
      <c r="R12" s="3">
        <f t="shared" si="3"/>
        <v>0.13242662848962058</v>
      </c>
    </row>
    <row r="13" spans="1:18" x14ac:dyDescent="0.2">
      <c r="A13" s="1">
        <v>41639</v>
      </c>
      <c r="B13" t="s">
        <v>3</v>
      </c>
      <c r="C13">
        <v>38.26</v>
      </c>
      <c r="D13" s="1">
        <v>41639</v>
      </c>
      <c r="E13" t="s">
        <v>4</v>
      </c>
      <c r="F13">
        <v>124.91</v>
      </c>
      <c r="G13" s="1">
        <v>41639</v>
      </c>
      <c r="H13" t="s">
        <v>5</v>
      </c>
      <c r="I13">
        <v>63.27</v>
      </c>
      <c r="J13" s="1">
        <v>41639</v>
      </c>
      <c r="K13" t="s">
        <v>6</v>
      </c>
      <c r="L13">
        <v>15.57</v>
      </c>
      <c r="O13" s="3">
        <f t="shared" si="0"/>
        <v>8.4159818645508616E-2</v>
      </c>
      <c r="P13" s="3">
        <f t="shared" si="1"/>
        <v>2.0173146030708911E-2</v>
      </c>
      <c r="Q13" s="3">
        <f t="shared" si="2"/>
        <v>-1.0323791647113978E-2</v>
      </c>
      <c r="R13" s="3">
        <f t="shared" si="3"/>
        <v>-1.5802781289506952E-2</v>
      </c>
    </row>
    <row r="14" spans="1:18" x14ac:dyDescent="0.2">
      <c r="A14" s="1">
        <v>41670</v>
      </c>
      <c r="B14" t="s">
        <v>3</v>
      </c>
      <c r="C14">
        <v>36.9</v>
      </c>
      <c r="D14" s="1">
        <v>41670</v>
      </c>
      <c r="E14" t="s">
        <v>4</v>
      </c>
      <c r="F14">
        <v>111.63</v>
      </c>
      <c r="G14" s="1">
        <v>41670</v>
      </c>
      <c r="H14" t="s">
        <v>5</v>
      </c>
      <c r="I14">
        <v>56.64</v>
      </c>
      <c r="J14" s="1">
        <v>41670</v>
      </c>
      <c r="K14" t="s">
        <v>6</v>
      </c>
      <c r="L14">
        <v>16.75</v>
      </c>
      <c r="O14" s="3">
        <f t="shared" si="0"/>
        <v>-3.5546262415054874E-2</v>
      </c>
      <c r="P14" s="3">
        <f t="shared" si="1"/>
        <v>-0.10631654791449845</v>
      </c>
      <c r="Q14" s="3">
        <f t="shared" si="2"/>
        <v>-0.10478899952584167</v>
      </c>
      <c r="R14" s="3">
        <f t="shared" si="3"/>
        <v>7.5786769428387912E-2</v>
      </c>
    </row>
    <row r="15" spans="1:18" x14ac:dyDescent="0.2">
      <c r="A15" s="1">
        <v>41698</v>
      </c>
      <c r="B15" t="s">
        <v>3</v>
      </c>
      <c r="C15">
        <v>39.11</v>
      </c>
      <c r="D15" s="1">
        <v>41698</v>
      </c>
      <c r="E15" t="s">
        <v>4</v>
      </c>
      <c r="F15">
        <v>115.33</v>
      </c>
      <c r="G15" s="1">
        <v>41698</v>
      </c>
      <c r="H15" t="s">
        <v>5</v>
      </c>
      <c r="I15">
        <v>62.54</v>
      </c>
      <c r="J15" s="1">
        <v>41698</v>
      </c>
      <c r="K15" t="s">
        <v>6</v>
      </c>
      <c r="L15">
        <v>16.53</v>
      </c>
      <c r="O15" s="3">
        <f t="shared" si="0"/>
        <v>5.9891598915989185E-2</v>
      </c>
      <c r="P15" s="3">
        <f t="shared" si="1"/>
        <v>3.3145211860610972E-2</v>
      </c>
      <c r="Q15" s="3">
        <f t="shared" si="2"/>
        <v>0.10416666666666664</v>
      </c>
      <c r="R15" s="3">
        <f t="shared" si="3"/>
        <v>-1.3134328358208887E-2</v>
      </c>
    </row>
    <row r="16" spans="1:18" x14ac:dyDescent="0.2">
      <c r="A16" s="1">
        <v>41729</v>
      </c>
      <c r="B16" t="s">
        <v>3</v>
      </c>
      <c r="C16">
        <v>40.909999999999997</v>
      </c>
      <c r="D16" s="1">
        <v>41729</v>
      </c>
      <c r="E16" t="s">
        <v>4</v>
      </c>
      <c r="F16">
        <v>118.91</v>
      </c>
      <c r="G16" s="1">
        <v>41729</v>
      </c>
      <c r="H16" t="s">
        <v>5</v>
      </c>
      <c r="I16">
        <v>60.51</v>
      </c>
      <c r="J16" s="1">
        <v>41729</v>
      </c>
      <c r="K16" t="s">
        <v>6</v>
      </c>
      <c r="L16">
        <v>17.2</v>
      </c>
      <c r="O16" s="3">
        <f t="shared" si="0"/>
        <v>4.602403477371509E-2</v>
      </c>
      <c r="P16" s="3">
        <f t="shared" si="1"/>
        <v>3.1041359576866368E-2</v>
      </c>
      <c r="Q16" s="3">
        <f t="shared" si="2"/>
        <v>-3.2459226095299026E-2</v>
      </c>
      <c r="R16" s="3">
        <f t="shared" si="3"/>
        <v>4.0532365396249131E-2</v>
      </c>
    </row>
    <row r="17" spans="1:18" x14ac:dyDescent="0.2">
      <c r="A17" s="1">
        <v>41759</v>
      </c>
      <c r="B17" t="s">
        <v>3</v>
      </c>
      <c r="C17">
        <v>40.880000000000003</v>
      </c>
      <c r="D17" s="1">
        <v>41759</v>
      </c>
      <c r="E17" t="s">
        <v>4</v>
      </c>
      <c r="F17">
        <v>125.52</v>
      </c>
      <c r="G17" s="1">
        <v>41759</v>
      </c>
      <c r="H17" t="s">
        <v>5</v>
      </c>
      <c r="I17">
        <v>61.75</v>
      </c>
      <c r="J17" s="1">
        <v>41759</v>
      </c>
      <c r="K17" t="s">
        <v>6</v>
      </c>
      <c r="L17">
        <v>15.14</v>
      </c>
      <c r="O17" s="3">
        <f t="shared" si="0"/>
        <v>-7.3331703739902305E-4</v>
      </c>
      <c r="P17" s="3">
        <f t="shared" si="1"/>
        <v>5.5588260028593052E-2</v>
      </c>
      <c r="Q17" s="3">
        <f t="shared" si="2"/>
        <v>2.0492480581722063E-2</v>
      </c>
      <c r="R17" s="3">
        <f t="shared" si="3"/>
        <v>-0.11976744186046505</v>
      </c>
    </row>
    <row r="18" spans="1:18" x14ac:dyDescent="0.2">
      <c r="A18" s="1">
        <v>41789</v>
      </c>
      <c r="B18" t="s">
        <v>3</v>
      </c>
      <c r="C18">
        <v>42.02</v>
      </c>
      <c r="D18" s="1">
        <v>41789</v>
      </c>
      <c r="E18" t="s">
        <v>4</v>
      </c>
      <c r="F18">
        <v>122.79</v>
      </c>
      <c r="G18" s="1">
        <v>41789</v>
      </c>
      <c r="H18" t="s">
        <v>5</v>
      </c>
      <c r="I18">
        <v>56.76</v>
      </c>
      <c r="J18" s="1">
        <v>41789</v>
      </c>
      <c r="K18" t="s">
        <v>6</v>
      </c>
      <c r="L18">
        <v>15.14</v>
      </c>
      <c r="O18" s="3">
        <f t="shared" si="0"/>
        <v>2.7886497064579269E-2</v>
      </c>
      <c r="P18" s="3">
        <f t="shared" si="1"/>
        <v>-2.1749521988527643E-2</v>
      </c>
      <c r="Q18" s="3">
        <f t="shared" si="2"/>
        <v>-8.0809716599190312E-2</v>
      </c>
      <c r="R18" s="3">
        <f t="shared" si="3"/>
        <v>0</v>
      </c>
    </row>
    <row r="19" spans="1:18" x14ac:dyDescent="0.2">
      <c r="A19" s="1">
        <v>41820</v>
      </c>
      <c r="B19" t="s">
        <v>3</v>
      </c>
      <c r="C19">
        <v>40.53</v>
      </c>
      <c r="D19" s="1">
        <v>41820</v>
      </c>
      <c r="E19" t="s">
        <v>4</v>
      </c>
      <c r="F19">
        <v>130.55000000000001</v>
      </c>
      <c r="G19" s="1">
        <v>41820</v>
      </c>
      <c r="H19" t="s">
        <v>5</v>
      </c>
      <c r="I19">
        <v>57.95</v>
      </c>
      <c r="J19" s="1">
        <v>41820</v>
      </c>
      <c r="K19" t="s">
        <v>6</v>
      </c>
      <c r="L19">
        <v>15.37</v>
      </c>
      <c r="O19" s="3">
        <f t="shared" si="0"/>
        <v>-3.545930509281299E-2</v>
      </c>
      <c r="P19" s="3">
        <f t="shared" si="1"/>
        <v>6.31973287727014E-2</v>
      </c>
      <c r="Q19" s="3">
        <f t="shared" si="2"/>
        <v>2.0965468639887332E-2</v>
      </c>
      <c r="R19" s="3">
        <f t="shared" si="3"/>
        <v>1.5191545574636634E-2</v>
      </c>
    </row>
    <row r="20" spans="1:18" x14ac:dyDescent="0.2">
      <c r="A20" s="1">
        <v>41851</v>
      </c>
      <c r="B20" t="s">
        <v>3</v>
      </c>
      <c r="C20">
        <v>40.39</v>
      </c>
      <c r="D20" s="1">
        <v>41851</v>
      </c>
      <c r="E20" t="s">
        <v>4</v>
      </c>
      <c r="F20">
        <v>129.24001000000001</v>
      </c>
      <c r="G20" s="1">
        <v>41851</v>
      </c>
      <c r="H20" t="s">
        <v>5</v>
      </c>
      <c r="I20">
        <v>59.59</v>
      </c>
      <c r="J20" s="1">
        <v>41851</v>
      </c>
      <c r="K20" t="s">
        <v>6</v>
      </c>
      <c r="L20">
        <v>15.25</v>
      </c>
      <c r="O20" s="3">
        <f t="shared" si="0"/>
        <v>-3.4542314335060586E-3</v>
      </c>
      <c r="P20" s="3">
        <f t="shared" si="1"/>
        <v>-1.0034392952891604E-2</v>
      </c>
      <c r="Q20" s="3">
        <f t="shared" si="2"/>
        <v>2.8300258843830896E-2</v>
      </c>
      <c r="R20" s="3">
        <f t="shared" si="3"/>
        <v>-7.807417046193834E-3</v>
      </c>
    </row>
    <row r="21" spans="1:18" x14ac:dyDescent="0.2">
      <c r="A21" s="1">
        <v>41880</v>
      </c>
      <c r="B21" t="s">
        <v>3</v>
      </c>
      <c r="C21">
        <v>41.53</v>
      </c>
      <c r="D21" s="1">
        <v>41880</v>
      </c>
      <c r="E21" t="s">
        <v>4</v>
      </c>
      <c r="F21">
        <v>129.44999999999999</v>
      </c>
      <c r="G21" s="1">
        <v>41880</v>
      </c>
      <c r="H21" t="s">
        <v>5</v>
      </c>
      <c r="I21">
        <v>60.07</v>
      </c>
      <c r="J21" s="1">
        <v>41880</v>
      </c>
      <c r="K21" t="s">
        <v>6</v>
      </c>
      <c r="L21">
        <v>16.09</v>
      </c>
      <c r="O21" s="3">
        <f t="shared" si="0"/>
        <v>2.8224808120821999E-2</v>
      </c>
      <c r="P21" s="3">
        <f t="shared" si="1"/>
        <v>1.6248064357158153E-3</v>
      </c>
      <c r="Q21" s="3">
        <f t="shared" si="2"/>
        <v>8.0550427924147815E-3</v>
      </c>
      <c r="R21" s="3">
        <f t="shared" si="3"/>
        <v>5.5081967213114744E-2</v>
      </c>
    </row>
    <row r="22" spans="1:18" x14ac:dyDescent="0.2">
      <c r="A22" s="1">
        <v>41912</v>
      </c>
      <c r="B22" t="s">
        <v>3</v>
      </c>
      <c r="C22">
        <v>38.28</v>
      </c>
      <c r="D22" s="1">
        <v>41912</v>
      </c>
      <c r="E22" t="s">
        <v>4</v>
      </c>
      <c r="F22">
        <v>119.32</v>
      </c>
      <c r="G22" s="1">
        <v>41912</v>
      </c>
      <c r="H22" t="s">
        <v>5</v>
      </c>
      <c r="I22">
        <v>62.68</v>
      </c>
      <c r="J22" s="1">
        <v>41912</v>
      </c>
      <c r="K22" t="s">
        <v>6</v>
      </c>
      <c r="L22">
        <v>17.05</v>
      </c>
      <c r="O22" s="3">
        <f t="shared" si="0"/>
        <v>-7.8256681916686735E-2</v>
      </c>
      <c r="P22" s="3">
        <f t="shared" si="1"/>
        <v>-7.8254152182309744E-2</v>
      </c>
      <c r="Q22" s="3">
        <f t="shared" si="2"/>
        <v>4.3449309139337429E-2</v>
      </c>
      <c r="R22" s="3">
        <f t="shared" si="3"/>
        <v>5.9664387818520875E-2</v>
      </c>
    </row>
    <row r="23" spans="1:18" x14ac:dyDescent="0.2">
      <c r="A23" s="1">
        <v>41943</v>
      </c>
      <c r="B23" t="s">
        <v>3</v>
      </c>
      <c r="C23">
        <v>39.049999999999997</v>
      </c>
      <c r="D23" s="1">
        <v>41943</v>
      </c>
      <c r="E23" t="s">
        <v>4</v>
      </c>
      <c r="F23">
        <v>119.95</v>
      </c>
      <c r="G23" s="1">
        <v>41943</v>
      </c>
      <c r="H23" t="s">
        <v>5</v>
      </c>
      <c r="I23">
        <v>61.82</v>
      </c>
      <c r="J23" s="1">
        <v>41943</v>
      </c>
      <c r="K23" t="s">
        <v>6</v>
      </c>
      <c r="L23">
        <v>17.16</v>
      </c>
      <c r="O23" s="3">
        <f t="shared" si="0"/>
        <v>2.0114942528735528E-2</v>
      </c>
      <c r="P23" s="3">
        <f t="shared" si="1"/>
        <v>5.2799195440832187E-3</v>
      </c>
      <c r="Q23" s="3">
        <f t="shared" si="2"/>
        <v>-1.3720485003190801E-2</v>
      </c>
      <c r="R23" s="3">
        <f t="shared" si="3"/>
        <v>6.4516129032257726E-3</v>
      </c>
    </row>
    <row r="24" spans="1:18" x14ac:dyDescent="0.2">
      <c r="A24" s="1">
        <v>41971</v>
      </c>
      <c r="B24" t="s">
        <v>3</v>
      </c>
      <c r="C24">
        <v>42.41</v>
      </c>
      <c r="D24" s="1">
        <v>41971</v>
      </c>
      <c r="E24" t="s">
        <v>4</v>
      </c>
      <c r="F24">
        <v>108.87</v>
      </c>
      <c r="G24" s="1">
        <v>41971</v>
      </c>
      <c r="H24" t="s">
        <v>5</v>
      </c>
      <c r="I24">
        <v>74</v>
      </c>
      <c r="J24" s="1">
        <v>41971</v>
      </c>
      <c r="K24" t="s">
        <v>6</v>
      </c>
      <c r="L24">
        <v>17.04</v>
      </c>
      <c r="O24" s="3">
        <f t="shared" si="0"/>
        <v>8.6043533930857868E-2</v>
      </c>
      <c r="P24" s="3">
        <f t="shared" si="1"/>
        <v>-9.2371821592330122E-2</v>
      </c>
      <c r="Q24" s="3">
        <f t="shared" si="2"/>
        <v>0.19702361695244258</v>
      </c>
      <c r="R24" s="3">
        <f t="shared" si="3"/>
        <v>-6.9930069930070511E-3</v>
      </c>
    </row>
    <row r="25" spans="1:18" x14ac:dyDescent="0.2">
      <c r="A25" s="1">
        <v>42004</v>
      </c>
      <c r="B25" t="s">
        <v>3</v>
      </c>
      <c r="C25">
        <v>44.97</v>
      </c>
      <c r="D25" s="1">
        <v>42004</v>
      </c>
      <c r="E25" t="s">
        <v>4</v>
      </c>
      <c r="F25">
        <v>112.18</v>
      </c>
      <c r="G25" s="1">
        <v>42004</v>
      </c>
      <c r="H25" t="s">
        <v>5</v>
      </c>
      <c r="I25">
        <v>75.91</v>
      </c>
      <c r="J25" s="1">
        <v>42004</v>
      </c>
      <c r="K25" t="s">
        <v>6</v>
      </c>
      <c r="L25">
        <v>17.89</v>
      </c>
      <c r="O25" s="3">
        <f t="shared" si="0"/>
        <v>6.0363121905211092E-2</v>
      </c>
      <c r="P25" s="3">
        <f t="shared" si="1"/>
        <v>3.0403233213924883E-2</v>
      </c>
      <c r="Q25" s="3">
        <f t="shared" si="2"/>
        <v>2.5810810810810766E-2</v>
      </c>
      <c r="R25" s="3">
        <f t="shared" si="3"/>
        <v>4.9882629107981309E-2</v>
      </c>
    </row>
    <row r="26" spans="1:18" x14ac:dyDescent="0.2">
      <c r="A26" s="1">
        <v>42034</v>
      </c>
      <c r="B26" t="s">
        <v>3</v>
      </c>
      <c r="C26">
        <v>41.89</v>
      </c>
      <c r="D26" s="1">
        <v>42034</v>
      </c>
      <c r="E26" t="s">
        <v>4</v>
      </c>
      <c r="F26">
        <v>102.53</v>
      </c>
      <c r="G26" s="1">
        <v>42034</v>
      </c>
      <c r="H26" t="s">
        <v>5</v>
      </c>
      <c r="I26">
        <v>73.61</v>
      </c>
      <c r="J26" s="1">
        <v>42034</v>
      </c>
      <c r="K26" t="s">
        <v>6</v>
      </c>
      <c r="L26">
        <v>15.15</v>
      </c>
      <c r="O26" s="3">
        <f t="shared" si="0"/>
        <v>-6.8490104514120492E-2</v>
      </c>
      <c r="P26" s="3">
        <f t="shared" si="1"/>
        <v>-8.6022463897307944E-2</v>
      </c>
      <c r="Q26" s="3">
        <f t="shared" si="2"/>
        <v>-3.0299038334870205E-2</v>
      </c>
      <c r="R26" s="3">
        <f t="shared" si="3"/>
        <v>-0.15315818893236446</v>
      </c>
    </row>
    <row r="27" spans="1:18" x14ac:dyDescent="0.2">
      <c r="A27" s="1">
        <v>42062</v>
      </c>
      <c r="B27" t="s">
        <v>3</v>
      </c>
      <c r="C27">
        <v>43.82</v>
      </c>
      <c r="D27" s="1">
        <v>42062</v>
      </c>
      <c r="E27" t="s">
        <v>4</v>
      </c>
      <c r="F27">
        <v>106.68</v>
      </c>
      <c r="G27" s="1">
        <v>42062</v>
      </c>
      <c r="H27" t="s">
        <v>5</v>
      </c>
      <c r="I27">
        <v>76.83</v>
      </c>
      <c r="J27" s="1">
        <v>42062</v>
      </c>
      <c r="K27" t="s">
        <v>6</v>
      </c>
      <c r="L27">
        <v>15.81</v>
      </c>
      <c r="O27" s="3">
        <f t="shared" si="0"/>
        <v>4.6073048460253035E-2</v>
      </c>
      <c r="P27" s="3">
        <f t="shared" si="1"/>
        <v>4.0475958256120215E-2</v>
      </c>
      <c r="Q27" s="3">
        <f t="shared" si="2"/>
        <v>4.3744056514060575E-2</v>
      </c>
      <c r="R27" s="3">
        <f t="shared" si="3"/>
        <v>4.3564356435643575E-2</v>
      </c>
    </row>
    <row r="28" spans="1:18" x14ac:dyDescent="0.2">
      <c r="A28" s="1">
        <v>42094</v>
      </c>
      <c r="B28" t="s">
        <v>3</v>
      </c>
      <c r="C28">
        <v>43.15</v>
      </c>
      <c r="D28" s="1">
        <v>42094</v>
      </c>
      <c r="E28" t="s">
        <v>4</v>
      </c>
      <c r="F28">
        <v>104.98</v>
      </c>
      <c r="G28" s="1">
        <v>42094</v>
      </c>
      <c r="H28" t="s">
        <v>5</v>
      </c>
      <c r="I28">
        <v>82.07</v>
      </c>
      <c r="J28" s="1">
        <v>42094</v>
      </c>
      <c r="K28" t="s">
        <v>6</v>
      </c>
      <c r="L28">
        <v>15.39</v>
      </c>
      <c r="O28" s="3">
        <f t="shared" si="0"/>
        <v>-1.5289821999087214E-2</v>
      </c>
      <c r="P28" s="3">
        <f t="shared" si="1"/>
        <v>-1.593550806149234E-2</v>
      </c>
      <c r="Q28" s="3">
        <f t="shared" si="2"/>
        <v>6.8202525055316862E-2</v>
      </c>
      <c r="R28" s="3">
        <f t="shared" si="3"/>
        <v>-2.6565464895635667E-2</v>
      </c>
    </row>
    <row r="29" spans="1:18" x14ac:dyDescent="0.2">
      <c r="A29" s="1">
        <v>42124</v>
      </c>
      <c r="B29" t="s">
        <v>3</v>
      </c>
      <c r="C29">
        <v>43.62</v>
      </c>
      <c r="D29" s="1">
        <v>42124</v>
      </c>
      <c r="E29" t="s">
        <v>4</v>
      </c>
      <c r="F29">
        <v>111.06</v>
      </c>
      <c r="G29" s="1">
        <v>42124</v>
      </c>
      <c r="H29" t="s">
        <v>5</v>
      </c>
      <c r="I29">
        <v>78.83</v>
      </c>
      <c r="J29" s="1">
        <v>42124</v>
      </c>
      <c r="K29" t="s">
        <v>6</v>
      </c>
      <c r="L29">
        <v>15.93</v>
      </c>
      <c r="O29" s="3">
        <f t="shared" si="0"/>
        <v>1.0892236384704494E-2</v>
      </c>
      <c r="P29" s="3">
        <f t="shared" si="1"/>
        <v>5.7915793484473212E-2</v>
      </c>
      <c r="Q29" s="3">
        <f t="shared" si="2"/>
        <v>-3.9478493968563365E-2</v>
      </c>
      <c r="R29" s="3">
        <f t="shared" si="3"/>
        <v>3.5087719298245557E-2</v>
      </c>
    </row>
    <row r="30" spans="1:18" x14ac:dyDescent="0.2">
      <c r="A30" s="1">
        <v>42153</v>
      </c>
      <c r="B30" t="s">
        <v>3</v>
      </c>
      <c r="C30">
        <v>43.49</v>
      </c>
      <c r="D30" s="1">
        <v>42153</v>
      </c>
      <c r="E30" t="s">
        <v>4</v>
      </c>
      <c r="F30">
        <v>103</v>
      </c>
      <c r="G30" s="1">
        <v>42153</v>
      </c>
      <c r="H30" t="s">
        <v>5</v>
      </c>
      <c r="I30">
        <v>79.319999999999993</v>
      </c>
      <c r="J30" s="1">
        <v>42153</v>
      </c>
      <c r="K30" t="s">
        <v>6</v>
      </c>
      <c r="L30">
        <v>16.5</v>
      </c>
      <c r="O30" s="3">
        <f t="shared" si="0"/>
        <v>-2.9802842732690386E-3</v>
      </c>
      <c r="P30" s="3">
        <f t="shared" si="1"/>
        <v>-7.2573383756528026E-2</v>
      </c>
      <c r="Q30" s="3">
        <f t="shared" si="2"/>
        <v>6.215907649372002E-3</v>
      </c>
      <c r="R30" s="3">
        <f t="shared" si="3"/>
        <v>3.5781544256120547E-2</v>
      </c>
    </row>
    <row r="31" spans="1:18" x14ac:dyDescent="0.2">
      <c r="A31" s="1">
        <v>42185</v>
      </c>
      <c r="B31" t="s">
        <v>3</v>
      </c>
      <c r="C31">
        <v>40.299999999999997</v>
      </c>
      <c r="D31" s="1">
        <v>42185</v>
      </c>
      <c r="E31" t="s">
        <v>4</v>
      </c>
      <c r="F31">
        <v>96.47</v>
      </c>
      <c r="G31" s="1">
        <v>42185</v>
      </c>
      <c r="H31" t="s">
        <v>5</v>
      </c>
      <c r="I31">
        <v>81.63</v>
      </c>
      <c r="J31" s="1">
        <v>42185</v>
      </c>
      <c r="K31" t="s">
        <v>6</v>
      </c>
      <c r="L31">
        <v>17.02</v>
      </c>
      <c r="O31" s="3">
        <f t="shared" si="0"/>
        <v>-7.3350195447229358E-2</v>
      </c>
      <c r="P31" s="3">
        <f t="shared" si="1"/>
        <v>-6.3398058252427197E-2</v>
      </c>
      <c r="Q31" s="3">
        <f t="shared" si="2"/>
        <v>2.9122541603630894E-2</v>
      </c>
      <c r="R31" s="3">
        <f t="shared" si="3"/>
        <v>3.1515151515151489E-2</v>
      </c>
    </row>
    <row r="32" spans="1:18" x14ac:dyDescent="0.2">
      <c r="A32" s="1">
        <v>42216</v>
      </c>
      <c r="B32" t="s">
        <v>3</v>
      </c>
      <c r="C32">
        <v>39.94</v>
      </c>
      <c r="D32" s="1">
        <v>42216</v>
      </c>
      <c r="E32" t="s">
        <v>4</v>
      </c>
      <c r="F32">
        <v>88.48</v>
      </c>
      <c r="G32" s="1">
        <v>42216</v>
      </c>
      <c r="H32" t="s">
        <v>5</v>
      </c>
      <c r="I32">
        <v>81.849999999999994</v>
      </c>
      <c r="J32" s="1">
        <v>42216</v>
      </c>
      <c r="K32" t="s">
        <v>6</v>
      </c>
      <c r="L32">
        <v>17.88</v>
      </c>
      <c r="O32" s="3">
        <f t="shared" si="0"/>
        <v>-8.9330024813895643E-3</v>
      </c>
      <c r="P32" s="3">
        <f t="shared" si="1"/>
        <v>-8.2823675754120404E-2</v>
      </c>
      <c r="Q32" s="3">
        <f t="shared" si="2"/>
        <v>2.6950875903466727E-3</v>
      </c>
      <c r="R32" s="3">
        <f t="shared" si="3"/>
        <v>5.0528789659224409E-2</v>
      </c>
    </row>
    <row r="33" spans="1:18" x14ac:dyDescent="0.2">
      <c r="A33" s="1">
        <v>42247</v>
      </c>
      <c r="B33" t="s">
        <v>3</v>
      </c>
      <c r="C33">
        <v>37.090000000000003</v>
      </c>
      <c r="D33" s="1">
        <v>42247</v>
      </c>
      <c r="E33" t="s">
        <v>4</v>
      </c>
      <c r="F33">
        <v>80.989999999999995</v>
      </c>
      <c r="G33" s="1">
        <v>42247</v>
      </c>
      <c r="H33" t="s">
        <v>5</v>
      </c>
      <c r="I33">
        <v>77.709999999999994</v>
      </c>
      <c r="J33" s="1">
        <v>42247</v>
      </c>
      <c r="K33" t="s">
        <v>6</v>
      </c>
      <c r="L33">
        <v>16.34</v>
      </c>
      <c r="O33" s="3">
        <f t="shared" si="0"/>
        <v>-7.1357035553329853E-2</v>
      </c>
      <c r="P33" s="3">
        <f t="shared" si="1"/>
        <v>-8.4651898734177319E-2</v>
      </c>
      <c r="Q33" s="3">
        <f t="shared" si="2"/>
        <v>-5.0580329871716567E-2</v>
      </c>
      <c r="R33" s="3">
        <f t="shared" si="3"/>
        <v>-8.6129753914988769E-2</v>
      </c>
    </row>
    <row r="34" spans="1:18" x14ac:dyDescent="0.2">
      <c r="A34" s="1">
        <v>42277</v>
      </c>
      <c r="B34" t="s">
        <v>3</v>
      </c>
      <c r="C34">
        <v>36.119999999999997</v>
      </c>
      <c r="D34" s="1">
        <v>42277</v>
      </c>
      <c r="E34" t="s">
        <v>4</v>
      </c>
      <c r="F34">
        <v>78.88</v>
      </c>
      <c r="G34" s="1">
        <v>42277</v>
      </c>
      <c r="H34" t="s">
        <v>5</v>
      </c>
      <c r="I34">
        <v>78.66</v>
      </c>
      <c r="J34" s="1">
        <v>42277</v>
      </c>
      <c r="K34" t="s">
        <v>6</v>
      </c>
      <c r="L34">
        <v>15.58</v>
      </c>
      <c r="O34" s="3">
        <f t="shared" si="0"/>
        <v>-2.6152601779455536E-2</v>
      </c>
      <c r="P34" s="3">
        <f t="shared" si="1"/>
        <v>-2.6052599086306947E-2</v>
      </c>
      <c r="Q34" s="3">
        <f t="shared" si="2"/>
        <v>1.2224938875305661E-2</v>
      </c>
      <c r="R34" s="3">
        <f t="shared" si="3"/>
        <v>-4.651162790697673E-2</v>
      </c>
    </row>
    <row r="35" spans="1:18" x14ac:dyDescent="0.2">
      <c r="A35" s="1">
        <v>42307</v>
      </c>
      <c r="B35" t="s">
        <v>3</v>
      </c>
      <c r="C35">
        <v>38.840000000000003</v>
      </c>
      <c r="D35" s="1">
        <v>42307</v>
      </c>
      <c r="E35" t="s">
        <v>4</v>
      </c>
      <c r="F35">
        <v>90.88</v>
      </c>
      <c r="G35" s="1">
        <v>42307</v>
      </c>
      <c r="H35" t="s">
        <v>5</v>
      </c>
      <c r="I35">
        <v>77.180000000000007</v>
      </c>
      <c r="J35" s="1">
        <v>42307</v>
      </c>
      <c r="K35" t="s">
        <v>6</v>
      </c>
      <c r="L35">
        <v>16.78</v>
      </c>
      <c r="O35" s="3">
        <f t="shared" ref="O35:O66" si="4">(C35-C34)/C34</f>
        <v>7.530454042081966E-2</v>
      </c>
      <c r="P35" s="3">
        <f t="shared" ref="P35:P66" si="5">(F35-F34)/F34</f>
        <v>0.15212981744421908</v>
      </c>
      <c r="Q35" s="3">
        <f t="shared" ref="Q35:Q66" si="6">(I35-I34)/I34</f>
        <v>-1.8815153826595345E-2</v>
      </c>
      <c r="R35" s="3">
        <f t="shared" ref="R35:R66" si="7">(L35-L34)/L34</f>
        <v>7.702182284980752E-2</v>
      </c>
    </row>
    <row r="36" spans="1:18" x14ac:dyDescent="0.2">
      <c r="A36" s="1">
        <v>42338</v>
      </c>
      <c r="B36" t="s">
        <v>3</v>
      </c>
      <c r="C36">
        <v>38.97</v>
      </c>
      <c r="D36" s="1">
        <v>42338</v>
      </c>
      <c r="E36" t="s">
        <v>4</v>
      </c>
      <c r="F36">
        <v>91.32</v>
      </c>
      <c r="G36" s="1">
        <v>42338</v>
      </c>
      <c r="H36" t="s">
        <v>5</v>
      </c>
      <c r="I36">
        <v>72.5</v>
      </c>
      <c r="J36" s="1">
        <v>42338</v>
      </c>
      <c r="K36" t="s">
        <v>6</v>
      </c>
      <c r="L36">
        <v>17.43</v>
      </c>
      <c r="O36" s="3">
        <f t="shared" si="4"/>
        <v>3.347064881565279E-3</v>
      </c>
      <c r="P36" s="3">
        <f t="shared" si="5"/>
        <v>4.8415492957746232E-3</v>
      </c>
      <c r="Q36" s="3">
        <f t="shared" si="6"/>
        <v>-6.0637470847369868E-2</v>
      </c>
      <c r="R36" s="3">
        <f t="shared" si="7"/>
        <v>3.8736591179976076E-2</v>
      </c>
    </row>
    <row r="37" spans="1:18" x14ac:dyDescent="0.2">
      <c r="A37" s="1">
        <v>42369</v>
      </c>
      <c r="B37" t="s">
        <v>3</v>
      </c>
      <c r="C37">
        <v>36.53</v>
      </c>
      <c r="D37" s="1">
        <v>42369</v>
      </c>
      <c r="E37" t="s">
        <v>4</v>
      </c>
      <c r="F37">
        <v>89.96</v>
      </c>
      <c r="G37" s="1">
        <v>42369</v>
      </c>
      <c r="H37" t="s">
        <v>5</v>
      </c>
      <c r="I37">
        <v>72.61</v>
      </c>
      <c r="J37" s="1">
        <v>42369</v>
      </c>
      <c r="K37" t="s">
        <v>6</v>
      </c>
      <c r="L37">
        <v>16.829999999999998</v>
      </c>
      <c r="O37" s="3">
        <f t="shared" si="4"/>
        <v>-6.2612265845522139E-2</v>
      </c>
      <c r="P37" s="3">
        <f t="shared" si="5"/>
        <v>-1.4892685063512916E-2</v>
      </c>
      <c r="Q37" s="3">
        <f t="shared" si="6"/>
        <v>1.5172413793103369E-3</v>
      </c>
      <c r="R37" s="3">
        <f t="shared" si="7"/>
        <v>-3.4423407917383901E-2</v>
      </c>
    </row>
    <row r="38" spans="1:18" x14ac:dyDescent="0.2">
      <c r="A38" s="1">
        <v>42398</v>
      </c>
      <c r="B38" t="s">
        <v>3</v>
      </c>
      <c r="C38">
        <v>36.31</v>
      </c>
      <c r="D38" s="1">
        <v>42398</v>
      </c>
      <c r="E38" t="s">
        <v>4</v>
      </c>
      <c r="F38">
        <v>86.47</v>
      </c>
      <c r="G38" s="1">
        <v>42398</v>
      </c>
      <c r="H38" t="s">
        <v>5</v>
      </c>
      <c r="I38">
        <v>72.42</v>
      </c>
      <c r="J38" s="1">
        <v>42398</v>
      </c>
      <c r="K38" t="s">
        <v>6</v>
      </c>
      <c r="L38">
        <v>14.14</v>
      </c>
      <c r="O38" s="3">
        <f t="shared" si="4"/>
        <v>-6.0224473035860619E-3</v>
      </c>
      <c r="P38" s="3">
        <f t="shared" si="5"/>
        <v>-3.8795020008892789E-2</v>
      </c>
      <c r="Q38" s="3">
        <f t="shared" si="6"/>
        <v>-2.6167194601294276E-3</v>
      </c>
      <c r="R38" s="3">
        <f t="shared" si="7"/>
        <v>-0.1598336304218656</v>
      </c>
    </row>
    <row r="39" spans="1:18" x14ac:dyDescent="0.2">
      <c r="A39" s="1">
        <v>42429</v>
      </c>
      <c r="B39" t="s">
        <v>3</v>
      </c>
      <c r="C39">
        <v>36.78</v>
      </c>
      <c r="D39" s="1">
        <v>42429</v>
      </c>
      <c r="E39" t="s">
        <v>4</v>
      </c>
      <c r="F39">
        <v>83.44</v>
      </c>
      <c r="G39" s="1">
        <v>42429</v>
      </c>
      <c r="H39" t="s">
        <v>5</v>
      </c>
      <c r="I39">
        <v>78.45</v>
      </c>
      <c r="J39" s="1">
        <v>42429</v>
      </c>
      <c r="K39" t="s">
        <v>6</v>
      </c>
      <c r="L39">
        <v>12.52</v>
      </c>
      <c r="O39" s="3">
        <f t="shared" si="4"/>
        <v>1.2944092536491293E-2</v>
      </c>
      <c r="P39" s="3">
        <f t="shared" si="5"/>
        <v>-3.5041054701052399E-2</v>
      </c>
      <c r="Q39" s="3">
        <f t="shared" si="6"/>
        <v>8.3264291632145826E-2</v>
      </c>
      <c r="R39" s="3">
        <f t="shared" si="7"/>
        <v>-0.11456859971711464</v>
      </c>
    </row>
    <row r="40" spans="1:18" x14ac:dyDescent="0.2">
      <c r="A40" s="1">
        <v>42460</v>
      </c>
      <c r="B40" t="s">
        <v>3</v>
      </c>
      <c r="C40">
        <v>40.909999999999997</v>
      </c>
      <c r="D40" s="1">
        <v>42460</v>
      </c>
      <c r="E40" t="s">
        <v>4</v>
      </c>
      <c r="F40">
        <v>95.4</v>
      </c>
      <c r="G40" s="1">
        <v>42460</v>
      </c>
      <c r="H40" t="s">
        <v>5</v>
      </c>
      <c r="I40">
        <v>82.28</v>
      </c>
      <c r="J40" s="1">
        <v>42460</v>
      </c>
      <c r="K40" t="s">
        <v>6</v>
      </c>
      <c r="L40">
        <v>13.52</v>
      </c>
      <c r="O40" s="3">
        <f t="shared" si="4"/>
        <v>0.11228928765633484</v>
      </c>
      <c r="P40" s="3">
        <f t="shared" si="5"/>
        <v>0.14333652924256962</v>
      </c>
      <c r="Q40" s="3">
        <f t="shared" si="6"/>
        <v>4.8820905035054152E-2</v>
      </c>
      <c r="R40" s="3">
        <f t="shared" si="7"/>
        <v>7.9872204472843447E-2</v>
      </c>
    </row>
    <row r="41" spans="1:18" x14ac:dyDescent="0.2">
      <c r="A41" s="1">
        <v>42489</v>
      </c>
      <c r="B41" t="s">
        <v>3</v>
      </c>
      <c r="C41">
        <v>39.86</v>
      </c>
      <c r="D41" s="1">
        <v>42489</v>
      </c>
      <c r="E41" t="s">
        <v>4</v>
      </c>
      <c r="F41">
        <v>102.18</v>
      </c>
      <c r="G41" s="1">
        <v>42489</v>
      </c>
      <c r="H41" t="s">
        <v>5</v>
      </c>
      <c r="I41">
        <v>79.5</v>
      </c>
      <c r="J41" s="1">
        <v>42489</v>
      </c>
      <c r="K41" t="s">
        <v>6</v>
      </c>
      <c r="L41">
        <v>14.56</v>
      </c>
      <c r="O41" s="3">
        <f t="shared" si="4"/>
        <v>-2.5666096308970845E-2</v>
      </c>
      <c r="P41" s="3">
        <f t="shared" si="5"/>
        <v>7.1069182389937119E-2</v>
      </c>
      <c r="Q41" s="3">
        <f t="shared" si="6"/>
        <v>-3.3787068546426852E-2</v>
      </c>
      <c r="R41" s="3">
        <f t="shared" si="7"/>
        <v>7.6923076923076997E-2</v>
      </c>
    </row>
    <row r="42" spans="1:18" x14ac:dyDescent="0.2">
      <c r="A42" s="1">
        <v>42521</v>
      </c>
      <c r="B42" t="s">
        <v>3</v>
      </c>
      <c r="C42">
        <v>40.200000000000003</v>
      </c>
      <c r="D42" s="1">
        <v>42521</v>
      </c>
      <c r="E42" t="s">
        <v>4</v>
      </c>
      <c r="F42">
        <v>101</v>
      </c>
      <c r="G42" s="1">
        <v>42521</v>
      </c>
      <c r="H42" t="s">
        <v>5</v>
      </c>
      <c r="I42">
        <v>68.78</v>
      </c>
      <c r="J42" s="1">
        <v>42521</v>
      </c>
      <c r="K42" t="s">
        <v>6</v>
      </c>
      <c r="L42">
        <v>14.79</v>
      </c>
      <c r="O42" s="3">
        <f t="shared" si="4"/>
        <v>8.5298544907175967E-3</v>
      </c>
      <c r="P42" s="3">
        <f t="shared" si="5"/>
        <v>-1.154824818946963E-2</v>
      </c>
      <c r="Q42" s="3">
        <f t="shared" si="6"/>
        <v>-0.13484276729559747</v>
      </c>
      <c r="R42" s="3">
        <f t="shared" si="7"/>
        <v>1.5796703296703202E-2</v>
      </c>
    </row>
    <row r="43" spans="1:18" x14ac:dyDescent="0.2">
      <c r="A43" s="1">
        <v>42551</v>
      </c>
      <c r="B43" t="s">
        <v>3</v>
      </c>
      <c r="C43">
        <v>40.93</v>
      </c>
      <c r="D43" s="1">
        <v>42551</v>
      </c>
      <c r="E43" t="s">
        <v>4</v>
      </c>
      <c r="F43">
        <v>104.83</v>
      </c>
      <c r="G43" s="1">
        <v>42551</v>
      </c>
      <c r="H43" t="s">
        <v>5</v>
      </c>
      <c r="I43">
        <v>69.819999999999993</v>
      </c>
      <c r="J43" s="1">
        <v>42551</v>
      </c>
      <c r="K43" t="s">
        <v>6</v>
      </c>
      <c r="L43">
        <v>13.27</v>
      </c>
      <c r="O43" s="3">
        <f t="shared" si="4"/>
        <v>1.8159203980099424E-2</v>
      </c>
      <c r="P43" s="3">
        <f t="shared" si="5"/>
        <v>3.7920792079207906E-2</v>
      </c>
      <c r="Q43" s="3">
        <f t="shared" si="6"/>
        <v>1.5120674614713463E-2</v>
      </c>
      <c r="R43" s="3">
        <f t="shared" si="7"/>
        <v>-0.10277214334009463</v>
      </c>
    </row>
    <row r="44" spans="1:18" x14ac:dyDescent="0.2">
      <c r="A44" s="1">
        <v>42580</v>
      </c>
      <c r="B44" t="s">
        <v>3</v>
      </c>
      <c r="C44">
        <v>41.04</v>
      </c>
      <c r="D44" s="1">
        <v>42580</v>
      </c>
      <c r="E44" t="s">
        <v>4</v>
      </c>
      <c r="F44">
        <v>102.48</v>
      </c>
      <c r="G44" s="1">
        <v>42580</v>
      </c>
      <c r="H44" t="s">
        <v>5</v>
      </c>
      <c r="I44">
        <v>75.33</v>
      </c>
      <c r="J44" s="1">
        <v>42580</v>
      </c>
      <c r="K44" t="s">
        <v>6</v>
      </c>
      <c r="L44">
        <v>14.49</v>
      </c>
      <c r="O44" s="3">
        <f t="shared" si="4"/>
        <v>2.6875152699731108E-3</v>
      </c>
      <c r="P44" s="3">
        <f t="shared" si="5"/>
        <v>-2.2417246971286792E-2</v>
      </c>
      <c r="Q44" s="3">
        <f t="shared" si="6"/>
        <v>7.8917215697507953E-2</v>
      </c>
      <c r="R44" s="3">
        <f t="shared" si="7"/>
        <v>9.1936699321778503E-2</v>
      </c>
    </row>
    <row r="45" spans="1:18" x14ac:dyDescent="0.2">
      <c r="A45" s="1">
        <v>42613</v>
      </c>
      <c r="B45" t="s">
        <v>3</v>
      </c>
      <c r="C45">
        <v>41.22</v>
      </c>
      <c r="D45" s="1">
        <v>42613</v>
      </c>
      <c r="E45" t="s">
        <v>4</v>
      </c>
      <c r="F45">
        <v>100.58</v>
      </c>
      <c r="G45" s="1">
        <v>42613</v>
      </c>
      <c r="H45" t="s">
        <v>5</v>
      </c>
      <c r="I45">
        <v>70.19</v>
      </c>
      <c r="J45" s="1">
        <v>42613</v>
      </c>
      <c r="K45" t="s">
        <v>6</v>
      </c>
      <c r="L45">
        <v>16.14</v>
      </c>
      <c r="O45" s="3">
        <f t="shared" si="4"/>
        <v>4.3859649122806946E-3</v>
      </c>
      <c r="P45" s="3">
        <f t="shared" si="5"/>
        <v>-1.854020296643253E-2</v>
      </c>
      <c r="Q45" s="3">
        <f t="shared" si="6"/>
        <v>-6.8233107659630962E-2</v>
      </c>
      <c r="R45" s="3">
        <f t="shared" si="7"/>
        <v>0.11387163561076606</v>
      </c>
    </row>
    <row r="46" spans="1:18" x14ac:dyDescent="0.2">
      <c r="A46" s="1">
        <v>42643</v>
      </c>
      <c r="B46" t="s">
        <v>3</v>
      </c>
      <c r="C46">
        <v>39.28</v>
      </c>
      <c r="D46" s="1">
        <v>42643</v>
      </c>
      <c r="E46" t="s">
        <v>4</v>
      </c>
      <c r="F46">
        <v>102.92</v>
      </c>
      <c r="G46" s="1">
        <v>42643</v>
      </c>
      <c r="H46" t="s">
        <v>5</v>
      </c>
      <c r="I46">
        <v>68.680000000000007</v>
      </c>
      <c r="J46" s="1">
        <v>42643</v>
      </c>
      <c r="K46" t="s">
        <v>6</v>
      </c>
      <c r="L46">
        <v>15.65</v>
      </c>
      <c r="O46" s="3">
        <f t="shared" si="4"/>
        <v>-4.706453178068893E-2</v>
      </c>
      <c r="P46" s="3">
        <f t="shared" si="5"/>
        <v>2.3265062636707134E-2</v>
      </c>
      <c r="Q46" s="3">
        <f t="shared" si="6"/>
        <v>-2.1513036045020528E-2</v>
      </c>
      <c r="R46" s="3">
        <f t="shared" si="7"/>
        <v>-3.0359355638166059E-2</v>
      </c>
    </row>
    <row r="47" spans="1:18" x14ac:dyDescent="0.2">
      <c r="A47" s="1">
        <v>42674</v>
      </c>
      <c r="B47" t="s">
        <v>3</v>
      </c>
      <c r="C47">
        <v>38.42</v>
      </c>
      <c r="D47" s="1">
        <v>42674</v>
      </c>
      <c r="E47" t="s">
        <v>4</v>
      </c>
      <c r="F47">
        <v>104.75</v>
      </c>
      <c r="G47" s="1">
        <v>42674</v>
      </c>
      <c r="H47" t="s">
        <v>5</v>
      </c>
      <c r="I47">
        <v>68.73</v>
      </c>
      <c r="J47" s="1">
        <v>42674</v>
      </c>
      <c r="K47" t="s">
        <v>6</v>
      </c>
      <c r="L47">
        <v>16.5</v>
      </c>
      <c r="O47" s="3">
        <f t="shared" si="4"/>
        <v>-2.1894093686354362E-2</v>
      </c>
      <c r="P47" s="3">
        <f t="shared" si="5"/>
        <v>1.7780800621842192E-2</v>
      </c>
      <c r="Q47" s="3">
        <f t="shared" si="6"/>
        <v>7.2801397786833363E-4</v>
      </c>
      <c r="R47" s="3">
        <f t="shared" si="7"/>
        <v>5.4313099041533523E-2</v>
      </c>
    </row>
    <row r="48" spans="1:18" x14ac:dyDescent="0.2">
      <c r="A48" s="1">
        <v>42704</v>
      </c>
      <c r="B48" t="s">
        <v>3</v>
      </c>
      <c r="C48">
        <v>40.19</v>
      </c>
      <c r="D48" s="1">
        <v>42704</v>
      </c>
      <c r="E48" t="s">
        <v>4</v>
      </c>
      <c r="F48">
        <v>111.56</v>
      </c>
      <c r="G48" s="1">
        <v>42704</v>
      </c>
      <c r="H48" t="s">
        <v>5</v>
      </c>
      <c r="I48">
        <v>77.239999999999995</v>
      </c>
      <c r="J48" s="1">
        <v>42704</v>
      </c>
      <c r="K48" t="s">
        <v>6</v>
      </c>
      <c r="L48">
        <v>21.12</v>
      </c>
      <c r="O48" s="3">
        <f t="shared" si="4"/>
        <v>4.6069755335762519E-2</v>
      </c>
      <c r="P48" s="3">
        <f t="shared" si="5"/>
        <v>6.5011933174224365E-2</v>
      </c>
      <c r="Q48" s="3">
        <f t="shared" si="6"/>
        <v>0.12381783791648465</v>
      </c>
      <c r="R48" s="3">
        <f t="shared" si="7"/>
        <v>0.28000000000000008</v>
      </c>
    </row>
    <row r="49" spans="1:18" x14ac:dyDescent="0.2">
      <c r="A49" s="1">
        <v>42734</v>
      </c>
      <c r="B49" t="s">
        <v>3</v>
      </c>
      <c r="C49">
        <v>38.450000000000003</v>
      </c>
      <c r="D49" s="1">
        <v>42734</v>
      </c>
      <c r="E49" t="s">
        <v>4</v>
      </c>
      <c r="F49">
        <v>117.7</v>
      </c>
      <c r="G49" s="1">
        <v>42734</v>
      </c>
      <c r="H49" t="s">
        <v>5</v>
      </c>
      <c r="I49">
        <v>72.23</v>
      </c>
      <c r="J49" s="1">
        <v>42734</v>
      </c>
      <c r="K49" t="s">
        <v>6</v>
      </c>
      <c r="L49">
        <v>22.1</v>
      </c>
      <c r="O49" s="3">
        <f t="shared" si="4"/>
        <v>-4.3294351828813013E-2</v>
      </c>
      <c r="P49" s="3">
        <f t="shared" si="5"/>
        <v>5.5037647902474007E-2</v>
      </c>
      <c r="Q49" s="3">
        <f t="shared" si="6"/>
        <v>-6.4862765406524997E-2</v>
      </c>
      <c r="R49" s="3">
        <f t="shared" si="7"/>
        <v>4.6401515151515173E-2</v>
      </c>
    </row>
    <row r="50" spans="1:18" x14ac:dyDescent="0.2">
      <c r="A50" s="1">
        <v>42766</v>
      </c>
      <c r="B50" t="s">
        <v>3</v>
      </c>
      <c r="C50">
        <v>40.11</v>
      </c>
      <c r="D50" s="1">
        <v>42766</v>
      </c>
      <c r="E50" t="s">
        <v>4</v>
      </c>
      <c r="F50">
        <v>111.35</v>
      </c>
      <c r="G50" s="1">
        <v>42766</v>
      </c>
      <c r="H50" t="s">
        <v>5</v>
      </c>
      <c r="I50">
        <v>64.48</v>
      </c>
      <c r="J50" s="1">
        <v>42766</v>
      </c>
      <c r="K50" t="s">
        <v>6</v>
      </c>
      <c r="L50">
        <v>22.64</v>
      </c>
      <c r="O50" s="3">
        <f t="shared" si="4"/>
        <v>4.317295188556558E-2</v>
      </c>
      <c r="P50" s="3">
        <f t="shared" si="5"/>
        <v>-5.395072217502131E-2</v>
      </c>
      <c r="Q50" s="3">
        <f t="shared" si="6"/>
        <v>-0.10729613733905578</v>
      </c>
      <c r="R50" s="3">
        <f t="shared" si="7"/>
        <v>2.4434389140271452E-2</v>
      </c>
    </row>
    <row r="51" spans="1:18" x14ac:dyDescent="0.2">
      <c r="A51" s="1">
        <v>42794</v>
      </c>
      <c r="B51" t="s">
        <v>3</v>
      </c>
      <c r="C51">
        <v>42.59</v>
      </c>
      <c r="D51" s="1">
        <v>42794</v>
      </c>
      <c r="E51" t="s">
        <v>4</v>
      </c>
      <c r="F51">
        <v>112.5</v>
      </c>
      <c r="G51" s="1">
        <v>42794</v>
      </c>
      <c r="H51" t="s">
        <v>5</v>
      </c>
      <c r="I51">
        <v>58.77</v>
      </c>
      <c r="J51" s="1">
        <v>42794</v>
      </c>
      <c r="K51" t="s">
        <v>6</v>
      </c>
      <c r="L51">
        <v>24.68</v>
      </c>
      <c r="O51" s="3">
        <f t="shared" si="4"/>
        <v>6.1829967589129994E-2</v>
      </c>
      <c r="P51" s="3">
        <f t="shared" si="5"/>
        <v>1.0327795240233549E-2</v>
      </c>
      <c r="Q51" s="3">
        <f t="shared" si="6"/>
        <v>-8.8554590570719613E-2</v>
      </c>
      <c r="R51" s="3">
        <f t="shared" si="7"/>
        <v>9.0106007067137769E-2</v>
      </c>
    </row>
    <row r="52" spans="1:18" x14ac:dyDescent="0.2">
      <c r="A52" s="1">
        <v>42825</v>
      </c>
      <c r="B52" t="s">
        <v>3</v>
      </c>
      <c r="C52">
        <v>44.61</v>
      </c>
      <c r="D52" s="1">
        <v>42825</v>
      </c>
      <c r="E52" t="s">
        <v>4</v>
      </c>
      <c r="F52">
        <v>107.37</v>
      </c>
      <c r="G52" s="1">
        <v>42825</v>
      </c>
      <c r="H52" t="s">
        <v>5</v>
      </c>
      <c r="I52">
        <v>55.19</v>
      </c>
      <c r="J52" s="1">
        <v>42825</v>
      </c>
      <c r="K52" t="s">
        <v>6</v>
      </c>
      <c r="L52">
        <v>23.59</v>
      </c>
      <c r="O52" s="3">
        <f t="shared" si="4"/>
        <v>4.7428973937543931E-2</v>
      </c>
      <c r="P52" s="3">
        <f t="shared" si="5"/>
        <v>-4.559999999999996E-2</v>
      </c>
      <c r="Q52" s="3">
        <f t="shared" si="6"/>
        <v>-6.091543304407019E-2</v>
      </c>
      <c r="R52" s="3">
        <f t="shared" si="7"/>
        <v>-4.4165316045380869E-2</v>
      </c>
    </row>
    <row r="53" spans="1:18" x14ac:dyDescent="0.2">
      <c r="A53" s="1">
        <v>42853</v>
      </c>
      <c r="B53" t="s">
        <v>3</v>
      </c>
      <c r="C53">
        <v>44.96</v>
      </c>
      <c r="D53" s="1">
        <v>42853</v>
      </c>
      <c r="E53" t="s">
        <v>4</v>
      </c>
      <c r="F53">
        <v>106.7</v>
      </c>
      <c r="G53" s="1">
        <v>42853</v>
      </c>
      <c r="H53" t="s">
        <v>5</v>
      </c>
      <c r="I53">
        <v>55.85</v>
      </c>
      <c r="J53" s="1">
        <v>42853</v>
      </c>
      <c r="K53" t="s">
        <v>6</v>
      </c>
      <c r="L53">
        <v>23.34</v>
      </c>
      <c r="O53" s="3">
        <f t="shared" si="4"/>
        <v>7.8457744900246908E-3</v>
      </c>
      <c r="P53" s="3">
        <f t="shared" si="5"/>
        <v>-6.2401043121915033E-3</v>
      </c>
      <c r="Q53" s="3">
        <f t="shared" si="6"/>
        <v>1.1958688168146471E-2</v>
      </c>
      <c r="R53" s="3">
        <f t="shared" si="7"/>
        <v>-1.0597710894446799E-2</v>
      </c>
    </row>
    <row r="54" spans="1:18" x14ac:dyDescent="0.2">
      <c r="A54" s="1">
        <v>42886</v>
      </c>
      <c r="B54" t="s">
        <v>3</v>
      </c>
      <c r="C54">
        <v>45.39</v>
      </c>
      <c r="D54" s="1">
        <v>42886</v>
      </c>
      <c r="E54" t="s">
        <v>4</v>
      </c>
      <c r="F54">
        <v>103.48</v>
      </c>
      <c r="G54" s="1">
        <v>42886</v>
      </c>
      <c r="H54" t="s">
        <v>5</v>
      </c>
      <c r="I54">
        <v>55.15</v>
      </c>
      <c r="J54" s="1">
        <v>42886</v>
      </c>
      <c r="K54" t="s">
        <v>6</v>
      </c>
      <c r="L54">
        <v>22.41</v>
      </c>
      <c r="O54" s="3">
        <f t="shared" si="4"/>
        <v>9.5640569395017729E-3</v>
      </c>
      <c r="P54" s="3">
        <f t="shared" si="5"/>
        <v>-3.0178069353327074E-2</v>
      </c>
      <c r="Q54" s="3">
        <f t="shared" si="6"/>
        <v>-1.2533572068039442E-2</v>
      </c>
      <c r="R54" s="3">
        <f t="shared" si="7"/>
        <v>-3.9845758354755775E-2</v>
      </c>
    </row>
    <row r="55" spans="1:18" x14ac:dyDescent="0.2">
      <c r="A55" s="1">
        <v>42916</v>
      </c>
      <c r="B55" t="s">
        <v>3</v>
      </c>
      <c r="C55">
        <v>50.14</v>
      </c>
      <c r="D55" s="1">
        <v>42916</v>
      </c>
      <c r="E55" t="s">
        <v>4</v>
      </c>
      <c r="F55">
        <v>104.33</v>
      </c>
      <c r="G55" s="1">
        <v>42916</v>
      </c>
      <c r="H55" t="s">
        <v>5</v>
      </c>
      <c r="I55">
        <v>52.29</v>
      </c>
      <c r="J55" s="1">
        <v>42916</v>
      </c>
      <c r="K55" t="s">
        <v>6</v>
      </c>
      <c r="L55">
        <v>24.26</v>
      </c>
      <c r="O55" s="3">
        <f t="shared" si="4"/>
        <v>0.10464860101343908</v>
      </c>
      <c r="P55" s="3">
        <f t="shared" si="5"/>
        <v>8.2141476613837878E-3</v>
      </c>
      <c r="Q55" s="3">
        <f t="shared" si="6"/>
        <v>-5.1858567543064359E-2</v>
      </c>
      <c r="R55" s="3">
        <f t="shared" si="7"/>
        <v>8.2552431950022376E-2</v>
      </c>
    </row>
    <row r="56" spans="1:18" x14ac:dyDescent="0.2">
      <c r="A56" s="1">
        <v>42947</v>
      </c>
      <c r="B56" t="s">
        <v>3</v>
      </c>
      <c r="C56">
        <v>49.93</v>
      </c>
      <c r="D56" s="1">
        <v>42947</v>
      </c>
      <c r="E56" t="s">
        <v>4</v>
      </c>
      <c r="F56">
        <v>109.19</v>
      </c>
      <c r="G56" s="1">
        <v>42947</v>
      </c>
      <c r="H56" t="s">
        <v>5</v>
      </c>
      <c r="I56">
        <v>56.67</v>
      </c>
      <c r="J56" s="1">
        <v>42947</v>
      </c>
      <c r="K56" t="s">
        <v>6</v>
      </c>
      <c r="L56">
        <v>24.12</v>
      </c>
      <c r="O56" s="3">
        <f t="shared" si="4"/>
        <v>-4.1882728360590517E-3</v>
      </c>
      <c r="P56" s="3">
        <f t="shared" si="5"/>
        <v>4.6582957921978335E-2</v>
      </c>
      <c r="Q56" s="3">
        <f t="shared" si="6"/>
        <v>8.3763625932300675E-2</v>
      </c>
      <c r="R56" s="3">
        <f t="shared" si="7"/>
        <v>-5.7708161582852666E-3</v>
      </c>
    </row>
    <row r="57" spans="1:18" x14ac:dyDescent="0.2">
      <c r="A57" s="1">
        <v>42978</v>
      </c>
      <c r="B57" t="s">
        <v>3</v>
      </c>
      <c r="C57">
        <v>50.33</v>
      </c>
      <c r="D57" s="1">
        <v>42978</v>
      </c>
      <c r="E57" t="s">
        <v>4</v>
      </c>
      <c r="F57">
        <v>107.62</v>
      </c>
      <c r="G57" s="1">
        <v>42978</v>
      </c>
      <c r="H57" t="s">
        <v>5</v>
      </c>
      <c r="I57">
        <v>54.53</v>
      </c>
      <c r="J57" s="1">
        <v>42978</v>
      </c>
      <c r="K57" t="s">
        <v>6</v>
      </c>
      <c r="L57">
        <v>23.89</v>
      </c>
      <c r="O57" s="3">
        <f t="shared" si="4"/>
        <v>8.0112157019827483E-3</v>
      </c>
      <c r="P57" s="3">
        <f t="shared" si="5"/>
        <v>-1.4378606099459595E-2</v>
      </c>
      <c r="Q57" s="3">
        <f t="shared" si="6"/>
        <v>-3.7762484559731788E-2</v>
      </c>
      <c r="R57" s="3">
        <f t="shared" si="7"/>
        <v>-9.5356550580431351E-3</v>
      </c>
    </row>
    <row r="58" spans="1:18" x14ac:dyDescent="0.2">
      <c r="A58" s="1">
        <v>43007</v>
      </c>
      <c r="B58" t="s">
        <v>3</v>
      </c>
      <c r="C58">
        <v>48.35</v>
      </c>
      <c r="D58" s="1">
        <v>43007</v>
      </c>
      <c r="E58" t="s">
        <v>4</v>
      </c>
      <c r="F58">
        <v>117.5</v>
      </c>
      <c r="G58" s="1">
        <v>43007</v>
      </c>
      <c r="H58" t="s">
        <v>5</v>
      </c>
      <c r="I58">
        <v>59.01</v>
      </c>
      <c r="J58" s="1">
        <v>43007</v>
      </c>
      <c r="K58" t="s">
        <v>6</v>
      </c>
      <c r="L58">
        <v>25.34</v>
      </c>
      <c r="O58" s="3">
        <f t="shared" si="4"/>
        <v>-3.934035366580562E-2</v>
      </c>
      <c r="P58" s="3">
        <f t="shared" si="5"/>
        <v>9.1804497305333535E-2</v>
      </c>
      <c r="Q58" s="3">
        <f t="shared" si="6"/>
        <v>8.2156611039794547E-2</v>
      </c>
      <c r="R58" s="3">
        <f t="shared" si="7"/>
        <v>6.069485140226033E-2</v>
      </c>
    </row>
    <row r="59" spans="1:18" x14ac:dyDescent="0.2">
      <c r="A59" s="1">
        <v>43039</v>
      </c>
      <c r="B59" t="s">
        <v>3</v>
      </c>
      <c r="C59">
        <v>50.9</v>
      </c>
      <c r="D59" s="1">
        <v>43039</v>
      </c>
      <c r="E59" t="s">
        <v>4</v>
      </c>
      <c r="F59">
        <v>115.89</v>
      </c>
      <c r="G59" s="1">
        <v>43039</v>
      </c>
      <c r="H59" t="s">
        <v>5</v>
      </c>
      <c r="I59">
        <v>59.04</v>
      </c>
      <c r="J59" s="1">
        <v>43039</v>
      </c>
      <c r="K59" t="s">
        <v>6</v>
      </c>
      <c r="L59">
        <v>27.39</v>
      </c>
      <c r="O59" s="3">
        <f t="shared" si="4"/>
        <v>5.2740434332988563E-2</v>
      </c>
      <c r="P59" s="3">
        <f t="shared" si="5"/>
        <v>-1.3702127659574462E-2</v>
      </c>
      <c r="Q59" s="3">
        <f t="shared" si="6"/>
        <v>5.0838840874429993E-4</v>
      </c>
      <c r="R59" s="3">
        <f t="shared" si="7"/>
        <v>8.0899763220205242E-2</v>
      </c>
    </row>
    <row r="60" spans="1:18" x14ac:dyDescent="0.2">
      <c r="A60" s="1">
        <v>43069</v>
      </c>
      <c r="B60" t="s">
        <v>3</v>
      </c>
      <c r="C60">
        <v>49.06</v>
      </c>
      <c r="D60" s="1">
        <v>43069</v>
      </c>
      <c r="E60" t="s">
        <v>4</v>
      </c>
      <c r="F60">
        <v>118.99</v>
      </c>
      <c r="G60" s="1">
        <v>43069</v>
      </c>
      <c r="H60" t="s">
        <v>5</v>
      </c>
      <c r="I60">
        <v>59.9</v>
      </c>
      <c r="J60" s="1">
        <v>43069</v>
      </c>
      <c r="K60" t="s">
        <v>6</v>
      </c>
      <c r="L60">
        <v>28.17</v>
      </c>
      <c r="O60" s="3">
        <f t="shared" si="4"/>
        <v>-3.6149312377210148E-2</v>
      </c>
      <c r="P60" s="3">
        <f t="shared" si="5"/>
        <v>2.6749503839848084E-2</v>
      </c>
      <c r="Q60" s="3">
        <f t="shared" si="6"/>
        <v>1.456639566395663E-2</v>
      </c>
      <c r="R60" s="3">
        <f t="shared" si="7"/>
        <v>2.8477546549835746E-2</v>
      </c>
    </row>
    <row r="61" spans="1:18" x14ac:dyDescent="0.2">
      <c r="A61" s="1">
        <v>43098</v>
      </c>
      <c r="B61" t="s">
        <v>3</v>
      </c>
      <c r="C61">
        <v>47.28</v>
      </c>
      <c r="D61" s="1">
        <v>43098</v>
      </c>
      <c r="E61" t="s">
        <v>4</v>
      </c>
      <c r="F61">
        <v>125.19</v>
      </c>
      <c r="G61" s="1">
        <v>43098</v>
      </c>
      <c r="H61" t="s">
        <v>5</v>
      </c>
      <c r="I61">
        <v>65.25</v>
      </c>
      <c r="J61" s="1">
        <v>43098</v>
      </c>
      <c r="K61" t="s">
        <v>6</v>
      </c>
      <c r="L61">
        <v>29.52</v>
      </c>
      <c r="O61" s="3">
        <f t="shared" si="4"/>
        <v>-3.628210354667756E-2</v>
      </c>
      <c r="P61" s="3">
        <f t="shared" si="5"/>
        <v>5.2105218925960192E-2</v>
      </c>
      <c r="Q61" s="3">
        <f t="shared" si="6"/>
        <v>8.93155258764608E-2</v>
      </c>
      <c r="R61" s="3">
        <f t="shared" si="7"/>
        <v>4.7923322683705992E-2</v>
      </c>
    </row>
    <row r="62" spans="1:18" x14ac:dyDescent="0.2">
      <c r="A62" s="1">
        <v>43131</v>
      </c>
      <c r="B62" t="s">
        <v>3</v>
      </c>
      <c r="C62">
        <v>51.59</v>
      </c>
      <c r="D62" s="1">
        <v>43131</v>
      </c>
      <c r="E62" t="s">
        <v>4</v>
      </c>
      <c r="F62">
        <v>125.35</v>
      </c>
      <c r="G62" s="1">
        <v>43131</v>
      </c>
      <c r="H62" t="s">
        <v>5</v>
      </c>
      <c r="I62">
        <v>75.22</v>
      </c>
      <c r="J62" s="1">
        <v>43131</v>
      </c>
      <c r="K62" t="s">
        <v>6</v>
      </c>
      <c r="L62">
        <v>32</v>
      </c>
      <c r="O62" s="3">
        <f t="shared" si="4"/>
        <v>9.1159052453468739E-2</v>
      </c>
      <c r="P62" s="3">
        <f t="shared" si="5"/>
        <v>1.2780573528236808E-3</v>
      </c>
      <c r="Q62" s="3">
        <f t="shared" si="6"/>
        <v>0.15279693486590037</v>
      </c>
      <c r="R62" s="3">
        <f t="shared" si="7"/>
        <v>8.4010840108401097E-2</v>
      </c>
    </row>
    <row r="63" spans="1:18" x14ac:dyDescent="0.2">
      <c r="A63" s="1">
        <v>43159</v>
      </c>
      <c r="B63" t="s">
        <v>3</v>
      </c>
      <c r="C63">
        <v>50.67</v>
      </c>
      <c r="D63" s="1">
        <v>43159</v>
      </c>
      <c r="E63" t="s">
        <v>4</v>
      </c>
      <c r="F63">
        <v>111.92</v>
      </c>
      <c r="G63" s="1">
        <v>43159</v>
      </c>
      <c r="H63" t="s">
        <v>5</v>
      </c>
      <c r="I63">
        <v>75.41</v>
      </c>
      <c r="J63" s="1">
        <v>43159</v>
      </c>
      <c r="K63" t="s">
        <v>6</v>
      </c>
      <c r="L63">
        <v>32.1</v>
      </c>
      <c r="O63" s="3">
        <f t="shared" si="4"/>
        <v>-1.7832913355301447E-2</v>
      </c>
      <c r="P63" s="3">
        <f t="shared" si="5"/>
        <v>-0.10714000797766249</v>
      </c>
      <c r="Q63" s="3">
        <f t="shared" si="6"/>
        <v>2.5259239563945458E-3</v>
      </c>
      <c r="R63" s="3">
        <f t="shared" si="7"/>
        <v>3.1250000000000444E-3</v>
      </c>
    </row>
    <row r="64" spans="1:18" x14ac:dyDescent="0.2">
      <c r="A64" s="1">
        <v>43188</v>
      </c>
      <c r="B64" t="s">
        <v>3</v>
      </c>
      <c r="C64">
        <v>45.75</v>
      </c>
      <c r="D64" s="1">
        <v>43188</v>
      </c>
      <c r="E64" t="s">
        <v>4</v>
      </c>
      <c r="F64">
        <v>114.04</v>
      </c>
      <c r="G64" s="1">
        <v>43188</v>
      </c>
      <c r="H64" t="s">
        <v>5</v>
      </c>
      <c r="I64">
        <v>69.430000000000007</v>
      </c>
      <c r="J64" s="1">
        <v>43188</v>
      </c>
      <c r="K64" t="s">
        <v>6</v>
      </c>
      <c r="L64">
        <v>29.99</v>
      </c>
      <c r="O64" s="3">
        <f t="shared" si="4"/>
        <v>-9.7098875074008315E-2</v>
      </c>
      <c r="P64" s="3">
        <f t="shared" si="5"/>
        <v>1.8942101501072235E-2</v>
      </c>
      <c r="Q64" s="3">
        <f t="shared" si="6"/>
        <v>-7.9299827609070284E-2</v>
      </c>
      <c r="R64" s="3">
        <f t="shared" si="7"/>
        <v>-6.5732087227414415E-2</v>
      </c>
    </row>
    <row r="65" spans="1:18" x14ac:dyDescent="0.2">
      <c r="A65" s="1">
        <v>43220</v>
      </c>
      <c r="B65" t="s">
        <v>3</v>
      </c>
      <c r="C65">
        <v>45.67</v>
      </c>
      <c r="D65" s="1">
        <v>43220</v>
      </c>
      <c r="E65" t="s">
        <v>4</v>
      </c>
      <c r="F65">
        <v>125.11</v>
      </c>
      <c r="G65" s="1">
        <v>43220</v>
      </c>
      <c r="H65" t="s">
        <v>5</v>
      </c>
      <c r="I65">
        <v>72.599999999999994</v>
      </c>
      <c r="J65" s="1">
        <v>43220</v>
      </c>
      <c r="K65" t="s">
        <v>6</v>
      </c>
      <c r="L65">
        <v>29.92</v>
      </c>
      <c r="O65" s="3">
        <f t="shared" si="4"/>
        <v>-1.7486338797813835E-3</v>
      </c>
      <c r="P65" s="3">
        <f t="shared" si="5"/>
        <v>9.7071203086636207E-2</v>
      </c>
      <c r="Q65" s="3">
        <f t="shared" si="6"/>
        <v>4.5657496759325754E-2</v>
      </c>
      <c r="R65" s="3">
        <f t="shared" si="7"/>
        <v>-2.3341113704567103E-3</v>
      </c>
    </row>
    <row r="66" spans="1:18" x14ac:dyDescent="0.2">
      <c r="A66" s="1">
        <v>43251</v>
      </c>
      <c r="B66" t="s">
        <v>3</v>
      </c>
      <c r="C66">
        <v>46.72</v>
      </c>
      <c r="D66" s="1">
        <v>43251</v>
      </c>
      <c r="E66" t="s">
        <v>4</v>
      </c>
      <c r="F66">
        <v>124.3</v>
      </c>
      <c r="G66" s="1">
        <v>43251</v>
      </c>
      <c r="H66" t="s">
        <v>5</v>
      </c>
      <c r="I66">
        <v>72.89</v>
      </c>
      <c r="J66" s="1">
        <v>43251</v>
      </c>
      <c r="K66" t="s">
        <v>6</v>
      </c>
      <c r="L66">
        <v>29.04</v>
      </c>
      <c r="O66" s="3">
        <f t="shared" si="4"/>
        <v>2.2991022553098251E-2</v>
      </c>
      <c r="P66" s="3">
        <f t="shared" si="5"/>
        <v>-6.4743026136999619E-3</v>
      </c>
      <c r="Q66" s="3">
        <f t="shared" si="6"/>
        <v>3.9944903581268084E-3</v>
      </c>
      <c r="R66" s="3">
        <f t="shared" si="7"/>
        <v>-2.9411764705882436E-2</v>
      </c>
    </row>
    <row r="67" spans="1:18" x14ac:dyDescent="0.2">
      <c r="A67" s="1">
        <v>43280</v>
      </c>
      <c r="B67" t="s">
        <v>3</v>
      </c>
      <c r="C67">
        <v>44.06</v>
      </c>
      <c r="D67" s="1">
        <v>43280</v>
      </c>
      <c r="E67" t="s">
        <v>4</v>
      </c>
      <c r="F67">
        <v>126.43</v>
      </c>
      <c r="G67" s="1">
        <v>43280</v>
      </c>
      <c r="H67" t="s">
        <v>5</v>
      </c>
      <c r="I67">
        <v>76.12</v>
      </c>
      <c r="J67" s="1">
        <v>43280</v>
      </c>
      <c r="K67" t="s">
        <v>6</v>
      </c>
      <c r="L67">
        <v>28.19</v>
      </c>
      <c r="O67" s="3">
        <f t="shared" ref="O67:O98" si="8">(C67-C66)/C66</f>
        <v>-5.6934931506849244E-2</v>
      </c>
      <c r="P67" s="3">
        <f t="shared" ref="P67:P98" si="9">(F67-F66)/F66</f>
        <v>1.7135961383749072E-2</v>
      </c>
      <c r="Q67" s="3">
        <f t="shared" ref="Q67:Q98" si="10">(I67-I66)/I66</f>
        <v>4.4313348881876852E-2</v>
      </c>
      <c r="R67" s="3">
        <f t="shared" ref="R67:R98" si="11">(L67-L66)/L66</f>
        <v>-2.9269972451790562E-2</v>
      </c>
    </row>
    <row r="68" spans="1:18" x14ac:dyDescent="0.2">
      <c r="A68" s="1">
        <v>43312</v>
      </c>
      <c r="B68" t="s">
        <v>3</v>
      </c>
      <c r="C68">
        <v>47.68</v>
      </c>
      <c r="D68" s="1">
        <v>43312</v>
      </c>
      <c r="E68" t="s">
        <v>4</v>
      </c>
      <c r="F68">
        <v>126.27</v>
      </c>
      <c r="G68" s="1">
        <v>43312</v>
      </c>
      <c r="H68" t="s">
        <v>5</v>
      </c>
      <c r="I68">
        <v>80.680000000000007</v>
      </c>
      <c r="J68" s="1">
        <v>43312</v>
      </c>
      <c r="K68" t="s">
        <v>6</v>
      </c>
      <c r="L68">
        <v>30.88</v>
      </c>
      <c r="O68" s="3">
        <f t="shared" si="8"/>
        <v>8.2160689968225079E-2</v>
      </c>
      <c r="P68" s="3">
        <f t="shared" si="9"/>
        <v>-1.2655224234755264E-3</v>
      </c>
      <c r="Q68" s="3">
        <f t="shared" si="10"/>
        <v>5.9905412506568605E-2</v>
      </c>
      <c r="R68" s="3">
        <f t="shared" si="11"/>
        <v>9.5423909187655115E-2</v>
      </c>
    </row>
    <row r="69" spans="1:18" x14ac:dyDescent="0.2">
      <c r="A69" s="1">
        <v>43343</v>
      </c>
      <c r="B69" t="s">
        <v>3</v>
      </c>
      <c r="C69">
        <v>48.58</v>
      </c>
      <c r="D69" s="1">
        <v>43343</v>
      </c>
      <c r="E69" t="s">
        <v>4</v>
      </c>
      <c r="F69">
        <v>118.46</v>
      </c>
      <c r="G69" s="1">
        <v>43343</v>
      </c>
      <c r="H69" t="s">
        <v>5</v>
      </c>
      <c r="I69">
        <v>87.5</v>
      </c>
      <c r="J69" s="1">
        <v>43343</v>
      </c>
      <c r="K69" t="s">
        <v>6</v>
      </c>
      <c r="L69">
        <v>30.93</v>
      </c>
      <c r="O69" s="3">
        <f t="shared" si="8"/>
        <v>1.8875838926174466E-2</v>
      </c>
      <c r="P69" s="3">
        <f t="shared" si="9"/>
        <v>-6.1851587867268569E-2</v>
      </c>
      <c r="Q69" s="3">
        <f t="shared" si="10"/>
        <v>8.4531482399603286E-2</v>
      </c>
      <c r="R69" s="3">
        <f t="shared" si="11"/>
        <v>1.6191709844559816E-3</v>
      </c>
    </row>
    <row r="70" spans="1:18" x14ac:dyDescent="0.2">
      <c r="A70" s="1">
        <v>43371</v>
      </c>
      <c r="B70" t="s">
        <v>3</v>
      </c>
      <c r="C70">
        <v>51.56</v>
      </c>
      <c r="D70" s="1">
        <v>43371</v>
      </c>
      <c r="E70" t="s">
        <v>4</v>
      </c>
      <c r="F70">
        <v>122.28</v>
      </c>
      <c r="G70" s="1">
        <v>43371</v>
      </c>
      <c r="H70" t="s">
        <v>5</v>
      </c>
      <c r="I70">
        <v>88.21</v>
      </c>
      <c r="J70" s="1">
        <v>43371</v>
      </c>
      <c r="K70" t="s">
        <v>6</v>
      </c>
      <c r="L70">
        <v>29.46</v>
      </c>
      <c r="O70" s="3">
        <f t="shared" si="8"/>
        <v>6.1342116097159408E-2</v>
      </c>
      <c r="P70" s="3">
        <f t="shared" si="9"/>
        <v>3.2247172041195406E-2</v>
      </c>
      <c r="Q70" s="3">
        <f t="shared" si="10"/>
        <v>8.1142857142856434E-3</v>
      </c>
      <c r="R70" s="3">
        <f t="shared" si="11"/>
        <v>-4.7526673132880663E-2</v>
      </c>
    </row>
    <row r="71" spans="1:18" x14ac:dyDescent="0.2">
      <c r="A71" s="1">
        <v>43404</v>
      </c>
      <c r="B71" t="s">
        <v>3</v>
      </c>
      <c r="C71">
        <v>48.84</v>
      </c>
      <c r="D71" s="1">
        <v>43404</v>
      </c>
      <c r="E71" t="s">
        <v>4</v>
      </c>
      <c r="F71">
        <v>111.65</v>
      </c>
      <c r="G71" s="1">
        <v>43404</v>
      </c>
      <c r="H71" t="s">
        <v>5</v>
      </c>
      <c r="I71">
        <v>83.63</v>
      </c>
      <c r="J71" s="1">
        <v>43404</v>
      </c>
      <c r="K71" t="s">
        <v>6</v>
      </c>
      <c r="L71">
        <v>27.5</v>
      </c>
      <c r="O71" s="3">
        <f t="shared" si="8"/>
        <v>-5.275407292474784E-2</v>
      </c>
      <c r="P71" s="3">
        <f t="shared" si="9"/>
        <v>-8.6931632319267219E-2</v>
      </c>
      <c r="Q71" s="3">
        <f t="shared" si="10"/>
        <v>-5.1921550844575427E-2</v>
      </c>
      <c r="R71" s="3">
        <f t="shared" si="11"/>
        <v>-6.6530889341480007E-2</v>
      </c>
    </row>
    <row r="72" spans="1:18" x14ac:dyDescent="0.2">
      <c r="A72" s="1">
        <v>43434</v>
      </c>
      <c r="B72" t="s">
        <v>3</v>
      </c>
      <c r="C72">
        <v>48.76</v>
      </c>
      <c r="D72" s="1">
        <v>43434</v>
      </c>
      <c r="E72" t="s">
        <v>4</v>
      </c>
      <c r="F72">
        <v>118.94</v>
      </c>
      <c r="G72" s="1">
        <v>43434</v>
      </c>
      <c r="H72" t="s">
        <v>5</v>
      </c>
      <c r="I72">
        <v>70.959999999999994</v>
      </c>
      <c r="J72" s="1">
        <v>43434</v>
      </c>
      <c r="K72" t="s">
        <v>6</v>
      </c>
      <c r="L72">
        <v>28.4</v>
      </c>
      <c r="O72" s="3">
        <f t="shared" si="8"/>
        <v>-1.6380016380017485E-3</v>
      </c>
      <c r="P72" s="3">
        <f t="shared" si="9"/>
        <v>6.5293327362292805E-2</v>
      </c>
      <c r="Q72" s="3">
        <f t="shared" si="10"/>
        <v>-0.15150065765873494</v>
      </c>
      <c r="R72" s="3">
        <f t="shared" si="11"/>
        <v>3.2727272727272674E-2</v>
      </c>
    </row>
    <row r="73" spans="1:18" x14ac:dyDescent="0.2">
      <c r="A73" s="1">
        <v>43465</v>
      </c>
      <c r="B73" t="s">
        <v>3</v>
      </c>
      <c r="C73">
        <v>45.15</v>
      </c>
      <c r="D73" s="1">
        <v>43465</v>
      </c>
      <c r="E73" t="s">
        <v>4</v>
      </c>
      <c r="F73">
        <v>108.79</v>
      </c>
      <c r="G73" s="1">
        <v>43465</v>
      </c>
      <c r="H73" t="s">
        <v>5</v>
      </c>
      <c r="I73">
        <v>66.09</v>
      </c>
      <c r="J73" s="1">
        <v>43465</v>
      </c>
      <c r="K73" t="s">
        <v>6</v>
      </c>
      <c r="L73">
        <v>24.64</v>
      </c>
      <c r="O73" s="3">
        <f t="shared" si="8"/>
        <v>-7.4036095159967175E-2</v>
      </c>
      <c r="P73" s="3">
        <f t="shared" si="9"/>
        <v>-8.5337144778880034E-2</v>
      </c>
      <c r="Q73" s="3">
        <f t="shared" si="10"/>
        <v>-6.8630214205185891E-2</v>
      </c>
      <c r="R73" s="3">
        <f t="shared" si="11"/>
        <v>-0.13239436619718303</v>
      </c>
    </row>
    <row r="74" spans="1:18" x14ac:dyDescent="0.2">
      <c r="A74" s="1">
        <v>43496</v>
      </c>
      <c r="B74" t="s">
        <v>3</v>
      </c>
      <c r="C74">
        <v>50.23</v>
      </c>
      <c r="D74" s="1">
        <v>43496</v>
      </c>
      <c r="E74" t="s">
        <v>4</v>
      </c>
      <c r="F74">
        <v>114.65</v>
      </c>
      <c r="G74" s="1">
        <v>43496</v>
      </c>
      <c r="H74" t="s">
        <v>5</v>
      </c>
      <c r="I74">
        <v>73</v>
      </c>
      <c r="J74" s="1">
        <v>43496</v>
      </c>
      <c r="K74" t="s">
        <v>6</v>
      </c>
      <c r="L74">
        <v>28.47</v>
      </c>
      <c r="O74" s="3">
        <f t="shared" si="8"/>
        <v>0.11251384274640085</v>
      </c>
      <c r="P74" s="3">
        <f t="shared" si="9"/>
        <v>5.3865244967368317E-2</v>
      </c>
      <c r="Q74" s="3">
        <f t="shared" si="10"/>
        <v>0.10455439552125884</v>
      </c>
      <c r="R74" s="3">
        <f t="shared" si="11"/>
        <v>0.15543831168831163</v>
      </c>
    </row>
    <row r="75" spans="1:18" x14ac:dyDescent="0.2">
      <c r="A75" s="1">
        <v>43524</v>
      </c>
      <c r="B75" t="s">
        <v>3</v>
      </c>
      <c r="C75">
        <v>52.13</v>
      </c>
      <c r="D75" s="1">
        <v>43524</v>
      </c>
      <c r="E75" t="s">
        <v>4</v>
      </c>
      <c r="F75">
        <v>119.58</v>
      </c>
      <c r="G75" s="1">
        <v>43524</v>
      </c>
      <c r="H75" t="s">
        <v>5</v>
      </c>
      <c r="I75">
        <v>72.64</v>
      </c>
      <c r="J75" s="1">
        <v>43524</v>
      </c>
      <c r="K75" t="s">
        <v>6</v>
      </c>
      <c r="L75">
        <v>29.08</v>
      </c>
      <c r="O75" s="3">
        <f t="shared" si="8"/>
        <v>3.7826000398168538E-2</v>
      </c>
      <c r="P75" s="3">
        <f t="shared" si="9"/>
        <v>4.3000436109899627E-2</v>
      </c>
      <c r="Q75" s="3">
        <f t="shared" si="10"/>
        <v>-4.9315068493150606E-3</v>
      </c>
      <c r="R75" s="3">
        <f t="shared" si="11"/>
        <v>2.1426062521952914E-2</v>
      </c>
    </row>
    <row r="76" spans="1:18" x14ac:dyDescent="0.2">
      <c r="A76" s="1">
        <v>43553</v>
      </c>
      <c r="B76" t="s">
        <v>3</v>
      </c>
      <c r="C76">
        <v>53.71</v>
      </c>
      <c r="D76" s="1">
        <v>43553</v>
      </c>
      <c r="E76" t="s">
        <v>4</v>
      </c>
      <c r="F76">
        <v>123.18</v>
      </c>
      <c r="G76" s="1">
        <v>43553</v>
      </c>
      <c r="H76" t="s">
        <v>5</v>
      </c>
      <c r="I76">
        <v>80.260000000000005</v>
      </c>
      <c r="J76" s="1">
        <v>43553</v>
      </c>
      <c r="K76" t="s">
        <v>6</v>
      </c>
      <c r="L76">
        <v>27.59</v>
      </c>
      <c r="O76" s="3">
        <f t="shared" si="8"/>
        <v>3.0308843276424288E-2</v>
      </c>
      <c r="P76" s="3">
        <f t="shared" si="9"/>
        <v>3.0105368790767757E-2</v>
      </c>
      <c r="Q76" s="3">
        <f t="shared" si="10"/>
        <v>0.10490088105726879</v>
      </c>
      <c r="R76" s="3">
        <f t="shared" si="11"/>
        <v>-5.1237964236588669E-2</v>
      </c>
    </row>
    <row r="77" spans="1:18" x14ac:dyDescent="0.2">
      <c r="A77" s="1">
        <v>43585</v>
      </c>
      <c r="B77" t="s">
        <v>3</v>
      </c>
      <c r="C77">
        <v>55.33</v>
      </c>
      <c r="D77" s="1">
        <v>43585</v>
      </c>
      <c r="E77" t="s">
        <v>4</v>
      </c>
      <c r="F77">
        <v>120.06</v>
      </c>
      <c r="G77" s="1">
        <v>43585</v>
      </c>
      <c r="H77" t="s">
        <v>5</v>
      </c>
      <c r="I77">
        <v>77.42</v>
      </c>
      <c r="J77" s="1">
        <v>43585</v>
      </c>
      <c r="K77" t="s">
        <v>6</v>
      </c>
      <c r="L77">
        <v>30.58</v>
      </c>
      <c r="O77" s="3">
        <f t="shared" si="8"/>
        <v>3.0161981009123019E-2</v>
      </c>
      <c r="P77" s="3">
        <f t="shared" si="9"/>
        <v>-2.5328787140769641E-2</v>
      </c>
      <c r="Q77" s="3">
        <f t="shared" si="10"/>
        <v>-3.5384998754049379E-2</v>
      </c>
      <c r="R77" s="3">
        <f t="shared" si="11"/>
        <v>0.10837259876766939</v>
      </c>
    </row>
    <row r="78" spans="1:18" x14ac:dyDescent="0.2">
      <c r="A78" s="1">
        <v>43616</v>
      </c>
      <c r="B78" t="s">
        <v>3</v>
      </c>
      <c r="C78">
        <v>50.6</v>
      </c>
      <c r="D78" s="1">
        <v>43616</v>
      </c>
      <c r="E78" t="s">
        <v>4</v>
      </c>
      <c r="F78">
        <v>113.85</v>
      </c>
      <c r="G78" s="1">
        <v>43616</v>
      </c>
      <c r="H78" t="s">
        <v>5</v>
      </c>
      <c r="I78">
        <v>80.45</v>
      </c>
      <c r="J78" s="1">
        <v>43616</v>
      </c>
      <c r="K78" t="s">
        <v>6</v>
      </c>
      <c r="L78">
        <v>26.6</v>
      </c>
      <c r="O78" s="3">
        <f t="shared" si="8"/>
        <v>-8.5487077534791192E-2</v>
      </c>
      <c r="P78" s="3">
        <f t="shared" si="9"/>
        <v>-5.1724137931034551E-2</v>
      </c>
      <c r="Q78" s="3">
        <f t="shared" si="10"/>
        <v>3.913717385688454E-2</v>
      </c>
      <c r="R78" s="3">
        <f t="shared" si="11"/>
        <v>-0.13015042511445379</v>
      </c>
    </row>
    <row r="79" spans="1:18" x14ac:dyDescent="0.2">
      <c r="A79" s="1">
        <v>43644</v>
      </c>
      <c r="B79" t="s">
        <v>3</v>
      </c>
      <c r="C79">
        <v>56.97</v>
      </c>
      <c r="D79" s="1">
        <v>43644</v>
      </c>
      <c r="E79" t="s">
        <v>4</v>
      </c>
      <c r="F79">
        <v>124.44</v>
      </c>
      <c r="G79" s="1">
        <v>43644</v>
      </c>
      <c r="H79" t="s">
        <v>5</v>
      </c>
      <c r="I79">
        <v>86.61</v>
      </c>
      <c r="J79" s="1">
        <v>43644</v>
      </c>
      <c r="K79" t="s">
        <v>6</v>
      </c>
      <c r="L79">
        <v>29</v>
      </c>
      <c r="O79" s="3">
        <f t="shared" si="8"/>
        <v>0.12588932806324105</v>
      </c>
      <c r="P79" s="3">
        <f t="shared" si="9"/>
        <v>9.3017127799736532E-2</v>
      </c>
      <c r="Q79" s="3">
        <f t="shared" si="10"/>
        <v>7.656929770043501E-2</v>
      </c>
      <c r="R79" s="3">
        <f t="shared" si="11"/>
        <v>9.0225563909774376E-2</v>
      </c>
    </row>
    <row r="80" spans="1:18" x14ac:dyDescent="0.2">
      <c r="A80" s="1">
        <v>43677</v>
      </c>
      <c r="B80" t="s">
        <v>3</v>
      </c>
      <c r="C80">
        <v>56.3</v>
      </c>
      <c r="D80" s="1">
        <v>43677</v>
      </c>
      <c r="E80" t="s">
        <v>4</v>
      </c>
      <c r="F80">
        <v>123.11</v>
      </c>
      <c r="G80" s="1">
        <v>43677</v>
      </c>
      <c r="H80" t="s">
        <v>5</v>
      </c>
      <c r="I80">
        <v>86.4</v>
      </c>
      <c r="J80" s="1">
        <v>43677</v>
      </c>
      <c r="K80" t="s">
        <v>6</v>
      </c>
      <c r="L80">
        <v>30.68</v>
      </c>
      <c r="O80" s="3">
        <f t="shared" si="8"/>
        <v>-1.1760575741618425E-2</v>
      </c>
      <c r="P80" s="3">
        <f t="shared" si="9"/>
        <v>-1.068788171006106E-2</v>
      </c>
      <c r="Q80" s="3">
        <f t="shared" si="10"/>
        <v>-2.4246622791824703E-3</v>
      </c>
      <c r="R80" s="3">
        <f t="shared" si="11"/>
        <v>5.793103448275861E-2</v>
      </c>
    </row>
    <row r="81" spans="1:18" x14ac:dyDescent="0.2">
      <c r="A81" s="1">
        <v>43707</v>
      </c>
      <c r="B81" t="s">
        <v>3</v>
      </c>
      <c r="C81">
        <v>52.06</v>
      </c>
      <c r="D81" s="1">
        <v>43707</v>
      </c>
      <c r="E81" t="s">
        <v>4</v>
      </c>
      <c r="F81">
        <v>117.72</v>
      </c>
      <c r="G81" s="1">
        <v>43707</v>
      </c>
      <c r="H81" t="s">
        <v>5</v>
      </c>
      <c r="I81">
        <v>107.04</v>
      </c>
      <c r="J81" s="1">
        <v>43707</v>
      </c>
      <c r="K81" t="s">
        <v>6</v>
      </c>
      <c r="L81">
        <v>27.51</v>
      </c>
      <c r="O81" s="3">
        <f t="shared" si="8"/>
        <v>-7.5310834813499025E-2</v>
      </c>
      <c r="P81" s="3">
        <f t="shared" si="9"/>
        <v>-4.3781983591909678E-2</v>
      </c>
      <c r="Q81" s="3">
        <f t="shared" si="10"/>
        <v>0.23888888888888887</v>
      </c>
      <c r="R81" s="3">
        <f t="shared" si="11"/>
        <v>-0.10332464146023462</v>
      </c>
    </row>
    <row r="82" spans="1:18" x14ac:dyDescent="0.2">
      <c r="A82" s="1">
        <v>43738</v>
      </c>
      <c r="B82" t="s">
        <v>3</v>
      </c>
      <c r="C82">
        <v>55.03</v>
      </c>
      <c r="D82" s="1">
        <v>43738</v>
      </c>
      <c r="E82" t="s">
        <v>4</v>
      </c>
      <c r="F82">
        <v>118.6</v>
      </c>
      <c r="G82" s="1">
        <v>43738</v>
      </c>
      <c r="H82" t="s">
        <v>5</v>
      </c>
      <c r="I82">
        <v>106.91</v>
      </c>
      <c r="J82" s="1">
        <v>43738</v>
      </c>
      <c r="K82" t="s">
        <v>6</v>
      </c>
      <c r="L82">
        <v>29.17</v>
      </c>
      <c r="O82" s="3">
        <f t="shared" si="8"/>
        <v>5.7049558202074503E-2</v>
      </c>
      <c r="P82" s="3">
        <f t="shared" si="9"/>
        <v>7.4753652735303723E-3</v>
      </c>
      <c r="Q82" s="3">
        <f t="shared" si="10"/>
        <v>-1.2144992526159349E-3</v>
      </c>
      <c r="R82" s="3">
        <f t="shared" si="11"/>
        <v>6.0341693929480189E-2</v>
      </c>
    </row>
    <row r="83" spans="1:18" x14ac:dyDescent="0.2">
      <c r="A83" s="1">
        <v>43769</v>
      </c>
      <c r="B83" t="s">
        <v>3</v>
      </c>
      <c r="C83">
        <v>54.49</v>
      </c>
      <c r="D83" s="1">
        <v>43769</v>
      </c>
      <c r="E83" t="s">
        <v>4</v>
      </c>
      <c r="F83">
        <v>116.14</v>
      </c>
      <c r="G83" s="1">
        <v>43769</v>
      </c>
      <c r="H83" t="s">
        <v>5</v>
      </c>
      <c r="I83">
        <v>106.91</v>
      </c>
      <c r="J83" s="1">
        <v>43769</v>
      </c>
      <c r="K83" t="s">
        <v>6</v>
      </c>
      <c r="L83">
        <v>31.27</v>
      </c>
      <c r="O83" s="3">
        <f t="shared" si="8"/>
        <v>-9.8128293658004562E-3</v>
      </c>
      <c r="P83" s="3">
        <f t="shared" si="9"/>
        <v>-2.0741989881956104E-2</v>
      </c>
      <c r="Q83" s="3">
        <f t="shared" si="10"/>
        <v>0</v>
      </c>
      <c r="R83" s="3">
        <f t="shared" si="11"/>
        <v>7.1991772368872053E-2</v>
      </c>
    </row>
    <row r="84" spans="1:18" x14ac:dyDescent="0.2">
      <c r="A84" s="1">
        <v>43798</v>
      </c>
      <c r="B84" t="s">
        <v>3</v>
      </c>
      <c r="C84">
        <v>56.14</v>
      </c>
      <c r="D84" s="1">
        <v>43798</v>
      </c>
      <c r="E84" t="s">
        <v>4</v>
      </c>
      <c r="F84">
        <v>117.13</v>
      </c>
      <c r="G84" s="1">
        <v>43798</v>
      </c>
      <c r="H84" t="s">
        <v>5</v>
      </c>
      <c r="I84">
        <v>125.01</v>
      </c>
      <c r="J84" s="1">
        <v>43798</v>
      </c>
      <c r="K84" t="s">
        <v>6</v>
      </c>
      <c r="L84">
        <v>33.32</v>
      </c>
      <c r="O84" s="3">
        <f t="shared" si="8"/>
        <v>3.0280785465222948E-2</v>
      </c>
      <c r="P84" s="3">
        <f t="shared" si="9"/>
        <v>8.5241949371447807E-3</v>
      </c>
      <c r="Q84" s="3">
        <f t="shared" si="10"/>
        <v>0.16930128145168843</v>
      </c>
      <c r="R84" s="3">
        <f t="shared" si="11"/>
        <v>6.5558042852574369E-2</v>
      </c>
    </row>
    <row r="85" spans="1:18" x14ac:dyDescent="0.2">
      <c r="A85" s="1">
        <v>43830</v>
      </c>
      <c r="B85" t="s">
        <v>3</v>
      </c>
      <c r="C85">
        <v>52.98</v>
      </c>
      <c r="D85" s="1">
        <v>43830</v>
      </c>
      <c r="E85" t="s">
        <v>4</v>
      </c>
      <c r="F85">
        <v>120.51</v>
      </c>
      <c r="G85" s="1">
        <v>43830</v>
      </c>
      <c r="H85" t="s">
        <v>5</v>
      </c>
      <c r="I85">
        <v>128.21001000000001</v>
      </c>
      <c r="J85" s="1">
        <v>43830</v>
      </c>
      <c r="K85" t="s">
        <v>6</v>
      </c>
      <c r="L85">
        <v>35.22</v>
      </c>
      <c r="O85" s="3">
        <f t="shared" si="8"/>
        <v>-5.6287851799073807E-2</v>
      </c>
      <c r="P85" s="3">
        <f t="shared" si="9"/>
        <v>2.8856825749167675E-2</v>
      </c>
      <c r="Q85" s="3">
        <f t="shared" si="10"/>
        <v>2.5598032157427453E-2</v>
      </c>
      <c r="R85" s="3">
        <f t="shared" si="11"/>
        <v>5.7022809123649418E-2</v>
      </c>
    </row>
    <row r="86" spans="1:18" x14ac:dyDescent="0.2">
      <c r="A86" s="1">
        <v>43861</v>
      </c>
      <c r="B86" t="s">
        <v>3</v>
      </c>
      <c r="C86">
        <v>52.45</v>
      </c>
      <c r="D86" s="1">
        <v>43861</v>
      </c>
      <c r="E86" t="s">
        <v>4</v>
      </c>
      <c r="F86">
        <v>107.14</v>
      </c>
      <c r="G86" s="1">
        <v>43861</v>
      </c>
      <c r="H86" t="s">
        <v>5</v>
      </c>
      <c r="I86">
        <v>110.74</v>
      </c>
      <c r="J86" s="1">
        <v>43861</v>
      </c>
      <c r="K86" t="s">
        <v>6</v>
      </c>
      <c r="L86">
        <v>32.83</v>
      </c>
      <c r="O86" s="3">
        <f t="shared" si="8"/>
        <v>-1.0003775009437412E-2</v>
      </c>
      <c r="P86" s="3">
        <f t="shared" si="9"/>
        <v>-0.11094514978010127</v>
      </c>
      <c r="Q86" s="3">
        <f t="shared" si="10"/>
        <v>-0.13626088945785134</v>
      </c>
      <c r="R86" s="3">
        <f t="shared" si="11"/>
        <v>-6.7859170925610474E-2</v>
      </c>
    </row>
    <row r="87" spans="1:18" x14ac:dyDescent="0.2">
      <c r="A87" s="1">
        <v>43889</v>
      </c>
      <c r="B87" t="s">
        <v>3</v>
      </c>
      <c r="C87">
        <v>49.46</v>
      </c>
      <c r="D87" s="1">
        <v>43889</v>
      </c>
      <c r="E87" t="s">
        <v>4</v>
      </c>
      <c r="F87">
        <v>93.34</v>
      </c>
      <c r="G87" s="1">
        <v>43889</v>
      </c>
      <c r="H87" t="s">
        <v>5</v>
      </c>
      <c r="I87">
        <v>103</v>
      </c>
      <c r="J87" s="1">
        <v>43889</v>
      </c>
      <c r="K87" t="s">
        <v>6</v>
      </c>
      <c r="L87">
        <v>28.5</v>
      </c>
      <c r="O87" s="3">
        <f t="shared" si="8"/>
        <v>-5.7006673021925677E-2</v>
      </c>
      <c r="P87" s="3">
        <f t="shared" si="9"/>
        <v>-0.1288034347582602</v>
      </c>
      <c r="Q87" s="3">
        <f t="shared" si="10"/>
        <v>-6.9893444103305002E-2</v>
      </c>
      <c r="R87" s="3">
        <f t="shared" si="11"/>
        <v>-0.13189156259518728</v>
      </c>
    </row>
    <row r="88" spans="1:18" x14ac:dyDescent="0.2">
      <c r="A88" s="1">
        <v>43921</v>
      </c>
      <c r="B88" t="s">
        <v>3</v>
      </c>
      <c r="C88">
        <v>48.33</v>
      </c>
      <c r="D88" s="1">
        <v>43921</v>
      </c>
      <c r="E88" t="s">
        <v>4</v>
      </c>
      <c r="F88">
        <v>72.459999999999994</v>
      </c>
      <c r="G88" s="1">
        <v>43921</v>
      </c>
      <c r="H88" t="s">
        <v>5</v>
      </c>
      <c r="I88">
        <v>92.97</v>
      </c>
      <c r="J88" s="1">
        <v>43921</v>
      </c>
      <c r="K88" t="s">
        <v>6</v>
      </c>
      <c r="L88">
        <v>21.23</v>
      </c>
      <c r="O88" s="3">
        <f t="shared" si="8"/>
        <v>-2.2846744844318694E-2</v>
      </c>
      <c r="P88" s="3">
        <f t="shared" si="9"/>
        <v>-0.22369830726376697</v>
      </c>
      <c r="Q88" s="3">
        <f t="shared" si="10"/>
        <v>-9.7378640776699041E-2</v>
      </c>
      <c r="R88" s="3">
        <f t="shared" si="11"/>
        <v>-0.25508771929824559</v>
      </c>
    </row>
    <row r="89" spans="1:18" x14ac:dyDescent="0.2">
      <c r="A89" s="1">
        <v>43951</v>
      </c>
      <c r="B89" t="s">
        <v>3</v>
      </c>
      <c r="C89">
        <v>52.97</v>
      </c>
      <c r="D89" s="1">
        <v>43951</v>
      </c>
      <c r="E89" t="s">
        <v>4</v>
      </c>
      <c r="F89">
        <v>92</v>
      </c>
      <c r="G89" s="1">
        <v>43951</v>
      </c>
      <c r="H89" t="s">
        <v>5</v>
      </c>
      <c r="I89">
        <v>109.74</v>
      </c>
      <c r="J89" s="1">
        <v>43951</v>
      </c>
      <c r="K89" t="s">
        <v>6</v>
      </c>
      <c r="L89">
        <v>24.05</v>
      </c>
      <c r="O89" s="3">
        <f t="shared" si="8"/>
        <v>9.600662114628597E-2</v>
      </c>
      <c r="P89" s="3">
        <f t="shared" si="9"/>
        <v>0.26966602263317702</v>
      </c>
      <c r="Q89" s="3">
        <f t="shared" si="10"/>
        <v>0.18038076798967403</v>
      </c>
      <c r="R89" s="3">
        <f t="shared" si="11"/>
        <v>0.13283089967027792</v>
      </c>
    </row>
    <row r="90" spans="1:18" x14ac:dyDescent="0.2">
      <c r="A90" s="1">
        <v>43980</v>
      </c>
      <c r="B90" t="s">
        <v>3</v>
      </c>
      <c r="C90">
        <v>53.77</v>
      </c>
      <c r="D90" s="1">
        <v>43980</v>
      </c>
      <c r="E90" t="s">
        <v>4</v>
      </c>
      <c r="F90">
        <v>91.7</v>
      </c>
      <c r="G90" s="1">
        <v>43980</v>
      </c>
      <c r="H90" t="s">
        <v>5</v>
      </c>
      <c r="I90">
        <v>122.33</v>
      </c>
      <c r="J90" s="1">
        <v>43980</v>
      </c>
      <c r="K90" t="s">
        <v>6</v>
      </c>
      <c r="L90">
        <v>24.12</v>
      </c>
      <c r="O90" s="3">
        <f t="shared" si="8"/>
        <v>1.5102888427411823E-2</v>
      </c>
      <c r="P90" s="3">
        <f t="shared" si="9"/>
        <v>-3.2608695652173603E-3</v>
      </c>
      <c r="Q90" s="3">
        <f t="shared" si="10"/>
        <v>0.11472571532713691</v>
      </c>
      <c r="R90" s="3">
        <f t="shared" si="11"/>
        <v>2.9106029106029225E-3</v>
      </c>
    </row>
    <row r="91" spans="1:18" x14ac:dyDescent="0.2">
      <c r="A91" s="1">
        <v>44012</v>
      </c>
      <c r="B91" t="s">
        <v>3</v>
      </c>
      <c r="C91">
        <v>55.27</v>
      </c>
      <c r="D91" s="1">
        <v>44012</v>
      </c>
      <c r="E91" t="s">
        <v>4</v>
      </c>
      <c r="F91">
        <v>89.23</v>
      </c>
      <c r="G91" s="1">
        <v>44012</v>
      </c>
      <c r="H91" t="s">
        <v>5</v>
      </c>
      <c r="I91">
        <v>119.93</v>
      </c>
      <c r="J91" s="1">
        <v>44012</v>
      </c>
      <c r="K91" t="s">
        <v>6</v>
      </c>
      <c r="L91">
        <v>23.75</v>
      </c>
      <c r="O91" s="3">
        <f t="shared" si="8"/>
        <v>2.7896596615212942E-2</v>
      </c>
      <c r="P91" s="3">
        <f t="shared" si="9"/>
        <v>-2.6935659760087226E-2</v>
      </c>
      <c r="Q91" s="3">
        <f t="shared" si="10"/>
        <v>-1.9619063189732621E-2</v>
      </c>
      <c r="R91" s="3">
        <f t="shared" si="11"/>
        <v>-1.5339966832504187E-2</v>
      </c>
    </row>
    <row r="92" spans="1:18" x14ac:dyDescent="0.2">
      <c r="A92" s="1">
        <v>44043</v>
      </c>
      <c r="B92" t="s">
        <v>3</v>
      </c>
      <c r="C92">
        <v>55.45</v>
      </c>
      <c r="D92" s="1">
        <v>44043</v>
      </c>
      <c r="E92" t="s">
        <v>4</v>
      </c>
      <c r="F92">
        <v>83.94</v>
      </c>
      <c r="G92" s="1">
        <v>44043</v>
      </c>
      <c r="H92" t="s">
        <v>5</v>
      </c>
      <c r="I92">
        <v>125.88</v>
      </c>
      <c r="J92" s="1">
        <v>44043</v>
      </c>
      <c r="K92" t="s">
        <v>6</v>
      </c>
      <c r="L92">
        <v>24.88</v>
      </c>
      <c r="O92" s="3">
        <f t="shared" si="8"/>
        <v>3.2567396417586339E-3</v>
      </c>
      <c r="P92" s="3">
        <f t="shared" si="9"/>
        <v>-5.9284993836153828E-2</v>
      </c>
      <c r="Q92" s="3">
        <f t="shared" si="10"/>
        <v>4.9612273826398635E-2</v>
      </c>
      <c r="R92" s="3">
        <f t="shared" si="11"/>
        <v>4.7578947368421012E-2</v>
      </c>
    </row>
    <row r="93" spans="1:18" x14ac:dyDescent="0.2">
      <c r="A93" s="1">
        <v>44074</v>
      </c>
      <c r="B93" t="s">
        <v>3</v>
      </c>
      <c r="C93">
        <v>57.22</v>
      </c>
      <c r="D93" s="1">
        <v>44074</v>
      </c>
      <c r="E93" t="s">
        <v>4</v>
      </c>
      <c r="F93">
        <v>83.93</v>
      </c>
      <c r="G93" s="1">
        <v>44074</v>
      </c>
      <c r="H93" t="s">
        <v>5</v>
      </c>
      <c r="I93">
        <v>151.21001000000001</v>
      </c>
      <c r="J93" s="1">
        <v>44074</v>
      </c>
      <c r="K93" t="s">
        <v>6</v>
      </c>
      <c r="L93">
        <v>25.74</v>
      </c>
      <c r="O93" s="3">
        <f t="shared" si="8"/>
        <v>3.1920649233543659E-2</v>
      </c>
      <c r="P93" s="3">
        <f t="shared" si="9"/>
        <v>-1.1913271384311299E-4</v>
      </c>
      <c r="Q93" s="3">
        <f t="shared" si="10"/>
        <v>0.20122346679377198</v>
      </c>
      <c r="R93" s="3">
        <f t="shared" si="11"/>
        <v>3.4565916398713807E-2</v>
      </c>
    </row>
    <row r="94" spans="1:18" x14ac:dyDescent="0.2">
      <c r="A94" s="1">
        <v>44104</v>
      </c>
      <c r="B94" t="s">
        <v>3</v>
      </c>
      <c r="C94">
        <v>59.7</v>
      </c>
      <c r="D94" s="1">
        <v>44104</v>
      </c>
      <c r="E94" t="s">
        <v>4</v>
      </c>
      <c r="F94">
        <v>72</v>
      </c>
      <c r="G94" s="1">
        <v>44104</v>
      </c>
      <c r="H94" t="s">
        <v>5</v>
      </c>
      <c r="I94">
        <v>157.41999999999999</v>
      </c>
      <c r="J94" s="1">
        <v>44104</v>
      </c>
      <c r="K94" t="s">
        <v>6</v>
      </c>
      <c r="L94">
        <v>24.09</v>
      </c>
      <c r="O94" s="3">
        <f t="shared" si="8"/>
        <v>4.3341488989863758E-2</v>
      </c>
      <c r="P94" s="3">
        <f t="shared" si="9"/>
        <v>-0.14214226140831651</v>
      </c>
      <c r="Q94" s="3">
        <f t="shared" si="10"/>
        <v>4.1068643537554003E-2</v>
      </c>
      <c r="R94" s="3">
        <f t="shared" si="11"/>
        <v>-6.4102564102564055E-2</v>
      </c>
    </row>
    <row r="95" spans="1:18" x14ac:dyDescent="0.2">
      <c r="A95" s="1">
        <v>44134</v>
      </c>
      <c r="B95" t="s">
        <v>3</v>
      </c>
      <c r="C95">
        <v>56.11</v>
      </c>
      <c r="D95" s="1">
        <v>44134</v>
      </c>
      <c r="E95" t="s">
        <v>4</v>
      </c>
      <c r="F95">
        <v>69.5</v>
      </c>
      <c r="G95" s="1">
        <v>44134</v>
      </c>
      <c r="H95" t="s">
        <v>5</v>
      </c>
      <c r="I95">
        <v>152.22</v>
      </c>
      <c r="J95" s="1">
        <v>44134</v>
      </c>
      <c r="K95" t="s">
        <v>6</v>
      </c>
      <c r="L95">
        <v>23.7</v>
      </c>
      <c r="O95" s="3">
        <f t="shared" si="8"/>
        <v>-6.0134003350083808E-2</v>
      </c>
      <c r="P95" s="3">
        <f t="shared" si="9"/>
        <v>-3.4722222222222224E-2</v>
      </c>
      <c r="Q95" s="3">
        <f t="shared" si="10"/>
        <v>-3.3032651505526547E-2</v>
      </c>
      <c r="R95" s="3">
        <f t="shared" si="11"/>
        <v>-1.6189290161892925E-2</v>
      </c>
    </row>
    <row r="96" spans="1:18" x14ac:dyDescent="0.2">
      <c r="A96" s="1">
        <v>44165</v>
      </c>
      <c r="B96" t="s">
        <v>3</v>
      </c>
      <c r="C96">
        <v>57.72</v>
      </c>
      <c r="D96" s="1">
        <v>44165</v>
      </c>
      <c r="E96" t="s">
        <v>4</v>
      </c>
      <c r="F96">
        <v>87.18</v>
      </c>
      <c r="G96" s="1">
        <v>44165</v>
      </c>
      <c r="H96" t="s">
        <v>5</v>
      </c>
      <c r="I96">
        <v>179.53</v>
      </c>
      <c r="J96" s="1">
        <v>44165</v>
      </c>
      <c r="K96" t="s">
        <v>6</v>
      </c>
      <c r="L96">
        <v>28.16</v>
      </c>
      <c r="O96" s="3">
        <f t="shared" si="8"/>
        <v>2.8693637497772224E-2</v>
      </c>
      <c r="P96" s="3">
        <f t="shared" si="9"/>
        <v>0.25438848920863322</v>
      </c>
      <c r="Q96" s="3">
        <f t="shared" si="10"/>
        <v>0.1794113782682959</v>
      </c>
      <c r="R96" s="3">
        <f t="shared" si="11"/>
        <v>0.18818565400843887</v>
      </c>
    </row>
    <row r="97" spans="1:18" x14ac:dyDescent="0.2">
      <c r="A97" s="1">
        <v>44196</v>
      </c>
      <c r="B97" t="s">
        <v>3</v>
      </c>
      <c r="C97">
        <v>64.69</v>
      </c>
      <c r="D97" s="1">
        <v>44196</v>
      </c>
      <c r="E97" t="s">
        <v>4</v>
      </c>
      <c r="F97">
        <v>84.45</v>
      </c>
      <c r="G97" s="1">
        <v>44196</v>
      </c>
      <c r="H97" t="s">
        <v>5</v>
      </c>
      <c r="I97">
        <v>176.53</v>
      </c>
      <c r="J97" s="1">
        <v>44196</v>
      </c>
      <c r="K97" t="s">
        <v>6</v>
      </c>
      <c r="L97">
        <v>30.31</v>
      </c>
      <c r="O97" s="3">
        <f t="shared" si="8"/>
        <v>0.12075537075537074</v>
      </c>
      <c r="P97" s="3">
        <f t="shared" si="9"/>
        <v>-3.131452167928428E-2</v>
      </c>
      <c r="Q97" s="3">
        <f t="shared" si="10"/>
        <v>-1.6710299114354146E-2</v>
      </c>
      <c r="R97" s="3">
        <f t="shared" si="11"/>
        <v>7.6349431818181768E-2</v>
      </c>
    </row>
    <row r="98" spans="1:18" x14ac:dyDescent="0.2">
      <c r="A98" s="1">
        <v>44225</v>
      </c>
      <c r="B98" t="s">
        <v>3</v>
      </c>
      <c r="C98">
        <v>60.43</v>
      </c>
      <c r="D98" s="1">
        <v>44225</v>
      </c>
      <c r="E98" t="s">
        <v>4</v>
      </c>
      <c r="F98">
        <v>85.2</v>
      </c>
      <c r="G98" s="1">
        <v>44225</v>
      </c>
      <c r="H98" t="s">
        <v>5</v>
      </c>
      <c r="I98">
        <v>181.17</v>
      </c>
      <c r="J98" s="1">
        <v>44225</v>
      </c>
      <c r="K98" t="s">
        <v>6</v>
      </c>
      <c r="L98">
        <v>29.65</v>
      </c>
      <c r="O98" s="3">
        <f t="shared" si="8"/>
        <v>-6.5852527438553077E-2</v>
      </c>
      <c r="P98" s="3">
        <f t="shared" si="9"/>
        <v>8.8809946714031966E-3</v>
      </c>
      <c r="Q98" s="3">
        <f t="shared" si="10"/>
        <v>2.6284484223644627E-2</v>
      </c>
      <c r="R98" s="3">
        <f t="shared" si="11"/>
        <v>-2.1774991751897069E-2</v>
      </c>
    </row>
    <row r="99" spans="1:18" x14ac:dyDescent="0.2">
      <c r="A99" s="1">
        <v>44253</v>
      </c>
      <c r="B99" t="s">
        <v>3</v>
      </c>
      <c r="C99">
        <v>64.510000000000005</v>
      </c>
      <c r="D99" s="1">
        <v>44253</v>
      </c>
      <c r="E99" t="s">
        <v>4</v>
      </c>
      <c r="F99">
        <v>100</v>
      </c>
      <c r="G99" s="1">
        <v>44253</v>
      </c>
      <c r="H99" t="s">
        <v>5</v>
      </c>
      <c r="I99">
        <v>183.44</v>
      </c>
      <c r="J99" s="1">
        <v>44253</v>
      </c>
      <c r="K99" t="s">
        <v>6</v>
      </c>
      <c r="L99">
        <v>34.71</v>
      </c>
      <c r="O99" s="3">
        <f t="shared" ref="O99:O130" si="12">(C99-C98)/C98</f>
        <v>6.751613437034594E-2</v>
      </c>
      <c r="P99" s="3">
        <f t="shared" ref="P99:P130" si="13">(F99-F98)/F98</f>
        <v>0.17370892018779338</v>
      </c>
      <c r="Q99" s="3">
        <f t="shared" ref="Q99:Q130" si="14">(I99-I98)/I98</f>
        <v>1.2529668267373242E-2</v>
      </c>
      <c r="R99" s="3">
        <f t="shared" ref="R99:R130" si="15">(L99-L98)/L98</f>
        <v>0.17065767284991576</v>
      </c>
    </row>
    <row r="100" spans="1:18" x14ac:dyDescent="0.2">
      <c r="A100" s="1">
        <v>44286</v>
      </c>
      <c r="B100" t="s">
        <v>3</v>
      </c>
      <c r="C100">
        <v>70.17</v>
      </c>
      <c r="D100" s="1">
        <v>44286</v>
      </c>
      <c r="E100" t="s">
        <v>4</v>
      </c>
      <c r="F100">
        <v>104.79</v>
      </c>
      <c r="G100" s="1">
        <v>44286</v>
      </c>
      <c r="H100" t="s">
        <v>5</v>
      </c>
      <c r="I100">
        <v>198.07001</v>
      </c>
      <c r="J100" s="1">
        <v>44286</v>
      </c>
      <c r="K100" t="s">
        <v>6</v>
      </c>
      <c r="L100">
        <v>38.69</v>
      </c>
      <c r="O100" s="3">
        <f t="shared" si="12"/>
        <v>8.7738335141838417E-2</v>
      </c>
      <c r="P100" s="3">
        <f t="shared" si="13"/>
        <v>4.7900000000000061E-2</v>
      </c>
      <c r="Q100" s="3">
        <f t="shared" si="14"/>
        <v>7.9753652420409937E-2</v>
      </c>
      <c r="R100" s="3">
        <f t="shared" si="15"/>
        <v>0.114664361855373</v>
      </c>
    </row>
    <row r="101" spans="1:18" x14ac:dyDescent="0.2">
      <c r="A101" s="1">
        <v>44316</v>
      </c>
      <c r="B101" t="s">
        <v>3</v>
      </c>
      <c r="C101">
        <v>75.790000000000006</v>
      </c>
      <c r="D101" s="1">
        <v>44316</v>
      </c>
      <c r="E101" t="s">
        <v>4</v>
      </c>
      <c r="F101">
        <v>103.07</v>
      </c>
      <c r="G101" s="1">
        <v>44316</v>
      </c>
      <c r="H101" t="s">
        <v>5</v>
      </c>
      <c r="I101">
        <v>207.25998999999999</v>
      </c>
      <c r="J101" s="1">
        <v>44316</v>
      </c>
      <c r="K101" t="s">
        <v>6</v>
      </c>
      <c r="L101">
        <v>40.53</v>
      </c>
      <c r="O101" s="3">
        <f t="shared" si="12"/>
        <v>8.0091207068547873E-2</v>
      </c>
      <c r="P101" s="3">
        <f t="shared" si="13"/>
        <v>-1.6413779940834174E-2</v>
      </c>
      <c r="Q101" s="3">
        <f t="shared" si="14"/>
        <v>4.639763485648328E-2</v>
      </c>
      <c r="R101" s="3">
        <f t="shared" si="15"/>
        <v>4.7557508400103476E-2</v>
      </c>
    </row>
    <row r="102" spans="1:18" x14ac:dyDescent="0.2">
      <c r="A102" s="1">
        <v>44344</v>
      </c>
      <c r="B102" t="s">
        <v>3</v>
      </c>
      <c r="C102">
        <v>78.739999999999995</v>
      </c>
      <c r="D102" s="1">
        <v>44344</v>
      </c>
      <c r="E102" t="s">
        <v>4</v>
      </c>
      <c r="F102">
        <v>103.79</v>
      </c>
      <c r="G102" s="1">
        <v>44344</v>
      </c>
      <c r="H102" t="s">
        <v>5</v>
      </c>
      <c r="I102">
        <v>226.92</v>
      </c>
      <c r="J102" s="1">
        <v>44344</v>
      </c>
      <c r="K102" t="s">
        <v>6</v>
      </c>
      <c r="L102">
        <v>42.39</v>
      </c>
      <c r="O102" s="3">
        <f t="shared" si="12"/>
        <v>3.8923340810133107E-2</v>
      </c>
      <c r="P102" s="3">
        <f t="shared" si="13"/>
        <v>6.9855438051810723E-3</v>
      </c>
      <c r="Q102" s="3">
        <f t="shared" si="14"/>
        <v>9.4856754552579109E-2</v>
      </c>
      <c r="R102" s="3">
        <f t="shared" si="15"/>
        <v>4.5891931902294583E-2</v>
      </c>
    </row>
    <row r="103" spans="1:18" x14ac:dyDescent="0.2">
      <c r="A103" s="1">
        <v>44377</v>
      </c>
      <c r="B103" t="s">
        <v>3</v>
      </c>
      <c r="C103">
        <v>77.84</v>
      </c>
      <c r="D103" s="1">
        <v>44377</v>
      </c>
      <c r="E103" t="s">
        <v>4</v>
      </c>
      <c r="F103">
        <v>104.74</v>
      </c>
      <c r="G103" s="1">
        <v>44377</v>
      </c>
      <c r="H103" t="s">
        <v>5</v>
      </c>
      <c r="I103">
        <v>241.74001000000001</v>
      </c>
      <c r="J103" s="1">
        <v>44377</v>
      </c>
      <c r="K103" t="s">
        <v>6</v>
      </c>
      <c r="L103">
        <v>41.23</v>
      </c>
      <c r="O103" s="3">
        <f t="shared" si="12"/>
        <v>-1.1430022860045613E-2</v>
      </c>
      <c r="P103" s="3">
        <f t="shared" si="13"/>
        <v>9.1530976009248349E-3</v>
      </c>
      <c r="Q103" s="3">
        <f t="shared" si="14"/>
        <v>6.5309404195311241E-2</v>
      </c>
      <c r="R103" s="3">
        <f t="shared" si="15"/>
        <v>-2.7364944562396878E-2</v>
      </c>
    </row>
    <row r="104" spans="1:18" x14ac:dyDescent="0.2">
      <c r="A104" s="1">
        <v>44407</v>
      </c>
      <c r="B104" t="s">
        <v>3</v>
      </c>
      <c r="C104">
        <v>87.14</v>
      </c>
      <c r="D104" s="1">
        <v>44407</v>
      </c>
      <c r="E104" t="s">
        <v>4</v>
      </c>
      <c r="F104">
        <v>101.81</v>
      </c>
      <c r="G104" s="1">
        <v>44407</v>
      </c>
      <c r="H104" t="s">
        <v>5</v>
      </c>
      <c r="I104">
        <v>261.04998999999998</v>
      </c>
      <c r="J104" s="1">
        <v>44407</v>
      </c>
      <c r="K104" t="s">
        <v>6</v>
      </c>
      <c r="L104">
        <v>38.36</v>
      </c>
      <c r="O104" s="3">
        <f t="shared" si="12"/>
        <v>0.11947584789311404</v>
      </c>
      <c r="P104" s="3">
        <f t="shared" si="13"/>
        <v>-2.7974030933740623E-2</v>
      </c>
      <c r="Q104" s="3">
        <f t="shared" si="14"/>
        <v>7.9879123029737473E-2</v>
      </c>
      <c r="R104" s="3">
        <f t="shared" si="15"/>
        <v>-6.9609507640067861E-2</v>
      </c>
    </row>
    <row r="105" spans="1:18" x14ac:dyDescent="0.2">
      <c r="A105" s="1">
        <v>44439</v>
      </c>
      <c r="B105" t="s">
        <v>3</v>
      </c>
      <c r="C105">
        <v>89.13</v>
      </c>
      <c r="D105" s="1">
        <v>44439</v>
      </c>
      <c r="E105" t="s">
        <v>4</v>
      </c>
      <c r="F105">
        <v>96.77</v>
      </c>
      <c r="G105" s="1">
        <v>44439</v>
      </c>
      <c r="H105" t="s">
        <v>5</v>
      </c>
      <c r="I105">
        <v>246.98</v>
      </c>
      <c r="J105" s="1">
        <v>44439</v>
      </c>
      <c r="K105" t="s">
        <v>6</v>
      </c>
      <c r="L105">
        <v>41.75</v>
      </c>
      <c r="O105" s="3">
        <f t="shared" si="12"/>
        <v>2.2836814321780984E-2</v>
      </c>
      <c r="P105" s="3">
        <f t="shared" si="13"/>
        <v>-4.9503977998232064E-2</v>
      </c>
      <c r="Q105" s="3">
        <f t="shared" si="14"/>
        <v>-5.3897684500964702E-2</v>
      </c>
      <c r="R105" s="3">
        <f t="shared" si="15"/>
        <v>8.8373305526590215E-2</v>
      </c>
    </row>
    <row r="106" spans="1:18" x14ac:dyDescent="0.2">
      <c r="A106" s="1">
        <v>44469</v>
      </c>
      <c r="B106" t="s">
        <v>3</v>
      </c>
      <c r="C106">
        <v>87.13</v>
      </c>
      <c r="D106" s="1">
        <v>44469</v>
      </c>
      <c r="E106" t="s">
        <v>4</v>
      </c>
      <c r="F106">
        <v>101.45</v>
      </c>
      <c r="G106" s="1">
        <v>44469</v>
      </c>
      <c r="H106" t="s">
        <v>5</v>
      </c>
      <c r="I106">
        <v>228.77</v>
      </c>
      <c r="J106" s="1">
        <v>44469</v>
      </c>
      <c r="K106" t="s">
        <v>6</v>
      </c>
      <c r="L106">
        <v>42.45</v>
      </c>
      <c r="O106" s="3">
        <f t="shared" si="12"/>
        <v>-2.2439133849433412E-2</v>
      </c>
      <c r="P106" s="3">
        <f t="shared" si="13"/>
        <v>4.8362095690813338E-2</v>
      </c>
      <c r="Q106" s="3">
        <f t="shared" si="14"/>
        <v>-7.373066645072468E-2</v>
      </c>
      <c r="R106" s="3">
        <f t="shared" si="15"/>
        <v>1.6766467065868332E-2</v>
      </c>
    </row>
    <row r="107" spans="1:18" x14ac:dyDescent="0.2">
      <c r="A107" s="1">
        <v>44498</v>
      </c>
      <c r="B107" t="s">
        <v>3</v>
      </c>
      <c r="C107">
        <v>95.94</v>
      </c>
      <c r="D107" s="1">
        <v>44498</v>
      </c>
      <c r="E107" t="s">
        <v>4</v>
      </c>
      <c r="F107">
        <v>114.49</v>
      </c>
      <c r="G107" s="1">
        <v>44498</v>
      </c>
      <c r="H107" t="s">
        <v>5</v>
      </c>
      <c r="I107">
        <v>259.62</v>
      </c>
      <c r="J107" s="1">
        <v>44498</v>
      </c>
      <c r="K107" t="s">
        <v>6</v>
      </c>
      <c r="L107">
        <v>47.78</v>
      </c>
      <c r="O107" s="3">
        <f t="shared" si="12"/>
        <v>0.10111327900837831</v>
      </c>
      <c r="P107" s="3">
        <f t="shared" si="13"/>
        <v>0.12853622474125176</v>
      </c>
      <c r="Q107" s="3">
        <f t="shared" si="14"/>
        <v>0.13485159767452023</v>
      </c>
      <c r="R107" s="3">
        <f t="shared" si="15"/>
        <v>0.12555948174322729</v>
      </c>
    </row>
    <row r="108" spans="1:18" x14ac:dyDescent="0.2">
      <c r="A108" s="1">
        <v>44530</v>
      </c>
      <c r="B108" t="s">
        <v>3</v>
      </c>
      <c r="C108">
        <v>90.74</v>
      </c>
      <c r="D108" s="1">
        <v>44530</v>
      </c>
      <c r="E108" t="s">
        <v>4</v>
      </c>
      <c r="F108">
        <v>112.87</v>
      </c>
      <c r="G108" s="1">
        <v>44530</v>
      </c>
      <c r="H108" t="s">
        <v>5</v>
      </c>
      <c r="I108">
        <v>243.84</v>
      </c>
      <c r="J108" s="1">
        <v>44530</v>
      </c>
      <c r="K108" t="s">
        <v>6</v>
      </c>
      <c r="L108">
        <v>44.47</v>
      </c>
      <c r="O108" s="3">
        <f t="shared" si="12"/>
        <v>-5.4200542005420085E-2</v>
      </c>
      <c r="P108" s="3">
        <f t="shared" si="13"/>
        <v>-1.4149707398025945E-2</v>
      </c>
      <c r="Q108" s="3">
        <f t="shared" si="14"/>
        <v>-6.078114166859256E-2</v>
      </c>
      <c r="R108" s="3">
        <f t="shared" si="15"/>
        <v>-6.9275847634993767E-2</v>
      </c>
    </row>
    <row r="109" spans="1:18" x14ac:dyDescent="0.2">
      <c r="A109" s="1">
        <v>44561</v>
      </c>
      <c r="B109" t="s">
        <v>3</v>
      </c>
      <c r="C109">
        <v>87.21</v>
      </c>
      <c r="D109" s="1">
        <v>44561</v>
      </c>
      <c r="E109" t="s">
        <v>4</v>
      </c>
      <c r="F109">
        <v>117.35</v>
      </c>
      <c r="G109" s="1">
        <v>44561</v>
      </c>
      <c r="H109" t="s">
        <v>5</v>
      </c>
      <c r="I109">
        <v>231.44</v>
      </c>
      <c r="J109" s="1">
        <v>44561</v>
      </c>
      <c r="K109" t="s">
        <v>6</v>
      </c>
      <c r="L109">
        <v>44.49</v>
      </c>
      <c r="O109" s="3">
        <f t="shared" si="12"/>
        <v>-3.8902358386599091E-2</v>
      </c>
      <c r="P109" s="3">
        <f t="shared" si="13"/>
        <v>3.9691680694604319E-2</v>
      </c>
      <c r="Q109" s="3">
        <f t="shared" si="14"/>
        <v>-5.0853018372703437E-2</v>
      </c>
      <c r="R109" s="3">
        <f t="shared" si="15"/>
        <v>4.4974139869582026E-4</v>
      </c>
    </row>
    <row r="110" spans="1:18" x14ac:dyDescent="0.2">
      <c r="A110" s="1">
        <v>44592</v>
      </c>
      <c r="B110" t="s">
        <v>3</v>
      </c>
      <c r="C110">
        <v>81.16</v>
      </c>
      <c r="D110" s="1">
        <v>44592</v>
      </c>
      <c r="E110" t="s">
        <v>4</v>
      </c>
      <c r="F110">
        <v>131.33000000000001</v>
      </c>
      <c r="G110" s="1">
        <v>44592</v>
      </c>
      <c r="H110" t="s">
        <v>5</v>
      </c>
      <c r="I110">
        <v>220.42999</v>
      </c>
      <c r="J110" s="1">
        <v>44592</v>
      </c>
      <c r="K110" t="s">
        <v>6</v>
      </c>
      <c r="L110">
        <v>46.14</v>
      </c>
      <c r="O110" s="3">
        <f t="shared" si="12"/>
        <v>-6.9372778351106501E-2</v>
      </c>
      <c r="P110" s="3">
        <f t="shared" si="13"/>
        <v>0.11913080528334059</v>
      </c>
      <c r="Q110" s="3">
        <f t="shared" si="14"/>
        <v>-4.7571768060836475E-2</v>
      </c>
      <c r="R110" s="3">
        <f t="shared" si="15"/>
        <v>3.7086985839514461E-2</v>
      </c>
    </row>
    <row r="111" spans="1:18" x14ac:dyDescent="0.2">
      <c r="A111" s="1">
        <v>44620</v>
      </c>
      <c r="B111" t="s">
        <v>3</v>
      </c>
      <c r="C111">
        <v>75.97</v>
      </c>
      <c r="D111" s="1">
        <v>44620</v>
      </c>
      <c r="E111" t="s">
        <v>4</v>
      </c>
      <c r="F111">
        <v>144</v>
      </c>
      <c r="G111" s="1">
        <v>44620</v>
      </c>
      <c r="H111" t="s">
        <v>5</v>
      </c>
      <c r="I111">
        <v>199.77</v>
      </c>
      <c r="J111" s="1">
        <v>44620</v>
      </c>
      <c r="K111" t="s">
        <v>6</v>
      </c>
      <c r="L111">
        <v>44.2</v>
      </c>
      <c r="O111" s="3">
        <f t="shared" si="12"/>
        <v>-6.3947757516017723E-2</v>
      </c>
      <c r="P111" s="3">
        <f t="shared" si="13"/>
        <v>9.647452981040118E-2</v>
      </c>
      <c r="Q111" s="3">
        <f t="shared" si="14"/>
        <v>-9.3725858264567322E-2</v>
      </c>
      <c r="R111" s="3">
        <f t="shared" si="15"/>
        <v>-4.2045947117468521E-2</v>
      </c>
    </row>
    <row r="112" spans="1:18" x14ac:dyDescent="0.2">
      <c r="A112" s="1">
        <v>44651</v>
      </c>
      <c r="B112" t="s">
        <v>3</v>
      </c>
      <c r="C112">
        <v>82.73</v>
      </c>
      <c r="D112" s="1">
        <v>44651</v>
      </c>
      <c r="E112" t="s">
        <v>4</v>
      </c>
      <c r="F112">
        <v>162.83000000000001</v>
      </c>
      <c r="G112" s="1">
        <v>44651</v>
      </c>
      <c r="H112" t="s">
        <v>5</v>
      </c>
      <c r="I112">
        <v>212.22</v>
      </c>
      <c r="J112" s="1">
        <v>44651</v>
      </c>
      <c r="K112" t="s">
        <v>6</v>
      </c>
      <c r="L112">
        <v>41.22</v>
      </c>
      <c r="O112" s="3">
        <f t="shared" si="12"/>
        <v>8.898249308937746E-2</v>
      </c>
      <c r="P112" s="3">
        <f t="shared" si="13"/>
        <v>0.13076388888888898</v>
      </c>
      <c r="Q112" s="3">
        <f t="shared" si="14"/>
        <v>6.2321669920408412E-2</v>
      </c>
      <c r="R112" s="3">
        <f t="shared" si="15"/>
        <v>-6.7420814479638089E-2</v>
      </c>
    </row>
    <row r="113" spans="1:18" x14ac:dyDescent="0.2">
      <c r="A113" s="1">
        <v>44680</v>
      </c>
      <c r="B113" t="s">
        <v>3</v>
      </c>
      <c r="C113">
        <v>73.400000000000006</v>
      </c>
      <c r="D113" s="1">
        <v>44680</v>
      </c>
      <c r="E113" t="s">
        <v>4</v>
      </c>
      <c r="F113">
        <v>156.66999999999999</v>
      </c>
      <c r="G113" s="1">
        <v>44680</v>
      </c>
      <c r="H113" t="s">
        <v>5</v>
      </c>
      <c r="I113">
        <v>228.64999</v>
      </c>
      <c r="J113" s="1">
        <v>44680</v>
      </c>
      <c r="K113" t="s">
        <v>6</v>
      </c>
      <c r="L113">
        <v>35.68</v>
      </c>
      <c r="O113" s="3">
        <f t="shared" si="12"/>
        <v>-0.11277650187356458</v>
      </c>
      <c r="P113" s="3">
        <f t="shared" si="13"/>
        <v>-3.7830866547933578E-2</v>
      </c>
      <c r="Q113" s="3">
        <f t="shared" si="14"/>
        <v>7.7419611723682988E-2</v>
      </c>
      <c r="R113" s="3">
        <f t="shared" si="15"/>
        <v>-0.13440077632217368</v>
      </c>
    </row>
    <row r="114" spans="1:18" x14ac:dyDescent="0.2">
      <c r="A114" s="1">
        <v>44712</v>
      </c>
      <c r="B114" t="s">
        <v>3</v>
      </c>
      <c r="C114">
        <v>71.92</v>
      </c>
      <c r="D114" s="1">
        <v>44712</v>
      </c>
      <c r="E114" t="s">
        <v>4</v>
      </c>
      <c r="F114">
        <v>174.66</v>
      </c>
      <c r="G114" s="1">
        <v>44712</v>
      </c>
      <c r="H114" t="s">
        <v>5</v>
      </c>
      <c r="I114">
        <v>161.88</v>
      </c>
      <c r="J114" s="1">
        <v>44712</v>
      </c>
      <c r="K114" t="s">
        <v>6</v>
      </c>
      <c r="L114">
        <v>37.200000000000003</v>
      </c>
      <c r="O114" s="3">
        <f t="shared" si="12"/>
        <v>-2.016348773841967E-2</v>
      </c>
      <c r="P114" s="3">
        <f t="shared" si="13"/>
        <v>0.11482734409906178</v>
      </c>
      <c r="Q114" s="3">
        <f t="shared" si="14"/>
        <v>-0.29201833772221031</v>
      </c>
      <c r="R114" s="3">
        <f t="shared" si="15"/>
        <v>4.2600896860986635E-2</v>
      </c>
    </row>
    <row r="115" spans="1:18" x14ac:dyDescent="0.2">
      <c r="A115" s="1">
        <v>44742</v>
      </c>
      <c r="B115" t="s">
        <v>3</v>
      </c>
      <c r="C115">
        <v>69.87</v>
      </c>
      <c r="D115" s="1">
        <v>44742</v>
      </c>
      <c r="E115" t="s">
        <v>4</v>
      </c>
      <c r="F115">
        <v>144.78</v>
      </c>
      <c r="G115" s="1">
        <v>44742</v>
      </c>
      <c r="H115" t="s">
        <v>5</v>
      </c>
      <c r="I115">
        <v>141.22999999999999</v>
      </c>
      <c r="J115" s="1">
        <v>44742</v>
      </c>
      <c r="K115" t="s">
        <v>6</v>
      </c>
      <c r="L115">
        <v>31.13</v>
      </c>
      <c r="O115" s="3">
        <f t="shared" si="12"/>
        <v>-2.850389321468294E-2</v>
      </c>
      <c r="P115" s="3">
        <f t="shared" si="13"/>
        <v>-0.17107523187907933</v>
      </c>
      <c r="Q115" s="3">
        <f t="shared" si="14"/>
        <v>-0.12756362737830496</v>
      </c>
      <c r="R115" s="3">
        <f t="shared" si="15"/>
        <v>-0.16317204301075278</v>
      </c>
    </row>
    <row r="116" spans="1:18" x14ac:dyDescent="0.2">
      <c r="A116" s="1">
        <v>44771</v>
      </c>
      <c r="B116" t="s">
        <v>3</v>
      </c>
      <c r="C116">
        <v>77.84</v>
      </c>
      <c r="D116" s="1">
        <v>44771</v>
      </c>
      <c r="E116" t="s">
        <v>4</v>
      </c>
      <c r="F116">
        <v>163.78</v>
      </c>
      <c r="G116" s="1">
        <v>44771</v>
      </c>
      <c r="H116" t="s">
        <v>5</v>
      </c>
      <c r="I116">
        <v>163.38</v>
      </c>
      <c r="J116" s="1">
        <v>44771</v>
      </c>
      <c r="K116" t="s">
        <v>6</v>
      </c>
      <c r="L116">
        <v>33.81</v>
      </c>
      <c r="O116" s="3">
        <f t="shared" si="12"/>
        <v>0.11406898525833689</v>
      </c>
      <c r="P116" s="3">
        <f t="shared" si="13"/>
        <v>0.13123359580052493</v>
      </c>
      <c r="Q116" s="3">
        <f t="shared" si="14"/>
        <v>0.156836366211145</v>
      </c>
      <c r="R116" s="3">
        <f t="shared" si="15"/>
        <v>8.6090587857372419E-2</v>
      </c>
    </row>
    <row r="117" spans="1:18" x14ac:dyDescent="0.2">
      <c r="A117" s="1">
        <v>44804</v>
      </c>
      <c r="B117" t="s">
        <v>3</v>
      </c>
      <c r="C117">
        <v>74.150000000000006</v>
      </c>
      <c r="D117" s="1">
        <v>44804</v>
      </c>
      <c r="E117" t="s">
        <v>4</v>
      </c>
      <c r="F117">
        <v>158.06</v>
      </c>
      <c r="G117" s="1">
        <v>44804</v>
      </c>
      <c r="H117" t="s">
        <v>5</v>
      </c>
      <c r="I117">
        <v>160.34</v>
      </c>
      <c r="J117" s="1">
        <v>44804</v>
      </c>
      <c r="K117" t="s">
        <v>6</v>
      </c>
      <c r="L117">
        <v>33.61</v>
      </c>
      <c r="O117" s="3">
        <f t="shared" si="12"/>
        <v>-4.740493319630007E-2</v>
      </c>
      <c r="P117" s="3">
        <f t="shared" si="13"/>
        <v>-3.4924899255098292E-2</v>
      </c>
      <c r="Q117" s="3">
        <f t="shared" si="14"/>
        <v>-1.8606928632635526E-2</v>
      </c>
      <c r="R117" s="3">
        <f t="shared" si="15"/>
        <v>-5.9154096421178007E-3</v>
      </c>
    </row>
    <row r="118" spans="1:18" x14ac:dyDescent="0.2">
      <c r="A118" s="1">
        <v>44834</v>
      </c>
      <c r="B118" t="s">
        <v>3</v>
      </c>
      <c r="C118">
        <v>61.07</v>
      </c>
      <c r="D118" s="1">
        <v>44834</v>
      </c>
      <c r="E118" t="s">
        <v>4</v>
      </c>
      <c r="F118">
        <v>143.66999999999999</v>
      </c>
      <c r="G118" s="1">
        <v>44834</v>
      </c>
      <c r="H118" t="s">
        <v>5</v>
      </c>
      <c r="I118">
        <v>148.38999999999999</v>
      </c>
      <c r="J118" s="1">
        <v>44834</v>
      </c>
      <c r="K118" t="s">
        <v>6</v>
      </c>
      <c r="L118">
        <v>30.2</v>
      </c>
      <c r="O118" s="3">
        <f t="shared" si="12"/>
        <v>-0.17639919082939992</v>
      </c>
      <c r="P118" s="3">
        <f t="shared" si="13"/>
        <v>-9.1041376692395384E-2</v>
      </c>
      <c r="Q118" s="3">
        <f t="shared" si="14"/>
        <v>-7.4529125608082933E-2</v>
      </c>
      <c r="R118" s="3">
        <f t="shared" si="15"/>
        <v>-0.10145789943469206</v>
      </c>
    </row>
    <row r="119" spans="1:18" x14ac:dyDescent="0.2">
      <c r="A119" s="1">
        <v>44865</v>
      </c>
      <c r="B119" t="s">
        <v>3</v>
      </c>
      <c r="C119">
        <v>78.069999999999993</v>
      </c>
      <c r="D119" s="1">
        <v>44865</v>
      </c>
      <c r="E119" t="s">
        <v>4</v>
      </c>
      <c r="F119">
        <v>180.89999</v>
      </c>
      <c r="G119" s="1">
        <v>44865</v>
      </c>
      <c r="H119" t="s">
        <v>5</v>
      </c>
      <c r="I119">
        <v>164.25</v>
      </c>
      <c r="J119" s="1">
        <v>44865</v>
      </c>
      <c r="K119" t="s">
        <v>6</v>
      </c>
      <c r="L119">
        <v>36.04</v>
      </c>
      <c r="O119" s="3">
        <f t="shared" si="12"/>
        <v>0.27836908465695093</v>
      </c>
      <c r="P119" s="3">
        <f t="shared" si="13"/>
        <v>0.25913544929352</v>
      </c>
      <c r="Q119" s="3">
        <f t="shared" si="14"/>
        <v>0.10688051755509141</v>
      </c>
      <c r="R119" s="3">
        <f t="shared" si="15"/>
        <v>0.19337748344370861</v>
      </c>
    </row>
    <row r="120" spans="1:18" x14ac:dyDescent="0.2">
      <c r="A120" s="1">
        <v>44895</v>
      </c>
      <c r="B120" t="s">
        <v>3</v>
      </c>
      <c r="C120">
        <v>83.03</v>
      </c>
      <c r="D120" s="1">
        <v>44895</v>
      </c>
      <c r="E120" t="s">
        <v>4</v>
      </c>
      <c r="F120">
        <v>183.31</v>
      </c>
      <c r="G120" s="1">
        <v>44895</v>
      </c>
      <c r="H120" t="s">
        <v>5</v>
      </c>
      <c r="I120">
        <v>167.07001</v>
      </c>
      <c r="J120" s="1">
        <v>44895</v>
      </c>
      <c r="K120" t="s">
        <v>6</v>
      </c>
      <c r="L120">
        <v>37.85</v>
      </c>
      <c r="O120" s="3">
        <f t="shared" si="12"/>
        <v>6.3532727039836145E-2</v>
      </c>
      <c r="P120" s="3">
        <f t="shared" si="13"/>
        <v>1.3322333516989138E-2</v>
      </c>
      <c r="Q120" s="3">
        <f t="shared" si="14"/>
        <v>1.7169010654490086E-2</v>
      </c>
      <c r="R120" s="3">
        <f t="shared" si="15"/>
        <v>5.0221975582685971E-2</v>
      </c>
    </row>
    <row r="121" spans="1:18" x14ac:dyDescent="0.2">
      <c r="A121" s="1">
        <v>44925</v>
      </c>
      <c r="B121" t="s">
        <v>3</v>
      </c>
      <c r="C121">
        <v>81.739999999999995</v>
      </c>
      <c r="D121" s="1">
        <v>44925</v>
      </c>
      <c r="E121" t="s">
        <v>4</v>
      </c>
      <c r="F121">
        <v>179.49001000000001</v>
      </c>
      <c r="G121" s="1">
        <v>44925</v>
      </c>
      <c r="H121" t="s">
        <v>5</v>
      </c>
      <c r="I121">
        <v>149.03998999999999</v>
      </c>
      <c r="J121" s="1">
        <v>44925</v>
      </c>
      <c r="K121" t="s">
        <v>6</v>
      </c>
      <c r="L121">
        <v>33.119999999999997</v>
      </c>
      <c r="O121" s="3">
        <f t="shared" si="12"/>
        <v>-1.5536553053113408E-2</v>
      </c>
      <c r="P121" s="3">
        <f t="shared" si="13"/>
        <v>-2.0838961322350063E-2</v>
      </c>
      <c r="Q121" s="3">
        <f t="shared" si="14"/>
        <v>-0.10791894966666973</v>
      </c>
      <c r="R121" s="3">
        <f t="shared" si="15"/>
        <v>-0.1249669749009248</v>
      </c>
    </row>
    <row r="122" spans="1:18" x14ac:dyDescent="0.2">
      <c r="A122" s="1">
        <v>44957</v>
      </c>
      <c r="B122" t="s">
        <v>3</v>
      </c>
      <c r="C122">
        <v>88.46</v>
      </c>
      <c r="D122" s="1">
        <v>44957</v>
      </c>
      <c r="E122" t="s">
        <v>4</v>
      </c>
      <c r="F122">
        <v>174.02</v>
      </c>
      <c r="G122" s="1">
        <v>44957</v>
      </c>
      <c r="H122" t="s">
        <v>5</v>
      </c>
      <c r="I122">
        <v>172.14</v>
      </c>
      <c r="J122" s="1">
        <v>44957</v>
      </c>
      <c r="K122" t="s">
        <v>6</v>
      </c>
      <c r="L122">
        <v>35.479999999999997</v>
      </c>
      <c r="O122" s="3">
        <f t="shared" si="12"/>
        <v>8.2211891362857836E-2</v>
      </c>
      <c r="P122" s="3">
        <f t="shared" si="13"/>
        <v>-3.0475289404686096E-2</v>
      </c>
      <c r="Q122" s="3">
        <f t="shared" si="14"/>
        <v>0.15499202596564854</v>
      </c>
      <c r="R122" s="3">
        <f t="shared" si="15"/>
        <v>7.1256038647342979E-2</v>
      </c>
    </row>
    <row r="123" spans="1:18" x14ac:dyDescent="0.2">
      <c r="A123" s="1">
        <v>44985</v>
      </c>
      <c r="B123" t="s">
        <v>3</v>
      </c>
      <c r="C123">
        <v>87.4</v>
      </c>
      <c r="D123" s="1">
        <v>44985</v>
      </c>
      <c r="E123" t="s">
        <v>4</v>
      </c>
      <c r="F123">
        <v>160.77000000000001</v>
      </c>
      <c r="G123" s="1">
        <v>44985</v>
      </c>
      <c r="H123" t="s">
        <v>5</v>
      </c>
      <c r="I123">
        <v>168.5</v>
      </c>
      <c r="J123" s="1">
        <v>44985</v>
      </c>
      <c r="K123" t="s">
        <v>6</v>
      </c>
      <c r="L123">
        <v>34.299999999999997</v>
      </c>
      <c r="O123" s="3">
        <f t="shared" si="12"/>
        <v>-1.1982817092471039E-2</v>
      </c>
      <c r="P123" s="3">
        <f t="shared" si="13"/>
        <v>-7.6140673485806221E-2</v>
      </c>
      <c r="Q123" s="3">
        <f t="shared" si="14"/>
        <v>-2.1145579179737344E-2</v>
      </c>
      <c r="R123" s="3">
        <f t="shared" si="15"/>
        <v>-3.3258173618940241E-2</v>
      </c>
    </row>
    <row r="124" spans="1:18" x14ac:dyDescent="0.2">
      <c r="A124" s="1">
        <v>45016</v>
      </c>
      <c r="B124" t="s">
        <v>3</v>
      </c>
      <c r="C124">
        <v>92.92</v>
      </c>
      <c r="D124" s="1">
        <v>45016</v>
      </c>
      <c r="E124" t="s">
        <v>4</v>
      </c>
      <c r="F124">
        <v>163.16</v>
      </c>
      <c r="G124" s="1">
        <v>45016</v>
      </c>
      <c r="H124" t="s">
        <v>5</v>
      </c>
      <c r="I124">
        <v>165.63</v>
      </c>
      <c r="J124" s="1">
        <v>45016</v>
      </c>
      <c r="K124" t="s">
        <v>6</v>
      </c>
      <c r="L124">
        <v>28.6</v>
      </c>
      <c r="O124" s="3">
        <f t="shared" si="12"/>
        <v>6.3157894736842052E-2</v>
      </c>
      <c r="P124" s="3">
        <f t="shared" si="13"/>
        <v>1.4865957579150253E-2</v>
      </c>
      <c r="Q124" s="3">
        <f t="shared" si="14"/>
        <v>-1.7032640949554922E-2</v>
      </c>
      <c r="R124" s="3">
        <f t="shared" si="15"/>
        <v>-0.1661807580174926</v>
      </c>
    </row>
    <row r="125" spans="1:18" x14ac:dyDescent="0.2">
      <c r="A125" s="1">
        <v>45044</v>
      </c>
      <c r="B125" t="s">
        <v>3</v>
      </c>
      <c r="C125">
        <v>94.72</v>
      </c>
      <c r="D125" s="1">
        <v>45044</v>
      </c>
      <c r="E125" t="s">
        <v>4</v>
      </c>
      <c r="F125">
        <v>168.58</v>
      </c>
      <c r="G125" s="1">
        <v>45044</v>
      </c>
      <c r="H125" t="s">
        <v>5</v>
      </c>
      <c r="I125">
        <v>157.75</v>
      </c>
      <c r="J125" s="1">
        <v>45044</v>
      </c>
      <c r="K125" t="s">
        <v>6</v>
      </c>
      <c r="L125">
        <v>29.28</v>
      </c>
      <c r="O125" s="3">
        <f t="shared" si="12"/>
        <v>1.9371502367628038E-2</v>
      </c>
      <c r="P125" s="3">
        <f t="shared" si="13"/>
        <v>3.3218926207403875E-2</v>
      </c>
      <c r="Q125" s="3">
        <f t="shared" si="14"/>
        <v>-4.7575922236309819E-2</v>
      </c>
      <c r="R125" s="3">
        <f t="shared" si="15"/>
        <v>2.3776223776223765E-2</v>
      </c>
    </row>
    <row r="126" spans="1:18" x14ac:dyDescent="0.2">
      <c r="A126" s="1">
        <v>45077</v>
      </c>
      <c r="B126" t="s">
        <v>3</v>
      </c>
      <c r="C126">
        <v>105.94</v>
      </c>
      <c r="D126" s="1">
        <v>45077</v>
      </c>
      <c r="E126" t="s">
        <v>4</v>
      </c>
      <c r="F126">
        <v>150.62</v>
      </c>
      <c r="G126" s="1">
        <v>45077</v>
      </c>
      <c r="H126" t="s">
        <v>5</v>
      </c>
      <c r="I126">
        <v>130.92999</v>
      </c>
      <c r="J126" s="1">
        <v>45077</v>
      </c>
      <c r="K126" t="s">
        <v>6</v>
      </c>
      <c r="L126">
        <v>27.79</v>
      </c>
      <c r="O126" s="3">
        <f t="shared" si="12"/>
        <v>0.11845439189189189</v>
      </c>
      <c r="P126" s="3">
        <f t="shared" si="13"/>
        <v>-0.10653695574801285</v>
      </c>
      <c r="Q126" s="3">
        <f t="shared" si="14"/>
        <v>-0.17001591125198096</v>
      </c>
      <c r="R126" s="3">
        <f t="shared" si="15"/>
        <v>-5.0887978142076566E-2</v>
      </c>
    </row>
    <row r="127" spans="1:18" x14ac:dyDescent="0.2">
      <c r="A127" s="1">
        <v>45107</v>
      </c>
      <c r="B127" t="s">
        <v>3</v>
      </c>
      <c r="C127">
        <v>119.09</v>
      </c>
      <c r="D127" s="1">
        <v>45107</v>
      </c>
      <c r="E127" t="s">
        <v>4</v>
      </c>
      <c r="F127">
        <v>157.35001</v>
      </c>
      <c r="G127" s="1">
        <v>45107</v>
      </c>
      <c r="H127" t="s">
        <v>5</v>
      </c>
      <c r="I127">
        <v>131.89999</v>
      </c>
      <c r="J127" s="1">
        <v>45107</v>
      </c>
      <c r="K127" t="s">
        <v>6</v>
      </c>
      <c r="L127">
        <v>28.69</v>
      </c>
      <c r="O127" s="3">
        <f t="shared" si="12"/>
        <v>0.12412686426279032</v>
      </c>
      <c r="P127" s="3">
        <f t="shared" si="13"/>
        <v>4.4682047536847645E-2</v>
      </c>
      <c r="Q127" s="3">
        <f t="shared" si="14"/>
        <v>7.4085394797631836E-3</v>
      </c>
      <c r="R127" s="3">
        <f t="shared" si="15"/>
        <v>3.238575026988133E-2</v>
      </c>
    </row>
    <row r="128" spans="1:18" x14ac:dyDescent="0.2">
      <c r="A128" s="1">
        <v>45138</v>
      </c>
      <c r="B128" t="s">
        <v>3</v>
      </c>
      <c r="C128">
        <v>117.23</v>
      </c>
      <c r="D128" s="1">
        <v>45138</v>
      </c>
      <c r="E128" t="s">
        <v>4</v>
      </c>
      <c r="F128">
        <v>163.66</v>
      </c>
      <c r="G128" s="1">
        <v>45138</v>
      </c>
      <c r="H128" t="s">
        <v>5</v>
      </c>
      <c r="I128">
        <v>136.47</v>
      </c>
      <c r="J128" s="1">
        <v>45138</v>
      </c>
      <c r="K128" t="s">
        <v>6</v>
      </c>
      <c r="L128">
        <v>32</v>
      </c>
      <c r="O128" s="3">
        <f t="shared" si="12"/>
        <v>-1.5618439835418586E-2</v>
      </c>
      <c r="P128" s="3">
        <f t="shared" si="13"/>
        <v>4.0101618042477402E-2</v>
      </c>
      <c r="Q128" s="3">
        <f t="shared" si="14"/>
        <v>3.4647538638933911E-2</v>
      </c>
      <c r="R128" s="3">
        <f t="shared" si="15"/>
        <v>0.11537120948065523</v>
      </c>
    </row>
    <row r="129" spans="1:18" x14ac:dyDescent="0.2">
      <c r="A129" s="1">
        <v>45169</v>
      </c>
      <c r="B129" t="s">
        <v>3</v>
      </c>
      <c r="C129">
        <v>120.39</v>
      </c>
      <c r="D129" s="1">
        <v>45169</v>
      </c>
      <c r="E129" t="s">
        <v>4</v>
      </c>
      <c r="F129">
        <v>161.10001</v>
      </c>
      <c r="G129" s="1">
        <v>45169</v>
      </c>
      <c r="H129" t="s">
        <v>5</v>
      </c>
      <c r="I129">
        <v>126.55</v>
      </c>
      <c r="J129" s="1">
        <v>45169</v>
      </c>
      <c r="K129" t="s">
        <v>6</v>
      </c>
      <c r="L129">
        <v>28.67</v>
      </c>
      <c r="O129" s="3">
        <f t="shared" si="12"/>
        <v>2.6955557451164347E-2</v>
      </c>
      <c r="P129" s="3">
        <f t="shared" si="13"/>
        <v>-1.564212391543443E-2</v>
      </c>
      <c r="Q129" s="3">
        <f t="shared" si="14"/>
        <v>-7.2689968491243512E-2</v>
      </c>
      <c r="R129" s="3">
        <f t="shared" si="15"/>
        <v>-0.10406249999999995</v>
      </c>
    </row>
    <row r="130" spans="1:18" x14ac:dyDescent="0.2">
      <c r="A130" s="1">
        <v>45198</v>
      </c>
      <c r="B130" t="s">
        <v>3</v>
      </c>
      <c r="C130">
        <v>105.92</v>
      </c>
      <c r="D130" s="1">
        <v>45198</v>
      </c>
      <c r="E130" t="s">
        <v>4</v>
      </c>
      <c r="F130">
        <v>168.62</v>
      </c>
      <c r="G130" s="1">
        <v>45198</v>
      </c>
      <c r="H130" t="s">
        <v>5</v>
      </c>
      <c r="I130">
        <v>110.57</v>
      </c>
      <c r="J130" s="1">
        <v>45198</v>
      </c>
      <c r="K130" t="s">
        <v>6</v>
      </c>
      <c r="L130">
        <v>27.38</v>
      </c>
      <c r="O130" s="3">
        <f t="shared" si="12"/>
        <v>-0.12019270703546805</v>
      </c>
      <c r="P130" s="3">
        <f t="shared" si="13"/>
        <v>4.6679016345188354E-2</v>
      </c>
      <c r="Q130" s="3">
        <f t="shared" si="14"/>
        <v>-0.12627419992097988</v>
      </c>
      <c r="R130" s="3">
        <f t="shared" si="15"/>
        <v>-4.4994768050226806E-2</v>
      </c>
    </row>
    <row r="131" spans="1:18" x14ac:dyDescent="0.2">
      <c r="A131" s="1">
        <v>45230</v>
      </c>
      <c r="B131" t="s">
        <v>3</v>
      </c>
      <c r="C131">
        <v>103.4</v>
      </c>
      <c r="D131" s="1">
        <v>45230</v>
      </c>
      <c r="E131" t="s">
        <v>4</v>
      </c>
      <c r="F131">
        <v>145.72999999999999</v>
      </c>
      <c r="G131" s="1">
        <v>45230</v>
      </c>
      <c r="H131" t="s">
        <v>5</v>
      </c>
      <c r="I131">
        <v>110.79</v>
      </c>
      <c r="J131" s="1">
        <v>45230</v>
      </c>
      <c r="K131" t="s">
        <v>6</v>
      </c>
      <c r="L131">
        <v>26.34</v>
      </c>
      <c r="O131" s="3">
        <f t="shared" ref="O131:O145" si="16">(C131-C130)/C130</f>
        <v>-2.3791540785498451E-2</v>
      </c>
      <c r="P131" s="3">
        <f t="shared" ref="P131:P145" si="17">(F131-F130)/F130</f>
        <v>-0.13574902146839055</v>
      </c>
      <c r="Q131" s="3">
        <f t="shared" ref="Q131:Q145" si="18">(I131-I130)/I130</f>
        <v>1.9896897892738817E-3</v>
      </c>
      <c r="R131" s="3">
        <f t="shared" ref="R131:R145" si="19">(L131-L130)/L130</f>
        <v>-3.7983929875821741E-2</v>
      </c>
    </row>
    <row r="132" spans="1:18" x14ac:dyDescent="0.2">
      <c r="A132" s="1">
        <v>45260</v>
      </c>
      <c r="B132" t="s">
        <v>3</v>
      </c>
      <c r="C132">
        <v>116.21</v>
      </c>
      <c r="D132" s="1">
        <v>45260</v>
      </c>
      <c r="E132" t="s">
        <v>4</v>
      </c>
      <c r="F132">
        <v>143.60001</v>
      </c>
      <c r="G132" s="1">
        <v>45260</v>
      </c>
      <c r="H132" t="s">
        <v>5</v>
      </c>
      <c r="I132">
        <v>133.81</v>
      </c>
      <c r="J132" s="1">
        <v>45260</v>
      </c>
      <c r="K132" t="s">
        <v>6</v>
      </c>
      <c r="L132">
        <v>30.49</v>
      </c>
      <c r="O132" s="3">
        <f t="shared" si="16"/>
        <v>0.12388781431334611</v>
      </c>
      <c r="P132" s="3">
        <f t="shared" si="17"/>
        <v>-1.4616002195841573E-2</v>
      </c>
      <c r="Q132" s="3">
        <f t="shared" si="18"/>
        <v>0.20778048560339377</v>
      </c>
      <c r="R132" s="3">
        <f t="shared" si="19"/>
        <v>0.15755504935459372</v>
      </c>
    </row>
    <row r="133" spans="1:18" x14ac:dyDescent="0.2">
      <c r="A133" s="1">
        <v>45289</v>
      </c>
      <c r="B133" t="s">
        <v>3</v>
      </c>
      <c r="C133">
        <v>105.43</v>
      </c>
      <c r="D133" s="1">
        <v>45289</v>
      </c>
      <c r="E133" t="s">
        <v>4</v>
      </c>
      <c r="F133">
        <v>149.16</v>
      </c>
      <c r="G133" s="1">
        <v>45289</v>
      </c>
      <c r="H133" t="s">
        <v>5</v>
      </c>
      <c r="I133">
        <v>142.41999999999999</v>
      </c>
      <c r="J133" s="1">
        <v>45289</v>
      </c>
      <c r="K133" t="s">
        <v>6</v>
      </c>
      <c r="L133">
        <v>33.67</v>
      </c>
      <c r="O133" s="3">
        <f t="shared" si="16"/>
        <v>-9.2763101282161503E-2</v>
      </c>
      <c r="P133" s="3">
        <f t="shared" si="17"/>
        <v>3.871859061848254E-2</v>
      </c>
      <c r="Q133" s="3">
        <f t="shared" si="18"/>
        <v>6.434496674389048E-2</v>
      </c>
      <c r="R133" s="3">
        <f t="shared" si="19"/>
        <v>0.10429649065267312</v>
      </c>
    </row>
    <row r="134" spans="1:18" x14ac:dyDescent="0.2">
      <c r="A134" s="1">
        <v>45322</v>
      </c>
      <c r="B134" t="s">
        <v>3</v>
      </c>
      <c r="C134">
        <v>111.7</v>
      </c>
      <c r="D134" s="1">
        <v>45322</v>
      </c>
      <c r="E134" t="s">
        <v>4</v>
      </c>
      <c r="F134">
        <v>147.42999</v>
      </c>
      <c r="G134" s="1">
        <v>45322</v>
      </c>
      <c r="H134" t="s">
        <v>5</v>
      </c>
      <c r="I134">
        <v>139.08000000000001</v>
      </c>
      <c r="J134" s="1">
        <v>45322</v>
      </c>
      <c r="K134" t="s">
        <v>6</v>
      </c>
      <c r="L134">
        <v>34.01</v>
      </c>
      <c r="O134" s="3">
        <f t="shared" si="16"/>
        <v>5.9470738878876939E-2</v>
      </c>
      <c r="P134" s="3">
        <f t="shared" si="17"/>
        <v>-1.1598350764279921E-2</v>
      </c>
      <c r="Q134" s="3">
        <f t="shared" si="18"/>
        <v>-2.3451762392922168E-2</v>
      </c>
      <c r="R134" s="3">
        <f t="shared" si="19"/>
        <v>1.0098010098009988E-2</v>
      </c>
    </row>
    <row r="135" spans="1:18" x14ac:dyDescent="0.2">
      <c r="A135" s="1">
        <v>45351</v>
      </c>
      <c r="B135" t="s">
        <v>3</v>
      </c>
      <c r="C135">
        <v>111.68</v>
      </c>
      <c r="D135" s="1">
        <v>45351</v>
      </c>
      <c r="E135" t="s">
        <v>4</v>
      </c>
      <c r="F135">
        <v>152.00998999999999</v>
      </c>
      <c r="G135" s="1">
        <v>45351</v>
      </c>
      <c r="H135" t="s">
        <v>5</v>
      </c>
      <c r="I135">
        <v>152.91999999999999</v>
      </c>
      <c r="J135" s="1">
        <v>45351</v>
      </c>
      <c r="K135" t="s">
        <v>6</v>
      </c>
      <c r="L135">
        <v>34.520000000000003</v>
      </c>
      <c r="O135" s="3">
        <f t="shared" si="16"/>
        <v>-1.7905102954338424E-4</v>
      </c>
      <c r="P135" s="3">
        <f t="shared" si="17"/>
        <v>3.1065592556846704E-2</v>
      </c>
      <c r="Q135" s="3">
        <f t="shared" si="18"/>
        <v>9.9511072763876718E-2</v>
      </c>
      <c r="R135" s="3">
        <f t="shared" si="19"/>
        <v>1.4995589532490595E-2</v>
      </c>
    </row>
    <row r="136" spans="1:18" x14ac:dyDescent="0.2">
      <c r="A136" s="1">
        <v>45379</v>
      </c>
      <c r="B136" t="s">
        <v>3</v>
      </c>
      <c r="C136">
        <v>125.61</v>
      </c>
      <c r="D136" s="1">
        <v>45379</v>
      </c>
      <c r="E136" t="s">
        <v>4</v>
      </c>
      <c r="F136">
        <v>157.74001000000001</v>
      </c>
      <c r="G136" s="1">
        <v>45379</v>
      </c>
      <c r="H136" t="s">
        <v>5</v>
      </c>
      <c r="I136">
        <v>177.21001000000001</v>
      </c>
      <c r="J136" s="1">
        <v>45379</v>
      </c>
      <c r="K136" t="s">
        <v>6</v>
      </c>
      <c r="L136">
        <v>37.92</v>
      </c>
      <c r="O136" s="3">
        <f t="shared" si="16"/>
        <v>0.12473137535816611</v>
      </c>
      <c r="P136" s="3">
        <f t="shared" si="17"/>
        <v>3.769502254424216E-2</v>
      </c>
      <c r="Q136" s="3">
        <f t="shared" si="18"/>
        <v>0.15884128956317045</v>
      </c>
      <c r="R136" s="3">
        <f t="shared" si="19"/>
        <v>9.849362688296634E-2</v>
      </c>
    </row>
    <row r="137" spans="1:18" x14ac:dyDescent="0.2">
      <c r="A137" s="1">
        <v>45412</v>
      </c>
      <c r="B137" t="s">
        <v>3</v>
      </c>
      <c r="C137">
        <v>113.75</v>
      </c>
      <c r="D137" s="1">
        <v>45412</v>
      </c>
      <c r="E137" t="s">
        <v>4</v>
      </c>
      <c r="F137">
        <v>161.27000000000001</v>
      </c>
      <c r="G137" s="1">
        <v>45412</v>
      </c>
      <c r="H137" t="s">
        <v>5</v>
      </c>
      <c r="I137">
        <v>160.97999999999999</v>
      </c>
      <c r="J137" s="1">
        <v>45412</v>
      </c>
      <c r="K137" t="s">
        <v>6</v>
      </c>
      <c r="L137">
        <v>37.01</v>
      </c>
      <c r="O137" s="3">
        <f t="shared" si="16"/>
        <v>-9.4419234137409436E-2</v>
      </c>
      <c r="P137" s="3">
        <f t="shared" si="17"/>
        <v>2.2378532878246919E-2</v>
      </c>
      <c r="Q137" s="3">
        <f t="shared" si="18"/>
        <v>-9.1586304859415227E-2</v>
      </c>
      <c r="R137" s="3">
        <f t="shared" si="19"/>
        <v>-2.3997890295358745E-2</v>
      </c>
    </row>
    <row r="138" spans="1:18" x14ac:dyDescent="0.2">
      <c r="A138" s="1">
        <v>45443</v>
      </c>
      <c r="B138" t="s">
        <v>3</v>
      </c>
      <c r="C138">
        <v>117.19</v>
      </c>
      <c r="D138" s="1">
        <v>45443</v>
      </c>
      <c r="E138" t="s">
        <v>4</v>
      </c>
      <c r="F138">
        <v>162.30000000000001</v>
      </c>
      <c r="G138" s="1">
        <v>45443</v>
      </c>
      <c r="H138" t="s">
        <v>5</v>
      </c>
      <c r="I138">
        <v>156.16</v>
      </c>
      <c r="J138" s="1">
        <v>45443</v>
      </c>
      <c r="K138" t="s">
        <v>6</v>
      </c>
      <c r="L138">
        <v>39.99</v>
      </c>
      <c r="O138" s="3">
        <f t="shared" si="16"/>
        <v>3.0241758241758222E-2</v>
      </c>
      <c r="P138" s="3">
        <f t="shared" si="17"/>
        <v>6.386804737396919E-3</v>
      </c>
      <c r="Q138" s="3">
        <f t="shared" si="18"/>
        <v>-2.994160765312457E-2</v>
      </c>
      <c r="R138" s="3">
        <f t="shared" si="19"/>
        <v>8.0518778708457292E-2</v>
      </c>
    </row>
    <row r="139" spans="1:18" x14ac:dyDescent="0.2">
      <c r="A139" s="1">
        <v>45471</v>
      </c>
      <c r="B139" t="s">
        <v>3</v>
      </c>
      <c r="C139">
        <v>141.19999999999999</v>
      </c>
      <c r="D139" s="1">
        <v>45471</v>
      </c>
      <c r="E139" t="s">
        <v>4</v>
      </c>
      <c r="F139">
        <v>156.41999999999999</v>
      </c>
      <c r="G139" s="1">
        <v>45471</v>
      </c>
      <c r="H139" t="s">
        <v>5</v>
      </c>
      <c r="I139">
        <v>148.03998999999999</v>
      </c>
      <c r="J139" s="1">
        <v>45471</v>
      </c>
      <c r="K139" t="s">
        <v>6</v>
      </c>
      <c r="L139">
        <v>39.770000000000003</v>
      </c>
      <c r="O139" s="3">
        <f t="shared" si="16"/>
        <v>0.20488096253946575</v>
      </c>
      <c r="P139" s="3">
        <f t="shared" si="17"/>
        <v>-3.6229205175600881E-2</v>
      </c>
      <c r="Q139" s="3">
        <f t="shared" si="18"/>
        <v>-5.1998014856557424E-2</v>
      </c>
      <c r="R139" s="3">
        <f t="shared" si="19"/>
        <v>-5.5013753438359304E-3</v>
      </c>
    </row>
    <row r="140" spans="1:18" x14ac:dyDescent="0.2">
      <c r="A140" s="1">
        <v>45504</v>
      </c>
      <c r="B140" t="s">
        <v>3</v>
      </c>
      <c r="C140">
        <v>139.44999999999999</v>
      </c>
      <c r="D140" s="1">
        <v>45504</v>
      </c>
      <c r="E140" t="s">
        <v>4</v>
      </c>
      <c r="F140">
        <v>160.47</v>
      </c>
      <c r="G140" s="1">
        <v>45504</v>
      </c>
      <c r="H140" t="s">
        <v>5</v>
      </c>
      <c r="I140">
        <v>150.41</v>
      </c>
      <c r="J140" s="1">
        <v>45504</v>
      </c>
      <c r="K140" t="s">
        <v>6</v>
      </c>
      <c r="L140">
        <v>40.31</v>
      </c>
      <c r="O140" s="3">
        <f t="shared" si="16"/>
        <v>-1.2393767705382436E-2</v>
      </c>
      <c r="P140" s="3">
        <f t="shared" si="17"/>
        <v>2.589182968929812E-2</v>
      </c>
      <c r="Q140" s="3">
        <f t="shared" si="18"/>
        <v>1.6009255337020814E-2</v>
      </c>
      <c r="R140" s="3">
        <f t="shared" si="19"/>
        <v>1.3578073925069125E-2</v>
      </c>
    </row>
    <row r="141" spans="1:18" x14ac:dyDescent="0.2">
      <c r="A141" s="1">
        <v>45534</v>
      </c>
      <c r="B141" t="s">
        <v>3</v>
      </c>
      <c r="C141">
        <v>141.28998999999999</v>
      </c>
      <c r="D141" s="1">
        <v>45534</v>
      </c>
      <c r="E141" t="s">
        <v>4</v>
      </c>
      <c r="F141">
        <v>147.94999999999999</v>
      </c>
      <c r="G141" s="1">
        <v>45534</v>
      </c>
      <c r="H141" t="s">
        <v>5</v>
      </c>
      <c r="I141">
        <v>153.62</v>
      </c>
      <c r="J141" s="1">
        <v>45534</v>
      </c>
      <c r="K141" t="s">
        <v>6</v>
      </c>
      <c r="L141">
        <v>40.75</v>
      </c>
      <c r="O141" s="3">
        <f t="shared" si="16"/>
        <v>1.3194621728218002E-2</v>
      </c>
      <c r="P141" s="3">
        <f t="shared" si="17"/>
        <v>-7.8020813859288399E-2</v>
      </c>
      <c r="Q141" s="3">
        <f t="shared" si="18"/>
        <v>2.1341666112625543E-2</v>
      </c>
      <c r="R141" s="3">
        <f t="shared" si="19"/>
        <v>1.0915405606549187E-2</v>
      </c>
    </row>
    <row r="142" spans="1:18" x14ac:dyDescent="0.2">
      <c r="A142" s="1">
        <v>45565</v>
      </c>
      <c r="B142" t="s">
        <v>3</v>
      </c>
      <c r="C142">
        <v>170.39999</v>
      </c>
      <c r="D142" s="1">
        <v>45565</v>
      </c>
      <c r="E142" t="s">
        <v>4</v>
      </c>
      <c r="F142">
        <v>147.27000000000001</v>
      </c>
      <c r="G142" s="1">
        <v>45565</v>
      </c>
      <c r="H142" t="s">
        <v>5</v>
      </c>
      <c r="I142">
        <v>155.86000000000001</v>
      </c>
      <c r="J142" s="1">
        <v>45565</v>
      </c>
      <c r="K142" t="s">
        <v>6</v>
      </c>
      <c r="L142">
        <v>39.68</v>
      </c>
      <c r="O142" s="3">
        <f t="shared" si="16"/>
        <v>0.20603016533584592</v>
      </c>
      <c r="P142" s="3">
        <f t="shared" si="17"/>
        <v>-4.5961473470765698E-3</v>
      </c>
      <c r="Q142" s="3">
        <f t="shared" si="18"/>
        <v>1.4581434709022321E-2</v>
      </c>
      <c r="R142" s="3">
        <f t="shared" si="19"/>
        <v>-2.625766871165645E-2</v>
      </c>
    </row>
    <row r="143" spans="1:18" x14ac:dyDescent="0.2">
      <c r="A143" s="1">
        <v>45596</v>
      </c>
      <c r="B143" t="s">
        <v>3</v>
      </c>
      <c r="C143">
        <v>167.84</v>
      </c>
      <c r="D143" s="1">
        <v>45596</v>
      </c>
      <c r="E143" t="s">
        <v>4</v>
      </c>
      <c r="F143">
        <v>148.82001</v>
      </c>
      <c r="G143" s="1">
        <v>45596</v>
      </c>
      <c r="H143" t="s">
        <v>5</v>
      </c>
      <c r="I143">
        <v>150.03998999999999</v>
      </c>
      <c r="J143" s="1">
        <v>45596</v>
      </c>
      <c r="K143" t="s">
        <v>6</v>
      </c>
      <c r="L143">
        <v>41.82</v>
      </c>
      <c r="O143" s="3">
        <f t="shared" si="16"/>
        <v>-1.5023416374613631E-2</v>
      </c>
      <c r="P143" s="3">
        <f t="shared" si="17"/>
        <v>1.0524954165817791E-2</v>
      </c>
      <c r="Q143" s="3">
        <f t="shared" si="18"/>
        <v>-3.734126780444004E-2</v>
      </c>
      <c r="R143" s="3">
        <f t="shared" si="19"/>
        <v>5.393145161290324E-2</v>
      </c>
    </row>
    <row r="144" spans="1:18" x14ac:dyDescent="0.2">
      <c r="A144" s="1">
        <v>45625</v>
      </c>
      <c r="B144" t="s">
        <v>3</v>
      </c>
      <c r="C144">
        <v>184.84</v>
      </c>
      <c r="D144" s="1">
        <v>45625</v>
      </c>
      <c r="E144" t="s">
        <v>4</v>
      </c>
      <c r="F144">
        <v>161.92999</v>
      </c>
      <c r="G144" s="1">
        <v>45625</v>
      </c>
      <c r="H144" t="s">
        <v>5</v>
      </c>
      <c r="I144">
        <v>132.31</v>
      </c>
      <c r="J144" s="1">
        <v>45625</v>
      </c>
      <c r="K144" t="s">
        <v>6</v>
      </c>
      <c r="L144">
        <v>47.51</v>
      </c>
      <c r="O144" s="3">
        <f t="shared" si="16"/>
        <v>0.10128693994280266</v>
      </c>
      <c r="P144" s="3">
        <f t="shared" si="17"/>
        <v>8.8092857942960817E-2</v>
      </c>
      <c r="Q144" s="3">
        <f t="shared" si="18"/>
        <v>-0.1181684296299939</v>
      </c>
      <c r="R144" s="3">
        <f t="shared" si="19"/>
        <v>0.13605930176948822</v>
      </c>
    </row>
    <row r="145" spans="1:18" x14ac:dyDescent="0.2">
      <c r="A145" s="1">
        <v>45657</v>
      </c>
      <c r="B145" t="s">
        <v>3</v>
      </c>
      <c r="C145">
        <v>166.64</v>
      </c>
      <c r="D145" s="1">
        <v>45657</v>
      </c>
      <c r="E145" t="s">
        <v>4</v>
      </c>
      <c r="F145">
        <v>144.84</v>
      </c>
      <c r="G145" s="1">
        <v>45657</v>
      </c>
      <c r="H145" t="s">
        <v>5</v>
      </c>
      <c r="I145">
        <v>135.17999</v>
      </c>
      <c r="J145" s="1">
        <v>45657</v>
      </c>
      <c r="K145" t="s">
        <v>6</v>
      </c>
      <c r="L145">
        <v>43.95</v>
      </c>
      <c r="O145" s="3">
        <f t="shared" si="16"/>
        <v>-9.8463536031162174E-2</v>
      </c>
      <c r="P145" s="3">
        <f t="shared" si="17"/>
        <v>-0.10553937538068149</v>
      </c>
      <c r="Q145" s="3">
        <f t="shared" si="18"/>
        <v>2.1691406545234687E-2</v>
      </c>
      <c r="R145" s="3">
        <f t="shared" si="19"/>
        <v>-7.4931593348768588E-2</v>
      </c>
    </row>
    <row r="146" spans="1:18" ht="22" customHeight="1" x14ac:dyDescent="0.2">
      <c r="L146" s="46" t="s">
        <v>13</v>
      </c>
      <c r="M146" s="43" t="s">
        <v>15</v>
      </c>
      <c r="N146" s="11" t="s">
        <v>8</v>
      </c>
      <c r="O146" s="26">
        <f>AVERAGE(Table6[ORCL])</f>
        <v>1.3123074598753661E-2</v>
      </c>
      <c r="P146" s="26">
        <f>AVERAGE(Table7[CVX])</f>
        <v>4.2892468140865274E-3</v>
      </c>
      <c r="Q146" s="26">
        <f>AVERAGE(Table8[TGT])</f>
        <v>9.1027746982488798E-3</v>
      </c>
      <c r="R146" s="27">
        <f>AVERAGE(Table9[BAC])</f>
        <v>1.2940814860543789E-2</v>
      </c>
    </row>
    <row r="147" spans="1:18" ht="22" x14ac:dyDescent="0.2">
      <c r="L147" s="46"/>
      <c r="M147" s="43"/>
      <c r="N147" s="11" t="s">
        <v>16</v>
      </c>
      <c r="O147" s="7">
        <f>_xlfn.VAR.S(O3:O145)</f>
        <v>4.6715677083493078E-3</v>
      </c>
      <c r="P147">
        <f>_xlfn.VAR.S(P3:P145)</f>
        <v>5.5222727309034167E-3</v>
      </c>
      <c r="Q147">
        <f>_xlfn.VAR.S(Q3:Q145)</f>
        <v>6.9643197019370103E-3</v>
      </c>
      <c r="R147" s="9">
        <f>_xlfn.VAR.S(R3:R145)</f>
        <v>6.8305438614441414E-3</v>
      </c>
    </row>
    <row r="148" spans="1:18" ht="22" x14ac:dyDescent="0.2">
      <c r="L148" s="46"/>
      <c r="M148" s="43" t="s">
        <v>9</v>
      </c>
      <c r="N148" s="11" t="s">
        <v>10</v>
      </c>
      <c r="O148" s="8">
        <f>12*Table6[[#Totals],[ORCL]]</f>
        <v>0.15747689518504393</v>
      </c>
      <c r="P148" s="8">
        <f>12*Table7[[#Totals],[CVX]]</f>
        <v>5.1470961769038329E-2</v>
      </c>
      <c r="Q148" s="8">
        <f>12*Table8[[#Totals],[TGT]]</f>
        <v>0.10923329637898656</v>
      </c>
      <c r="R148" s="8">
        <f>12*Table9[[#Totals],[BAC]]</f>
        <v>0.15528977832652546</v>
      </c>
    </row>
    <row r="149" spans="1:18" ht="22" x14ac:dyDescent="0.2">
      <c r="L149" s="46"/>
      <c r="M149" s="43"/>
      <c r="N149" s="11" t="s">
        <v>11</v>
      </c>
      <c r="O149">
        <f>12*O147</f>
        <v>5.6058812500191693E-2</v>
      </c>
      <c r="P149">
        <f>12*P147</f>
        <v>6.6267272770841004E-2</v>
      </c>
      <c r="Q149">
        <f>12*Q147</f>
        <v>8.3571836423244117E-2</v>
      </c>
      <c r="R149">
        <f>12*R147</f>
        <v>8.1966526337329704E-2</v>
      </c>
    </row>
    <row r="150" spans="1:18" ht="22" x14ac:dyDescent="0.2">
      <c r="L150" s="46"/>
      <c r="M150" s="43"/>
      <c r="N150" s="11" t="s">
        <v>12</v>
      </c>
      <c r="O150">
        <f>SQRT(O149)</f>
        <v>0.2367674228017691</v>
      </c>
      <c r="P150">
        <f t="shared" ref="P150:Q150" si="20">SQRT(P149)</f>
        <v>0.2574243049341709</v>
      </c>
      <c r="Q150">
        <f t="shared" si="20"/>
        <v>0.28908793891002116</v>
      </c>
      <c r="R150">
        <f>SQRT(R149)</f>
        <v>0.28629796774921351</v>
      </c>
    </row>
    <row r="151" spans="1:18" ht="22" customHeight="1" x14ac:dyDescent="0.2">
      <c r="L151" s="46"/>
      <c r="M151" s="43"/>
      <c r="N151" s="45" t="s">
        <v>21</v>
      </c>
      <c r="O151" s="41" t="s">
        <v>23</v>
      </c>
      <c r="P151" s="42"/>
      <c r="Q151" s="42"/>
      <c r="R151" s="42"/>
    </row>
    <row r="152" spans="1:18" ht="22" customHeight="1" x14ac:dyDescent="0.2">
      <c r="L152" s="46"/>
      <c r="M152" s="43"/>
      <c r="N152" s="45"/>
      <c r="O152" s="41"/>
      <c r="P152" s="42"/>
      <c r="Q152" s="42"/>
      <c r="R152" s="42"/>
    </row>
    <row r="153" spans="1:18" ht="22" customHeight="1" x14ac:dyDescent="0.2">
      <c r="L153" s="46"/>
      <c r="M153" s="43"/>
      <c r="N153" s="45"/>
      <c r="O153" s="41"/>
      <c r="P153" s="42"/>
      <c r="Q153" s="42"/>
      <c r="R153" s="42"/>
    </row>
    <row r="154" spans="1:18" ht="22" customHeight="1" x14ac:dyDescent="0.2">
      <c r="L154" s="46"/>
      <c r="M154" s="43"/>
      <c r="N154" s="45"/>
      <c r="O154" s="41"/>
      <c r="P154" s="42"/>
      <c r="Q154" s="42"/>
      <c r="R154" s="42"/>
    </row>
    <row r="155" spans="1:18" ht="22" customHeight="1" x14ac:dyDescent="0.2">
      <c r="L155" s="46"/>
      <c r="M155" s="43"/>
      <c r="N155" s="45"/>
      <c r="O155" s="41"/>
      <c r="P155" s="42"/>
      <c r="Q155" s="42"/>
      <c r="R155" s="42"/>
    </row>
    <row r="156" spans="1:18" ht="22" customHeight="1" x14ac:dyDescent="0.2">
      <c r="L156" s="46"/>
      <c r="M156" s="43"/>
      <c r="N156" s="45"/>
      <c r="O156" s="41"/>
      <c r="P156" s="42"/>
      <c r="Q156" s="42"/>
      <c r="R156" s="42"/>
    </row>
    <row r="157" spans="1:18" ht="22" customHeight="1" x14ac:dyDescent="0.2">
      <c r="L157" s="46"/>
      <c r="M157" s="43"/>
      <c r="N157" s="45"/>
      <c r="O157" s="41"/>
      <c r="P157" s="42"/>
      <c r="Q157" s="42"/>
      <c r="R157" s="42"/>
    </row>
    <row r="158" spans="1:18" ht="22" customHeight="1" x14ac:dyDescent="0.2">
      <c r="L158" s="46"/>
      <c r="M158" s="43"/>
      <c r="N158" s="45"/>
      <c r="O158" s="41"/>
      <c r="P158" s="42"/>
      <c r="Q158" s="42"/>
      <c r="R158" s="42"/>
    </row>
    <row r="159" spans="1:18" ht="22" customHeight="1" x14ac:dyDescent="0.2">
      <c r="L159" s="46"/>
      <c r="M159" s="43"/>
      <c r="N159" s="45"/>
      <c r="O159" s="41"/>
      <c r="P159" s="42"/>
      <c r="Q159" s="42"/>
      <c r="R159" s="42"/>
    </row>
    <row r="160" spans="1:18" ht="22" customHeight="1" x14ac:dyDescent="0.2">
      <c r="L160" s="46"/>
      <c r="M160" s="43"/>
      <c r="N160" s="45"/>
      <c r="O160" s="41"/>
      <c r="P160" s="42"/>
      <c r="Q160" s="42"/>
      <c r="R160" s="42"/>
    </row>
    <row r="161" spans="12:19" ht="22" customHeight="1" x14ac:dyDescent="0.2">
      <c r="L161" s="46"/>
      <c r="M161" s="43"/>
      <c r="N161" s="45"/>
      <c r="O161" s="41"/>
      <c r="P161" s="42"/>
      <c r="Q161" s="42"/>
      <c r="R161" s="42"/>
    </row>
    <row r="162" spans="12:19" ht="22" customHeight="1" thickBot="1" x14ac:dyDescent="0.25">
      <c r="L162" s="16"/>
      <c r="M162" s="14"/>
      <c r="N162" s="17"/>
      <c r="O162" s="18"/>
      <c r="P162" s="18"/>
      <c r="Q162" s="18"/>
      <c r="R162" s="18"/>
    </row>
    <row r="163" spans="12:19" ht="24" customHeight="1" thickBot="1" x14ac:dyDescent="0.25">
      <c r="L163" s="31" t="s">
        <v>14</v>
      </c>
      <c r="M163" s="43" t="s">
        <v>7</v>
      </c>
      <c r="N163" s="44" t="s">
        <v>17</v>
      </c>
      <c r="O163" s="19" t="s">
        <v>19</v>
      </c>
      <c r="P163" t="s">
        <v>3</v>
      </c>
      <c r="Q163" t="s">
        <v>4</v>
      </c>
      <c r="R163" t="s">
        <v>5</v>
      </c>
      <c r="S163" t="s">
        <v>6</v>
      </c>
    </row>
    <row r="164" spans="12:19" x14ac:dyDescent="0.2">
      <c r="L164" s="32"/>
      <c r="M164" s="43"/>
      <c r="N164" s="44"/>
      <c r="O164" s="20" t="s">
        <v>3</v>
      </c>
      <c r="P164" s="24">
        <f>_xlfn.COVARIANCE.S(O3:O145,O3:O145)</f>
        <v>4.6715677083493104E-3</v>
      </c>
      <c r="Q164" s="24">
        <f>_xlfn.COVARIANCE.S(O3:O145,P3:P145)</f>
        <v>1.715242843430528E-3</v>
      </c>
      <c r="R164" s="24">
        <f>_xlfn.COVARIANCE.S(O3:O145,Q3:Q145)</f>
        <v>1.5669611739183142E-3</v>
      </c>
      <c r="S164" s="24">
        <f>_xlfn.COVARIANCE.S(O3:O145,R3:R145)</f>
        <v>2.4296142807425729E-3</v>
      </c>
    </row>
    <row r="165" spans="12:19" x14ac:dyDescent="0.2">
      <c r="L165" s="32"/>
      <c r="M165" s="43"/>
      <c r="N165" s="44"/>
      <c r="O165" s="21" t="s">
        <v>4</v>
      </c>
      <c r="P165" s="24">
        <f>Q164</f>
        <v>1.715242843430528E-3</v>
      </c>
      <c r="Q165" s="24">
        <f>P147</f>
        <v>5.5222727309034167E-3</v>
      </c>
      <c r="R165" s="24">
        <f>_xlfn.COVARIANCE.S(P3:P145,Q3:Q145)</f>
        <v>1.6270076056067214E-3</v>
      </c>
      <c r="S165" s="24">
        <f>_xlfn.COVARIANCE.S(P3:P145,R3:R145)</f>
        <v>3.3709811922737615E-3</v>
      </c>
    </row>
    <row r="166" spans="12:19" x14ac:dyDescent="0.2">
      <c r="L166" s="32"/>
      <c r="M166" s="43"/>
      <c r="N166" s="44"/>
      <c r="O166" s="21" t="s">
        <v>5</v>
      </c>
      <c r="P166" s="24">
        <f>R164</f>
        <v>1.5669611739183142E-3</v>
      </c>
      <c r="Q166" s="24">
        <f>R165</f>
        <v>1.6270076056067214E-3</v>
      </c>
      <c r="R166" s="24">
        <f>Q147</f>
        <v>6.9643197019370103E-3</v>
      </c>
      <c r="S166" s="24">
        <f>R167</f>
        <v>2.0824578428241636E-3</v>
      </c>
    </row>
    <row r="167" spans="12:19" ht="17" thickBot="1" x14ac:dyDescent="0.25">
      <c r="L167" s="32"/>
      <c r="M167" s="43"/>
      <c r="N167" s="44"/>
      <c r="O167" s="22" t="s">
        <v>6</v>
      </c>
      <c r="P167" s="24">
        <f>S164</f>
        <v>2.4296142807425729E-3</v>
      </c>
      <c r="Q167" s="24">
        <f>S165</f>
        <v>3.3709811922737615E-3</v>
      </c>
      <c r="R167" s="24">
        <f>_xlfn.COVARIANCE.S(Q3:Q145,R3:R145)</f>
        <v>2.0824578428241636E-3</v>
      </c>
      <c r="S167" s="24">
        <f>R147</f>
        <v>6.8305438614441414E-3</v>
      </c>
    </row>
    <row r="168" spans="12:19" ht="17" thickBot="1" x14ac:dyDescent="0.25">
      <c r="L168" s="32"/>
      <c r="M168" s="10"/>
      <c r="N168" s="14"/>
    </row>
    <row r="169" spans="12:19" x14ac:dyDescent="0.2">
      <c r="L169" s="32"/>
      <c r="M169" s="43" t="s">
        <v>15</v>
      </c>
      <c r="N169" s="44" t="s">
        <v>18</v>
      </c>
      <c r="O169" s="23" t="s">
        <v>19</v>
      </c>
      <c r="P169" t="s">
        <v>3</v>
      </c>
      <c r="Q169" t="s">
        <v>4</v>
      </c>
      <c r="R169" t="s">
        <v>5</v>
      </c>
      <c r="S169" t="s">
        <v>6</v>
      </c>
    </row>
    <row r="170" spans="12:19" x14ac:dyDescent="0.2">
      <c r="L170" s="32"/>
      <c r="M170" s="43"/>
      <c r="N170" s="44"/>
      <c r="O170" s="21" t="s">
        <v>3</v>
      </c>
      <c r="P170" s="25">
        <f>CORREL(O3:O145,O3:O145)</f>
        <v>1</v>
      </c>
      <c r="Q170" s="25">
        <f>CORREL(O3:O145,P3:P145)</f>
        <v>0.33770334805414209</v>
      </c>
      <c r="R170" s="25">
        <f>CORREL(O3:O145,Q3:Q145)</f>
        <v>0.2747182821003924</v>
      </c>
      <c r="S170" s="25">
        <f>CORREL(O3:O145,R3:R145)</f>
        <v>0.43010883685662932</v>
      </c>
    </row>
    <row r="171" spans="12:19" x14ac:dyDescent="0.2">
      <c r="L171" s="32"/>
      <c r="M171" s="43"/>
      <c r="N171" s="44"/>
      <c r="O171" s="21" t="s">
        <v>4</v>
      </c>
      <c r="P171" s="25">
        <f>Q170</f>
        <v>0.33770334805414209</v>
      </c>
      <c r="Q171" s="25">
        <v>1</v>
      </c>
      <c r="R171" s="25">
        <f>Q172</f>
        <v>0.262356185311308</v>
      </c>
      <c r="S171" s="25">
        <f>Q173</f>
        <v>0.54887033821255404</v>
      </c>
    </row>
    <row r="172" spans="12:19" x14ac:dyDescent="0.2">
      <c r="L172" s="32"/>
      <c r="M172" s="43"/>
      <c r="N172" s="44"/>
      <c r="O172" s="21" t="s">
        <v>5</v>
      </c>
      <c r="P172" s="25">
        <f>R170</f>
        <v>0.2747182821003924</v>
      </c>
      <c r="Q172" s="25">
        <f>CORREL(P3:P145,Q3:Q145)</f>
        <v>0.262356185311308</v>
      </c>
      <c r="R172" s="25">
        <v>1</v>
      </c>
      <c r="S172" s="25">
        <f>R173</f>
        <v>0.30193205740962281</v>
      </c>
    </row>
    <row r="173" spans="12:19" ht="17" thickBot="1" x14ac:dyDescent="0.25">
      <c r="L173" s="32"/>
      <c r="M173" s="43"/>
      <c r="N173" s="44"/>
      <c r="O173" s="22" t="s">
        <v>6</v>
      </c>
      <c r="P173" s="25">
        <f>S170</f>
        <v>0.43010883685662932</v>
      </c>
      <c r="Q173" s="25">
        <f>CORREL(P3:P145,R3:R145)</f>
        <v>0.54887033821255404</v>
      </c>
      <c r="R173" s="25">
        <f>CORREL(R3:R145,Q3:Q145)</f>
        <v>0.30193205740962281</v>
      </c>
      <c r="S173" s="25">
        <v>1</v>
      </c>
    </row>
    <row r="174" spans="12:19" x14ac:dyDescent="0.2">
      <c r="L174" s="32"/>
      <c r="M174" s="10"/>
      <c r="N174" s="10"/>
    </row>
    <row r="175" spans="12:19" ht="16" customHeight="1" x14ac:dyDescent="0.2">
      <c r="L175" s="32"/>
      <c r="M175" s="28" t="s">
        <v>9</v>
      </c>
      <c r="N175" s="45" t="s">
        <v>21</v>
      </c>
      <c r="O175" s="34" t="s">
        <v>22</v>
      </c>
      <c r="P175" s="35"/>
      <c r="Q175" s="35"/>
      <c r="R175" s="35"/>
      <c r="S175" s="36"/>
    </row>
    <row r="176" spans="12:19" ht="16" customHeight="1" x14ac:dyDescent="0.2">
      <c r="L176" s="32"/>
      <c r="M176" s="29"/>
      <c r="N176" s="45"/>
      <c r="O176" s="37"/>
      <c r="P176" s="37"/>
      <c r="Q176" s="37"/>
      <c r="R176" s="37"/>
      <c r="S176" s="38"/>
    </row>
    <row r="177" spans="12:19" ht="16" customHeight="1" x14ac:dyDescent="0.2">
      <c r="L177" s="32"/>
      <c r="M177" s="29"/>
      <c r="N177" s="45"/>
      <c r="O177" s="37"/>
      <c r="P177" s="37"/>
      <c r="Q177" s="37"/>
      <c r="R177" s="37"/>
      <c r="S177" s="38"/>
    </row>
    <row r="178" spans="12:19" ht="16" customHeight="1" x14ac:dyDescent="0.2">
      <c r="L178" s="32"/>
      <c r="M178" s="29"/>
      <c r="N178" s="45"/>
      <c r="O178" s="37"/>
      <c r="P178" s="37"/>
      <c r="Q178" s="37"/>
      <c r="R178" s="37"/>
      <c r="S178" s="38"/>
    </row>
    <row r="179" spans="12:19" ht="16" customHeight="1" x14ac:dyDescent="0.2">
      <c r="L179" s="32"/>
      <c r="M179" s="29"/>
      <c r="N179" s="45"/>
      <c r="O179" s="37"/>
      <c r="P179" s="37"/>
      <c r="Q179" s="37"/>
      <c r="R179" s="37"/>
      <c r="S179" s="38"/>
    </row>
    <row r="180" spans="12:19" ht="16" customHeight="1" x14ac:dyDescent="0.2">
      <c r="L180" s="32"/>
      <c r="M180" s="29"/>
      <c r="N180" s="45"/>
      <c r="O180" s="37"/>
      <c r="P180" s="37"/>
      <c r="Q180" s="37"/>
      <c r="R180" s="37"/>
      <c r="S180" s="38"/>
    </row>
    <row r="181" spans="12:19" x14ac:dyDescent="0.2">
      <c r="L181" s="32"/>
      <c r="M181" s="29"/>
      <c r="N181" s="45"/>
      <c r="O181" s="37"/>
      <c r="P181" s="37"/>
      <c r="Q181" s="37"/>
      <c r="R181" s="37"/>
      <c r="S181" s="38"/>
    </row>
    <row r="182" spans="12:19" x14ac:dyDescent="0.2">
      <c r="L182" s="32"/>
      <c r="M182" s="29"/>
      <c r="N182" s="45"/>
      <c r="O182" s="37"/>
      <c r="P182" s="37"/>
      <c r="Q182" s="37"/>
      <c r="R182" s="37"/>
      <c r="S182" s="38"/>
    </row>
    <row r="183" spans="12:19" x14ac:dyDescent="0.2">
      <c r="L183" s="32"/>
      <c r="M183" s="29"/>
      <c r="N183" s="45"/>
      <c r="O183" s="37"/>
      <c r="P183" s="37"/>
      <c r="Q183" s="37"/>
      <c r="R183" s="37"/>
      <c r="S183" s="38"/>
    </row>
    <row r="184" spans="12:19" x14ac:dyDescent="0.2">
      <c r="L184" s="32"/>
      <c r="M184" s="29"/>
      <c r="N184" s="45"/>
      <c r="O184" s="37"/>
      <c r="P184" s="37"/>
      <c r="Q184" s="37"/>
      <c r="R184" s="37"/>
      <c r="S184" s="38"/>
    </row>
    <row r="185" spans="12:19" x14ac:dyDescent="0.2">
      <c r="L185" s="32"/>
      <c r="M185" s="29"/>
      <c r="N185" s="45"/>
      <c r="O185" s="37"/>
      <c r="P185" s="37"/>
      <c r="Q185" s="37"/>
      <c r="R185" s="37"/>
      <c r="S185" s="38"/>
    </row>
    <row r="186" spans="12:19" x14ac:dyDescent="0.2">
      <c r="L186" s="33"/>
      <c r="M186" s="30"/>
      <c r="N186" s="45"/>
      <c r="O186" s="39"/>
      <c r="P186" s="39"/>
      <c r="Q186" s="39"/>
      <c r="R186" s="39"/>
      <c r="S186" s="40"/>
    </row>
    <row r="187" spans="12:19" x14ac:dyDescent="0.2">
      <c r="N187" s="15"/>
    </row>
    <row r="188" spans="12:19" x14ac:dyDescent="0.2">
      <c r="N188" s="15"/>
    </row>
    <row r="189" spans="12:19" x14ac:dyDescent="0.2">
      <c r="N189" s="15"/>
    </row>
    <row r="190" spans="12:19" x14ac:dyDescent="0.2">
      <c r="N190" s="15"/>
    </row>
    <row r="191" spans="12:19" x14ac:dyDescent="0.2">
      <c r="N191" s="15"/>
    </row>
    <row r="192" spans="12:19" x14ac:dyDescent="0.2">
      <c r="N192" s="15"/>
    </row>
    <row r="193" spans="14:14" x14ac:dyDescent="0.2">
      <c r="N193" s="15"/>
    </row>
    <row r="194" spans="14:14" x14ac:dyDescent="0.2">
      <c r="N194" s="15"/>
    </row>
    <row r="195" spans="14:14" x14ac:dyDescent="0.2">
      <c r="N195" s="15"/>
    </row>
  </sheetData>
  <mergeCells count="13">
    <mergeCell ref="M175:M186"/>
    <mergeCell ref="L163:L186"/>
    <mergeCell ref="O175:S186"/>
    <mergeCell ref="O151:R161"/>
    <mergeCell ref="M146:M147"/>
    <mergeCell ref="M163:M167"/>
    <mergeCell ref="N163:N167"/>
    <mergeCell ref="M169:M173"/>
    <mergeCell ref="N169:N173"/>
    <mergeCell ref="M148:M161"/>
    <mergeCell ref="N151:N161"/>
    <mergeCell ref="N175:N186"/>
    <mergeCell ref="L146:L161"/>
  </mergeCells>
  <pageMargins left="0.7" right="0.7" top="0.75" bottom="0.75" header="0.3" footer="0.3"/>
  <drawing r:id="rId1"/>
  <tableParts count="10">
    <tablePart r:id="rId2"/>
    <tablePart r:id="rId3"/>
    <tablePart r:id="rId4"/>
    <tablePart r:id="rId5"/>
    <tablePart r:id="rId6"/>
    <tablePart r:id="rId7"/>
    <tablePart r:id="rId8"/>
    <tablePart r:id="rId9"/>
    <tablePart r:id="rId10"/>
    <tablePart r:id="rId1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Mini-Case 2.4-2.5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Олег Бурдуков</dc:creator>
  <cp:lastModifiedBy>Олег Бурдуков</cp:lastModifiedBy>
  <dcterms:created xsi:type="dcterms:W3CDTF">2025-10-19T16:51:34Z</dcterms:created>
  <dcterms:modified xsi:type="dcterms:W3CDTF">2026-01-06T13:16:54Z</dcterms:modified>
</cp:coreProperties>
</file>