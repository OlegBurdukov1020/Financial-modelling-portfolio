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V Risk Management/Interactive part/Unit 5/"/>
    </mc:Choice>
  </mc:AlternateContent>
  <xr:revisionPtr revIDLastSave="0" documentId="13_ncr:1_{FD884CD4-6F90-0048-A8F8-E140D4E82AD4}" xr6:coauthVersionLast="47" xr6:coauthVersionMax="47" xr10:uidLastSave="{00000000-0000-0000-0000-000000000000}"/>
  <bookViews>
    <workbookView xWindow="0" yWindow="720" windowWidth="15000" windowHeight="18400" activeTab="5" xr2:uid="{A521C231-3F89-2945-87AD-ACCF696A08CE}"/>
  </bookViews>
  <sheets>
    <sheet name="M.C.4.7" sheetId="1" r:id="rId1"/>
    <sheet name="M.C.4.8" sheetId="2" r:id="rId2"/>
    <sheet name="M.C.4.9" sheetId="3" r:id="rId3"/>
    <sheet name="M.C.5.1" sheetId="4" r:id="rId4"/>
    <sheet name="M.C.5.2" sheetId="5" r:id="rId5"/>
    <sheet name="M.C.5.3" sheetId="6" r:id="rId6"/>
  </sheets>
  <definedNames>
    <definedName name="ExternalData_1" localSheetId="3" hidden="1">'M.C.5.1'!$A$2:$D$102</definedName>
    <definedName name="ExternalData_1" localSheetId="5" hidden="1">'M.C.5.3'!$A$2:$C$27</definedName>
    <definedName name="ExternalData_2" localSheetId="5" hidden="1">'M.C.5.3'!$E$2:$G$7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6" l="1"/>
  <c r="J26" i="4" a="1"/>
  <c r="L4" i="4"/>
  <c r="M4"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F11" i="5"/>
  <c r="K9" i="4"/>
  <c r="H3" i="4"/>
  <c r="L9" i="4" s="1"/>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4" i="6"/>
  <c r="H7" i="6"/>
  <c r="H6" i="6"/>
  <c r="H5" i="6"/>
  <c r="F9" i="5"/>
  <c r="F5" i="5"/>
  <c r="B8" i="5"/>
  <c r="F2" i="5"/>
  <c r="K26"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E7" i="4"/>
  <c r="F7" i="4"/>
  <c r="F5" i="4"/>
  <c r="F6" i="4"/>
  <c r="E5" i="4"/>
  <c r="E6" i="4"/>
  <c r="F4" i="4"/>
  <c r="E4" i="4"/>
  <c r="L17" i="4"/>
  <c r="C14" i="3"/>
  <c r="C15" i="3"/>
  <c r="C4" i="3"/>
  <c r="B5" i="2"/>
  <c r="F7" i="1" a="1"/>
  <c r="F8" i="1"/>
  <c r="L5" i="4" l="1"/>
  <c r="K4" i="4"/>
  <c r="M5" i="4"/>
  <c r="L13" i="4"/>
  <c r="M9" i="4"/>
  <c r="J13" i="6"/>
  <c r="J7" i="6"/>
  <c r="J11" i="6"/>
  <c r="K5" i="4"/>
  <c r="J4" i="6"/>
  <c r="J3" i="6"/>
  <c r="I6" i="6"/>
  <c r="J5" i="6"/>
  <c r="I5" i="6"/>
  <c r="I7" i="6"/>
  <c r="F6" i="5"/>
  <c r="F7" i="5" s="1"/>
  <c r="J6" i="6"/>
  <c r="G6" i="3"/>
  <c r="G8" i="3" s="1"/>
  <c r="G11" i="6"/>
  <c r="I4" i="6"/>
  <c r="I3" i="6"/>
  <c r="M14" i="4"/>
  <c r="E7" i="2"/>
  <c r="H4" i="2" s="1"/>
  <c r="H6" i="2" s="1"/>
  <c r="E3" i="2"/>
  <c r="F9" i="1"/>
  <c r="K21" i="4" l="1"/>
  <c r="K12" i="4"/>
  <c r="L22" i="4"/>
  <c r="M13" i="4"/>
  <c r="L14" i="4" s="1"/>
  <c r="L21" i="4"/>
  <c r="M12" i="4"/>
  <c r="L12" i="4"/>
  <c r="K13" i="4" s="1"/>
  <c r="E11" i="6"/>
  <c r="H3" i="2"/>
  <c r="H5" i="2" s="1"/>
  <c r="H7" i="2" s="1"/>
  <c r="K22" i="4" l="1"/>
  <c r="L26" i="4" s="1"/>
  <c r="K14" i="4"/>
  <c r="J17" i="4" s="1" a="1"/>
  <c r="M17" i="4" s="1"/>
  <c r="M2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H2" authorId="0" shapeId="0" xr:uid="{5FF39A45-CECD-724A-8EB6-A5357BB5D07D}">
      <text>
        <r>
          <rPr>
            <b/>
            <sz val="10"/>
            <color rgb="FF000000"/>
            <rFont val="Tahoma"/>
            <family val="2"/>
          </rPr>
          <t>We are interested only in the first value as we need to estimate our exposure to exchange rate between euro and zloty. Since we have direct quote, we simply multiply value of polish operations by exchange rate</t>
        </r>
        <r>
          <rPr>
            <sz val="10"/>
            <color rgb="FF000000"/>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6DE037-073B-C045-8104-545EC94EE804}" keepAlive="1" name="Query - Buckets and Exchange Rates" description="Connection to the 'Buckets and Exchange Rates' query in the workbook." type="5" refreshedVersion="8" background="1" saveData="1">
    <dbPr connection="Provider=Microsoft.Mashup.OleDb.1;Data Source=$Workbook$;Location=&quot;Buckets and Exchange Rates&quot;;Extended Properties=&quot;&quot;" command="SELECT * FROM [Buckets and Exchange Rates]"/>
  </connection>
  <connection id="2" xr16:uid="{247A8269-D25A-344A-897A-7855FA86472E}" keepAlive="1" name="Query - Cash Flow Data" description="Connection to the 'Cash Flow Data' query in the workbook." type="5" refreshedVersion="8" background="1" saveData="1">
    <dbPr connection="Provider=Microsoft.Mashup.OleDb.1;Data Source=$Workbook$;Location=&quot;Cash Flow Data&quot;;Extended Properties=&quot;&quot;" command="SELECT * FROM [Cash Flow Data]"/>
  </connection>
  <connection id="3" xr16:uid="{9621F849-2873-E94A-A827-65D9AD1ED47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<sst xmlns="http://schemas.openxmlformats.org/spreadsheetml/2006/main" count="155" uniqueCount="105">
  <si>
    <t>Mini-case 4.7</t>
  </si>
  <si>
    <t>Mini-case 4.8</t>
  </si>
  <si>
    <t>Mini-case 4.9</t>
  </si>
  <si>
    <t>Assumptions</t>
  </si>
  <si>
    <t>Instrument</t>
  </si>
  <si>
    <t>Interest rate swap</t>
  </si>
  <si>
    <t>Position</t>
  </si>
  <si>
    <t>Payer</t>
  </si>
  <si>
    <t>Maturity (in years)</t>
  </si>
  <si>
    <t>Fixed rate</t>
  </si>
  <si>
    <t>Tenor (in years)</t>
  </si>
  <si>
    <t>Floating rate</t>
  </si>
  <si>
    <t>Debt</t>
  </si>
  <si>
    <t>Asset ≃</t>
  </si>
  <si>
    <t>∑</t>
  </si>
  <si>
    <t>TASK 1</t>
  </si>
  <si>
    <r>
      <t>MD</t>
    </r>
    <r>
      <rPr>
        <b/>
        <sz val="8"/>
        <color rgb="FF3F3F3F"/>
        <rFont val="Aptos Narrow (Body)"/>
      </rPr>
      <t>IRS</t>
    </r>
  </si>
  <si>
    <r>
      <rPr>
        <b/>
        <sz val="16"/>
        <color rgb="FF3F3F3F"/>
        <rFont val="Aptos Narrow (Body)"/>
      </rPr>
      <t>r</t>
    </r>
    <r>
      <rPr>
        <b/>
        <sz val="8"/>
        <color rgb="FF3F3F3F"/>
        <rFont val="Aptos Narrow (Body)"/>
      </rPr>
      <t>Fix</t>
    </r>
  </si>
  <si>
    <r>
      <rPr>
        <b/>
        <sz val="16"/>
        <color rgb="FF3F3F3F"/>
        <rFont val="Aptos Narrow (Body)"/>
      </rPr>
      <t>r</t>
    </r>
    <r>
      <rPr>
        <b/>
        <sz val="8"/>
        <color rgb="FF3F3F3F"/>
        <rFont val="Aptos Narrow (Body)"/>
      </rPr>
      <t>f</t>
    </r>
  </si>
  <si>
    <t>Assumption</t>
  </si>
  <si>
    <t>Equity</t>
  </si>
  <si>
    <t>Assets</t>
  </si>
  <si>
    <t>TASK 2</t>
  </si>
  <si>
    <t>N</t>
  </si>
  <si>
    <t>TASK 3</t>
  </si>
  <si>
    <r>
      <t xml:space="preserve">It enters the </t>
    </r>
    <r>
      <rPr>
        <u/>
        <sz val="8"/>
        <color theme="1"/>
        <rFont val="Aptos Narrow"/>
        <scheme val="minor"/>
      </rPr>
      <t>payer</t>
    </r>
    <r>
      <rPr>
        <sz val="8"/>
        <color theme="1"/>
        <rFont val="Aptos Narrow"/>
        <scheme val="minor"/>
      </rPr>
      <t xml:space="preserve"> swap. It can be seen from the fact that the floating rate part of the swap is observed as an asset, i.e., the firm is going to receive the floating rate. The value of fixed part is observed as the firms debt, i.e., what the firm must pay to the counterparty</t>
    </r>
  </si>
  <si>
    <t>TASK 4</t>
  </si>
  <si>
    <t>A*</t>
  </si>
  <si>
    <t>D*</t>
  </si>
  <si>
    <r>
      <t>MD</t>
    </r>
    <r>
      <rPr>
        <b/>
        <sz val="8"/>
        <color rgb="FF3F3F3F"/>
        <rFont val="Aptos Narrow (Body)"/>
      </rPr>
      <t>D</t>
    </r>
  </si>
  <si>
    <r>
      <t>MD</t>
    </r>
    <r>
      <rPr>
        <b/>
        <sz val="8"/>
        <color rgb="FF3F3F3F"/>
        <rFont val="Aptos Narrow (Body)"/>
      </rPr>
      <t>A</t>
    </r>
  </si>
  <si>
    <r>
      <t>MD</t>
    </r>
    <r>
      <rPr>
        <b/>
        <sz val="8"/>
        <color rgb="FF3F3F3F"/>
        <rFont val="Aptos Narrow (Body)"/>
      </rPr>
      <t>IRS,asset</t>
    </r>
    <r>
      <rPr>
        <b/>
        <sz val="12"/>
        <color rgb="FF3F3F3F"/>
        <rFont val="Aptos Narrow"/>
        <family val="2"/>
        <scheme val="minor"/>
      </rPr>
      <t xml:space="preserve"> ≃</t>
    </r>
  </si>
  <si>
    <r>
      <t>MD</t>
    </r>
    <r>
      <rPr>
        <b/>
        <sz val="8"/>
        <color rgb="FF3F3F3F"/>
        <rFont val="Aptos Narrow (Body)"/>
      </rPr>
      <t>IRS,debt</t>
    </r>
  </si>
  <si>
    <r>
      <t>MD</t>
    </r>
    <r>
      <rPr>
        <b/>
        <sz val="8"/>
        <color rgb="FF3F3F3F"/>
        <rFont val="Aptos Narrow (Body)"/>
      </rPr>
      <t>E</t>
    </r>
  </si>
  <si>
    <r>
      <t>MD</t>
    </r>
    <r>
      <rPr>
        <b/>
        <sz val="8"/>
        <color rgb="FF3F3F3F"/>
        <rFont val="Aptos Narrow (Body)"/>
      </rPr>
      <t>A</t>
    </r>
    <r>
      <rPr>
        <b/>
        <sz val="12"/>
        <color rgb="FF3F3F3F"/>
        <rFont val="Aptos Narrow"/>
        <family val="2"/>
        <scheme val="minor"/>
      </rPr>
      <t>*</t>
    </r>
  </si>
  <si>
    <r>
      <t>MD</t>
    </r>
    <r>
      <rPr>
        <b/>
        <sz val="8"/>
        <color rgb="FF3F3F3F"/>
        <rFont val="Aptos Narrow (Body)"/>
      </rPr>
      <t>D</t>
    </r>
    <r>
      <rPr>
        <b/>
        <sz val="12"/>
        <color rgb="FF3F3F3F"/>
        <rFont val="Aptos Narrow"/>
        <family val="2"/>
        <scheme val="minor"/>
      </rPr>
      <t>*</t>
    </r>
  </si>
  <si>
    <r>
      <t>MD</t>
    </r>
    <r>
      <rPr>
        <b/>
        <sz val="8"/>
        <color rgb="FF3F3F3F"/>
        <rFont val="Aptos Narrow (Body)"/>
      </rPr>
      <t>E</t>
    </r>
    <r>
      <rPr>
        <b/>
        <sz val="12"/>
        <color rgb="FF3F3F3F"/>
        <rFont val="Aptos Narrow"/>
        <family val="2"/>
        <scheme val="minor"/>
      </rPr>
      <t>*</t>
    </r>
  </si>
  <si>
    <r>
      <t>The negative result in formula can be explained by the fact that the debt part value is larger than the value of assets part. Thus, in order to hedge, we need to boost the assets part up. It can be achieved by increasing the hedged modified duration of assets MD</t>
    </r>
    <r>
      <rPr>
        <sz val="5"/>
        <color theme="1"/>
        <rFont val="Aptos Narrow (Body)"/>
      </rPr>
      <t>A</t>
    </r>
    <r>
      <rPr>
        <sz val="8"/>
        <color theme="1"/>
        <rFont val="Aptos Narrow"/>
        <family val="2"/>
        <scheme val="minor"/>
      </rPr>
      <t>*, i.e., by the bigger MD</t>
    </r>
    <r>
      <rPr>
        <sz val="5"/>
        <color theme="1"/>
        <rFont val="Aptos Narrow (Body)"/>
      </rPr>
      <t>IRS,assets</t>
    </r>
    <r>
      <rPr>
        <sz val="8"/>
        <color theme="1"/>
        <rFont val="Aptos Narrow"/>
        <family val="2"/>
        <scheme val="minor"/>
      </rPr>
      <t xml:space="preserve">. If we choose the bigger value for it, namely 25, we'll imply that the fixed rate part of the swap is an asset, which is the case for receiver swap position. </t>
    </r>
  </si>
  <si>
    <r>
      <t>We know that MD</t>
    </r>
    <r>
      <rPr>
        <sz val="6"/>
        <color theme="1"/>
        <rFont val="Aptos Narrow (Body)"/>
      </rPr>
      <t>E</t>
    </r>
    <r>
      <rPr>
        <sz val="10"/>
        <color theme="1"/>
        <rFont val="Aptos Narrow"/>
        <family val="2"/>
        <scheme val="minor"/>
      </rPr>
      <t xml:space="preserve"> = MD</t>
    </r>
    <r>
      <rPr>
        <sz val="6"/>
        <color theme="1"/>
        <rFont val="Aptos Narrow (Body)"/>
      </rPr>
      <t>A</t>
    </r>
    <r>
      <rPr>
        <sz val="10"/>
        <color theme="1"/>
        <rFont val="Aptos Narrow"/>
        <family val="2"/>
        <scheme val="minor"/>
      </rPr>
      <t xml:space="preserve"> ⨉ A/E - MD</t>
    </r>
    <r>
      <rPr>
        <sz val="6"/>
        <color theme="1"/>
        <rFont val="Aptos Narrow (Body)"/>
      </rPr>
      <t>D</t>
    </r>
    <r>
      <rPr>
        <sz val="10"/>
        <color theme="1"/>
        <rFont val="Aptos Narrow"/>
        <family val="2"/>
        <scheme val="minor"/>
      </rPr>
      <t xml:space="preserve"> ⨉ D/E</t>
    </r>
  </si>
  <si>
    <r>
      <t>MD</t>
    </r>
    <r>
      <rPr>
        <b/>
        <sz val="8"/>
        <color rgb="FF3F3F3F"/>
        <rFont val="Aptos Narrow (Body)"/>
      </rPr>
      <t>Float</t>
    </r>
    <r>
      <rPr>
        <b/>
        <sz val="12"/>
        <color rgb="FF3F3F3F"/>
        <rFont val="Aptos Narrow"/>
        <family val="2"/>
        <scheme val="minor"/>
      </rPr>
      <t xml:space="preserve"> ≃</t>
    </r>
  </si>
  <si>
    <r>
      <t>MD</t>
    </r>
    <r>
      <rPr>
        <b/>
        <sz val="8"/>
        <color rgb="FF3F3F3F"/>
        <rFont val="Aptos Narrow (Body)"/>
      </rPr>
      <t>Fixed</t>
    </r>
  </si>
  <si>
    <r>
      <t>MD</t>
    </r>
    <r>
      <rPr>
        <b/>
        <sz val="8"/>
        <color rgb="FF3F3F3F"/>
        <rFont val="Aptos Narrow (Body)"/>
      </rPr>
      <t>IRS,assets</t>
    </r>
  </si>
  <si>
    <r>
      <t>MD</t>
    </r>
    <r>
      <rPr>
        <b/>
        <sz val="8"/>
        <color rgb="FF3F3F3F"/>
        <rFont val="Aptos Narrow (Body)"/>
      </rPr>
      <t>IRS,debt</t>
    </r>
    <r>
      <rPr>
        <b/>
        <sz val="12"/>
        <color rgb="FF3F3F3F"/>
        <rFont val="Aptos Narrow"/>
        <family val="2"/>
        <scheme val="minor"/>
      </rPr>
      <t xml:space="preserve"> ≃</t>
    </r>
  </si>
  <si>
    <t>A</t>
  </si>
  <si>
    <t>P</t>
  </si>
  <si>
    <t>X</t>
  </si>
  <si>
    <t>Time period</t>
  </si>
  <si>
    <t>X (€ =&gt; PLN)</t>
  </si>
  <si>
    <t>σ</t>
  </si>
  <si>
    <t>⍴[(A,P);(P,X);(X,A)]</t>
  </si>
  <si>
    <t>δ</t>
  </si>
  <si>
    <t>A(return)</t>
  </si>
  <si>
    <t>P(return)</t>
  </si>
  <si>
    <t>⍺</t>
  </si>
  <si>
    <t>N⁻¹(⍺)</t>
  </si>
  <si>
    <t>Column1</t>
  </si>
  <si>
    <t>P and FX exposure</t>
  </si>
  <si>
    <t>σ&amp;⍴</t>
  </si>
  <si>
    <r>
      <t>σ</t>
    </r>
    <r>
      <rPr>
        <b/>
        <sz val="8"/>
        <color rgb="FF3F3F3F"/>
        <rFont val="Aptos Narrow (Body)"/>
      </rPr>
      <t>P</t>
    </r>
  </si>
  <si>
    <r>
      <t>VaR</t>
    </r>
    <r>
      <rPr>
        <b/>
        <sz val="8"/>
        <color rgb="FF3F3F3F"/>
        <rFont val="Aptos Narrow (Body)"/>
      </rPr>
      <t>FIRM</t>
    </r>
  </si>
  <si>
    <r>
      <t>VaR</t>
    </r>
    <r>
      <rPr>
        <b/>
        <sz val="8"/>
        <color rgb="FF3F3F3F"/>
        <rFont val="Aptos Narrow (Body)"/>
      </rPr>
      <t>FX</t>
    </r>
  </si>
  <si>
    <t>Annual revenues</t>
  </si>
  <si>
    <t>∑Costs</t>
  </si>
  <si>
    <t>SAR:USD (Task 2)</t>
  </si>
  <si>
    <t>SAR:USD (Task 1)</t>
  </si>
  <si>
    <t>dCF/dX</t>
  </si>
  <si>
    <t>CF</t>
  </si>
  <si>
    <t>dPV/dX</t>
  </si>
  <si>
    <t>∆PV</t>
  </si>
  <si>
    <t>∆X</t>
  </si>
  <si>
    <t>500$*X-2000SAR</t>
  </si>
  <si>
    <t>TASK 5</t>
  </si>
  <si>
    <r>
      <t>σ</t>
    </r>
    <r>
      <rPr>
        <b/>
        <sz val="8"/>
        <color rgb="FF3F3F3F"/>
        <rFont val="Aptos Narrow (Body)"/>
      </rPr>
      <t>FX</t>
    </r>
  </si>
  <si>
    <r>
      <t>PV</t>
    </r>
    <r>
      <rPr>
        <b/>
        <sz val="8"/>
        <color rgb="FF3F3F3F"/>
        <rFont val="Aptos Narrow (Body)"/>
      </rPr>
      <t>operations</t>
    </r>
  </si>
  <si>
    <r>
      <t>PV</t>
    </r>
    <r>
      <rPr>
        <b/>
        <sz val="8"/>
        <color rgb="FF3F3F3F"/>
        <rFont val="Aptos Narrow (Body)"/>
      </rPr>
      <t>revenues</t>
    </r>
  </si>
  <si>
    <r>
      <t>VaR</t>
    </r>
    <r>
      <rPr>
        <b/>
        <sz val="8"/>
        <color rgb="FF3F3F3F"/>
        <rFont val="Aptos Narrow (Body)"/>
      </rPr>
      <t>revenues</t>
    </r>
  </si>
  <si>
    <t>Buckets (months)</t>
  </si>
  <si>
    <t>Key Maturity</t>
  </si>
  <si>
    <t>GBP / EUR</t>
  </si>
  <si>
    <t>0</t>
  </si>
  <si>
    <t>Spot</t>
  </si>
  <si>
    <t>(0,2]</t>
  </si>
  <si>
    <t>1M</t>
  </si>
  <si>
    <t>(2,6]</t>
  </si>
  <si>
    <t>4M</t>
  </si>
  <si>
    <t>(6,12]</t>
  </si>
  <si>
    <t>9M</t>
  </si>
  <si>
    <t>12+</t>
  </si>
  <si>
    <t>2Y</t>
  </si>
  <si>
    <t>Date</t>
  </si>
  <si>
    <t>Cash Flows</t>
  </si>
  <si>
    <t>∑CF £</t>
  </si>
  <si>
    <t>∑CF € (hedged)</t>
  </si>
  <si>
    <t>∑CF € (not hedged)</t>
  </si>
  <si>
    <t>FX Spot rate (new)</t>
  </si>
  <si>
    <t>Notional of the forward (€)</t>
  </si>
  <si>
    <r>
      <t>PV</t>
    </r>
    <r>
      <rPr>
        <b/>
        <sz val="8"/>
        <color rgb="FF3F3F3F"/>
        <rFont val="Aptos Narrow (Body)"/>
      </rPr>
      <t>operations</t>
    </r>
    <r>
      <rPr>
        <b/>
        <sz val="12"/>
        <color rgb="FF3F3F3F"/>
        <rFont val="Aptos Narrow"/>
        <family val="2"/>
        <scheme val="minor"/>
      </rPr>
      <t xml:space="preserve"> (no hedge)</t>
    </r>
  </si>
  <si>
    <r>
      <t>PV</t>
    </r>
    <r>
      <rPr>
        <b/>
        <sz val="8"/>
        <color rgb="FF3F3F3F"/>
        <rFont val="Aptos Narrow (Body)"/>
      </rPr>
      <t>operations</t>
    </r>
    <r>
      <rPr>
        <b/>
        <sz val="12"/>
        <color rgb="FF3F3F3F"/>
        <rFont val="Aptos Narrow"/>
        <family val="2"/>
        <scheme val="minor"/>
      </rPr>
      <t xml:space="preserve"> (hedge)</t>
    </r>
  </si>
  <si>
    <r>
      <t>PV</t>
    </r>
    <r>
      <rPr>
        <b/>
        <sz val="8"/>
        <color rgb="FF3F3F3F"/>
        <rFont val="Aptos Narrow (Body)"/>
      </rPr>
      <t>operations</t>
    </r>
    <r>
      <rPr>
        <b/>
        <sz val="12"/>
        <color rgb="FF3F3F3F"/>
        <rFont val="Aptos Narrow"/>
        <family val="2"/>
        <scheme val="minor"/>
      </rPr>
      <t xml:space="preserve"> (Bucket "12+")</t>
    </r>
  </si>
  <si>
    <t>Mini-case 5.1 🇪🇺🇪🇺🇪🇺🇵🇱🇵🇱🇵🇱</t>
  </si>
  <si>
    <t>Mini-case 5.3 🇪🇺🇪🇺🇪🇺🇬🇧🇬🇧🇬🇧</t>
  </si>
  <si>
    <t>Mini-case 5.2 🦅🇸🇦🇸🇦🇸🇦</t>
  </si>
  <si>
    <t>δ-weights</t>
  </si>
  <si>
    <t>The difference can be seen in information computed risk measures provide. ∆PV suggests a real-world perspective on the consequences of the FX rate change. On the other hand, VaR measures reaction on FX rate change statistically. In VaR we consider standard deviation as expression of FX fluctuation, meanwhile computation of ∆PV straightforwardly use the change in FX rate. It's also worth it to point out the difference between the values of these two measures. As a similarity of both measures we might observe that they are aimed at the same risk source, namely FX risk.</t>
  </si>
  <si>
    <t>FX(daily 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</si>
</sst>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 #,##0.00;[Red]&quot;€&quot;\ \-#,##0.00"/>
    <numFmt numFmtId="44" formatCode="_ &quot;€&quot;\ * #,##0.00_ ;_ &quot;€&quot;\ * \-#,##0.00_ ;_ &quot;€&quot;\ * &quot;-&quot;??_ ;_ @_ "/>
    <numFmt numFmtId="164" formatCode="0.00000"/>
    <numFmt numFmtId="165" formatCode="0.000"/>
    <numFmt numFmtId="166" formatCode="&quot;€&quot;\ #,##0.0000;[Red]&quot;€&quot;\ \-#,##0.0000"/>
    <numFmt numFmtId="167" formatCode="_-[$$-409]* #,##0.00_ ;_-[$$-409]* \-#,##0.00\ ;_-[$$-409]* &quot;-&quot;??_ ;_-@_ "/>
    <numFmt numFmtId="168" formatCode="_ [$SAR]\ * #,##0.00_ ;_ [$SAR]\ * \-#,##0.00_ ;_ [$SAR]\ * &quot;-&quot;??_ ;_ @_ "/>
    <numFmt numFmtId="169" formatCode="_ [$PLN]\ * #,##0.00_ ;_ [$PLN]\ * \-#,##0.00_ ;_ [$PLN]\ * &quot;-&quot;??_ ;_ @_ "/>
    <numFmt numFmtId="170" formatCode="_-[$£-809]* #,##0.00_-;\-[$£-809]* #,##0.00_-;_-[$£-809]* &quot;-&quot;??_-;_-@_-"/>
    <numFmt numFmtId="171" formatCode="_-[$£-491]* #,##0.00_-;\-[$£-491]* #,##0.00_-;_-[$£-491]* &quot;-&quot;??_-;_-@_-"/>
  </numFmts>
  <fonts count="20" x14ac:knownFonts="1">
    <font>
      <sz val="12"/>
      <color theme="1"/>
      <name val="Aptos Narrow"/>
      <family val="2"/>
      <scheme val="minor"/>
    </font>
    <font>
      <sz val="12"/>
      <color theme="1"/>
      <name val="Aptos Narrow"/>
      <family val="2"/>
      <scheme val="minor"/>
    </font>
    <font>
      <sz val="12"/>
      <color rgb="FF9C0006"/>
      <name val="Aptos Narrow"/>
      <family val="2"/>
      <scheme val="minor"/>
    </font>
    <font>
      <sz val="12"/>
      <color rgb="FF9C5700"/>
      <name val="Aptos Narrow"/>
      <family val="2"/>
      <scheme val="minor"/>
    </font>
    <font>
      <b/>
      <sz val="12"/>
      <color rgb="FF3F3F3F"/>
      <name val="Aptos Narrow"/>
      <family val="2"/>
      <scheme val="minor"/>
    </font>
    <font>
      <sz val="12"/>
      <color rgb="FFFF0000"/>
      <name val="Aptos Narrow"/>
      <family val="2"/>
      <scheme val="minor"/>
    </font>
    <font>
      <sz val="12"/>
      <color theme="0"/>
      <name val="Aptos Narrow"/>
      <family val="2"/>
      <scheme val="minor"/>
    </font>
    <font>
      <b/>
      <sz val="8"/>
      <color rgb="FF3F3F3F"/>
      <name val="Aptos Narrow (Body)"/>
    </font>
    <font>
      <b/>
      <sz val="16"/>
      <color rgb="FF3F3F3F"/>
      <name val="Aptos Narrow (Body)"/>
    </font>
    <font>
      <b/>
      <sz val="12"/>
      <color rgb="FF3F3F3F"/>
      <name val="Aptos Narrow (Body)"/>
    </font>
    <font>
      <sz val="10"/>
      <color theme="1"/>
      <name val="Aptos Narrow"/>
      <family val="2"/>
      <scheme val="minor"/>
    </font>
    <font>
      <sz val="8"/>
      <color theme="1"/>
      <name val="Aptos Narrow"/>
      <family val="2"/>
      <scheme val="minor"/>
    </font>
    <font>
      <sz val="8.4"/>
      <color theme="1"/>
      <name val="Aptos Narrow"/>
      <family val="2"/>
      <scheme val="minor"/>
    </font>
    <font>
      <sz val="9"/>
      <color theme="1"/>
      <name val="Aptos Narrow (Body)"/>
    </font>
    <font>
      <sz val="8"/>
      <color theme="1"/>
      <name val="Aptos Narrow"/>
      <scheme val="minor"/>
    </font>
    <font>
      <u/>
      <sz val="8"/>
      <color theme="1"/>
      <name val="Aptos Narrow"/>
      <scheme val="minor"/>
    </font>
    <font>
      <sz val="5"/>
      <color theme="1"/>
      <name val="Aptos Narrow (Body)"/>
    </font>
    <font>
      <sz val="6"/>
      <color theme="1"/>
      <name val="Aptos Narrow (Body)"/>
    </font>
    <font>
      <sz val="10"/>
      <color rgb="FF000000"/>
      <name val="Tahoma"/>
      <family val="2"/>
    </font>
    <font>
      <b/>
      <sz val="10"/>
      <color rgb="FF000000"/>
      <name val="Tahoma"/>
      <family val="2"/>
    </font>
  </fonts>
  <fills count="13">
    <fill>
      <patternFill patternType="none"/>
    </fill>
    <fill>
      <patternFill patternType="gray125"/>
    </fill>
    <fill>
      <patternFill patternType="solid">
        <fgColor rgb="FFFFC7CE"/>
      </patternFill>
    </fill>
    <fill>
      <patternFill patternType="solid">
        <fgColor rgb="FFFFEB9C"/>
      </patternFill>
    </fill>
    <fill>
      <patternFill patternType="solid">
        <fgColor rgb="FFF2F2F2"/>
      </patternFill>
    </fill>
    <fill>
      <patternFill patternType="solid">
        <fgColor theme="5"/>
      </patternFill>
    </fill>
    <fill>
      <patternFill patternType="solid">
        <fgColor theme="6"/>
      </patternFill>
    </fill>
    <fill>
      <patternFill patternType="solid">
        <fgColor theme="7"/>
      </patternFill>
    </fill>
    <fill>
      <patternFill patternType="solid">
        <fgColor theme="7" tint="0.79998168889431442"/>
        <bgColor indexed="65"/>
      </patternFill>
    </fill>
    <fill>
      <patternFill patternType="solid">
        <fgColor theme="8"/>
      </patternFill>
    </fill>
    <fill>
      <patternFill patternType="solid">
        <fgColor theme="2" tint="-0.749992370372631"/>
        <bgColor indexed="64"/>
      </patternFill>
    </fill>
    <fill>
      <patternFill patternType="solid">
        <fgColor theme="2" tint="-0.499984740745262"/>
        <bgColor indexed="64"/>
      </patternFill>
    </fill>
    <fill>
      <patternFill patternType="solid">
        <fgColor theme="4"/>
      </patternFill>
    </fill>
  </fills>
  <borders count="7">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44"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1" fillId="8"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cellStyleXfs>
  <cellXfs count="58">
    <xf numFmtId="0" fontId="0" fillId="0" borderId="0" xfId="0"/>
    <xf numFmtId="0" fontId="6" fillId="0" borderId="0" xfId="0" applyFont="1"/>
    <xf numFmtId="0" fontId="4" fillId="4" borderId="1" xfId="4" applyAlignment="1">
      <alignment horizontal="center" vertical="center"/>
    </xf>
    <xf numFmtId="0" fontId="0" fillId="0" borderId="0" xfId="0" applyAlignment="1">
      <alignment horizontal="center" vertical="center"/>
    </xf>
    <xf numFmtId="0" fontId="6" fillId="7" borderId="2" xfId="7" applyBorder="1" applyAlignment="1">
      <alignment horizontal="center" vertical="center"/>
    </xf>
    <xf numFmtId="0" fontId="4" fillId="4" borderId="2" xfId="4" applyBorder="1" applyAlignment="1">
      <alignment horizontal="center" vertical="center"/>
    </xf>
    <xf numFmtId="0" fontId="9" fillId="4" borderId="2" xfId="4" applyFont="1" applyBorder="1" applyAlignment="1">
      <alignment horizontal="center" vertical="center"/>
    </xf>
    <xf numFmtId="0" fontId="0" fillId="0" borderId="2" xfId="0" applyBorder="1" applyAlignment="1">
      <alignment horizontal="center" vertical="center"/>
    </xf>
    <xf numFmtId="0" fontId="6" fillId="11" borderId="2" xfId="0" applyFont="1" applyFill="1" applyBorder="1" applyAlignment="1">
      <alignment horizontal="center" vertical="center"/>
    </xf>
    <xf numFmtId="165" fontId="0" fillId="0" borderId="2" xfId="0" applyNumberFormat="1" applyBorder="1" applyAlignment="1">
      <alignment horizontal="center" vertical="center"/>
    </xf>
    <xf numFmtId="165" fontId="1" fillId="8" borderId="2" xfId="8" applyNumberFormat="1" applyBorder="1" applyAlignment="1">
      <alignment horizontal="center" vertical="center"/>
    </xf>
    <xf numFmtId="0" fontId="13" fillId="0" borderId="0" xfId="0" applyFont="1" applyAlignment="1">
      <alignment vertical="center" wrapText="1"/>
    </xf>
    <xf numFmtId="0" fontId="12" fillId="0" borderId="0" xfId="0" applyFont="1" applyAlignment="1">
      <alignment vertical="center"/>
    </xf>
    <xf numFmtId="0" fontId="14" fillId="0" borderId="0" xfId="0" applyFont="1" applyAlignment="1">
      <alignment vertical="center"/>
    </xf>
    <xf numFmtId="0" fontId="1" fillId="8" borderId="2" xfId="8" applyBorder="1" applyAlignment="1">
      <alignment horizontal="center" vertical="center"/>
    </xf>
    <xf numFmtId="8" fontId="0" fillId="0" borderId="0" xfId="0" applyNumberFormat="1" applyAlignment="1">
      <alignment horizontal="center" vertical="center"/>
    </xf>
    <xf numFmtId="166" fontId="0" fillId="0" borderId="0" xfId="0" applyNumberFormat="1" applyAlignment="1">
      <alignment horizontal="center" vertical="center"/>
    </xf>
    <xf numFmtId="0" fontId="6" fillId="5" borderId="2" xfId="5" applyBorder="1" applyAlignment="1">
      <alignment horizontal="center" vertical="center"/>
    </xf>
    <xf numFmtId="10" fontId="0" fillId="0" borderId="0" xfId="0" applyNumberFormat="1" applyAlignment="1">
      <alignment horizontal="center" vertical="center"/>
    </xf>
    <xf numFmtId="164" fontId="0" fillId="0" borderId="2" xfId="0" applyNumberFormat="1" applyBorder="1" applyAlignment="1">
      <alignment horizontal="center" vertical="center"/>
    </xf>
    <xf numFmtId="8" fontId="0" fillId="0" borderId="2" xfId="0" applyNumberFormat="1" applyBorder="1" applyAlignment="1">
      <alignment horizontal="center" vertical="center"/>
    </xf>
    <xf numFmtId="0" fontId="6" fillId="9" borderId="2" xfId="9" applyBorder="1" applyAlignment="1">
      <alignment horizontal="center" vertical="center"/>
    </xf>
    <xf numFmtId="9" fontId="0" fillId="0" borderId="2" xfId="0" applyNumberFormat="1" applyBorder="1" applyAlignment="1">
      <alignment horizontal="center" vertical="center"/>
    </xf>
    <xf numFmtId="8" fontId="1" fillId="8" borderId="2" xfId="8" applyNumberFormat="1" applyBorder="1" applyAlignment="1">
      <alignment horizontal="center" vertical="center"/>
    </xf>
    <xf numFmtId="0" fontId="6" fillId="6" borderId="2" xfId="6" applyBorder="1" applyAlignment="1">
      <alignment horizontal="center" vertical="center"/>
    </xf>
    <xf numFmtId="0" fontId="3" fillId="3" borderId="2" xfId="3" applyBorder="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167" fontId="0" fillId="0" borderId="2" xfId="1" applyNumberFormat="1" applyFont="1" applyBorder="1" applyAlignment="1">
      <alignment horizontal="center" vertical="center"/>
    </xf>
    <xf numFmtId="168" fontId="0" fillId="0" borderId="2" xfId="1" applyNumberFormat="1" applyFont="1" applyBorder="1" applyAlignment="1">
      <alignment horizontal="center" vertical="center"/>
    </xf>
    <xf numFmtId="168" fontId="0" fillId="0" borderId="2" xfId="0" applyNumberFormat="1" applyBorder="1" applyAlignment="1">
      <alignment horizontal="center" vertical="center"/>
    </xf>
    <xf numFmtId="167" fontId="0" fillId="0" borderId="2" xfId="0" applyNumberFormat="1" applyBorder="1" applyAlignment="1">
      <alignment horizontal="center" vertical="center"/>
    </xf>
    <xf numFmtId="14" fontId="0" fillId="0" borderId="0" xfId="0" applyNumberFormat="1" applyAlignment="1">
      <alignment horizontal="center" vertical="center"/>
    </xf>
    <xf numFmtId="8" fontId="1" fillId="8" borderId="0" xfId="8" applyNumberFormat="1" applyAlignment="1">
      <alignment horizontal="center" vertical="center"/>
    </xf>
    <xf numFmtId="169" fontId="0" fillId="0" borderId="0" xfId="0" applyNumberFormat="1" applyAlignment="1">
      <alignment horizontal="center" vertical="center"/>
    </xf>
    <xf numFmtId="170" fontId="0" fillId="0" borderId="0" xfId="0" applyNumberFormat="1" applyAlignment="1">
      <alignment horizontal="center" vertical="center"/>
    </xf>
    <xf numFmtId="170" fontId="5" fillId="0" borderId="0" xfId="0" applyNumberFormat="1" applyFont="1" applyAlignment="1">
      <alignment horizontal="center" vertical="center"/>
    </xf>
    <xf numFmtId="171" fontId="0" fillId="0" borderId="0" xfId="0" applyNumberFormat="1" applyAlignment="1">
      <alignment horizontal="center" vertical="center"/>
    </xf>
    <xf numFmtId="171" fontId="5" fillId="0" borderId="0" xfId="0" applyNumberFormat="1" applyFont="1" applyAlignment="1">
      <alignment horizontal="center" vertical="center"/>
    </xf>
    <xf numFmtId="0" fontId="6" fillId="12" borderId="0" xfId="10" applyAlignment="1">
      <alignment horizontal="center" vertical="center"/>
    </xf>
    <xf numFmtId="8" fontId="0" fillId="0" borderId="0" xfId="0" applyNumberFormat="1"/>
    <xf numFmtId="168" fontId="1" fillId="8" borderId="2" xfId="8" applyNumberFormat="1" applyBorder="1" applyAlignment="1">
      <alignment horizontal="center" vertical="center"/>
    </xf>
    <xf numFmtId="168" fontId="1" fillId="0" borderId="2" xfId="2" applyNumberFormat="1" applyFont="1" applyFill="1" applyBorder="1" applyAlignment="1">
      <alignment horizontal="center" vertical="center"/>
    </xf>
    <xf numFmtId="0" fontId="4" fillId="4" borderId="1" xfId="4" applyAlignment="1">
      <alignment horizontal="center" vertical="center"/>
    </xf>
    <xf numFmtId="0" fontId="6" fillId="11" borderId="2" xfId="0" applyFont="1" applyFill="1" applyBorder="1" applyAlignment="1">
      <alignment horizontal="center" vertical="center"/>
    </xf>
    <xf numFmtId="0" fontId="6" fillId="10" borderId="2" xfId="0" applyFont="1" applyFill="1" applyBorder="1" applyAlignment="1">
      <alignment horizontal="center"/>
    </xf>
    <xf numFmtId="0" fontId="0" fillId="0" borderId="2" xfId="0" applyBorder="1" applyAlignment="1">
      <alignment horizontal="center" vertical="center"/>
    </xf>
    <xf numFmtId="0" fontId="4" fillId="4" borderId="2" xfId="4" applyBorder="1" applyAlignment="1">
      <alignment horizontal="center" vertical="center"/>
    </xf>
    <xf numFmtId="0" fontId="6" fillId="7" borderId="2" xfId="7" applyBorder="1" applyAlignment="1">
      <alignment horizontal="center" vertical="center"/>
    </xf>
    <xf numFmtId="0" fontId="6" fillId="10" borderId="2" xfId="0" applyFont="1" applyFill="1" applyBorder="1" applyAlignment="1">
      <alignment horizontal="center" vertical="center"/>
    </xf>
    <xf numFmtId="0" fontId="0" fillId="0" borderId="2" xfId="0" applyBorder="1" applyAlignment="1">
      <alignment horizontal="center" vertical="center" wrapText="1"/>
    </xf>
    <xf numFmtId="0" fontId="14"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0" fillId="0" borderId="2" xfId="0" applyFont="1" applyBorder="1" applyAlignment="1">
      <alignment horizontal="center" vertical="center"/>
    </xf>
    <xf numFmtId="0" fontId="0" fillId="0" borderId="3" xfId="0" applyBorder="1" applyAlignment="1">
      <alignment horizontal="center" wrapText="1"/>
    </xf>
    <xf numFmtId="0" fontId="0" fillId="0" borderId="0" xfId="0" applyAlignment="1">
      <alignment horizontal="center" wrapText="1"/>
    </xf>
    <xf numFmtId="0" fontId="6" fillId="10" borderId="4" xfId="0" applyFont="1" applyFill="1" applyBorder="1" applyAlignment="1">
      <alignment horizontal="center"/>
    </xf>
    <xf numFmtId="0" fontId="6" fillId="10" borderId="5" xfId="0" applyFont="1" applyFill="1" applyBorder="1" applyAlignment="1">
      <alignment horizontal="center"/>
    </xf>
    <xf numFmtId="0" fontId="6" fillId="10" borderId="6" xfId="0" applyFont="1" applyFill="1" applyBorder="1" applyAlignment="1">
      <alignment horizontal="center"/>
    </xf>
  </cellXfs>
  <cellStyles count="11">
    <cellStyle name="20% - Accent4" xfId="8" builtinId="42"/>
    <cellStyle name="Accent1" xfId="10" builtinId="29"/>
    <cellStyle name="Accent2" xfId="5" builtinId="33"/>
    <cellStyle name="Accent3" xfId="6" builtinId="37"/>
    <cellStyle name="Accent4" xfId="7" builtinId="41"/>
    <cellStyle name="Accent5" xfId="9" builtinId="45"/>
    <cellStyle name="Bad" xfId="2" builtinId="27"/>
    <cellStyle name="Currency" xfId="1" builtinId="4"/>
    <cellStyle name="Neutral" xfId="3" builtinId="28"/>
    <cellStyle name="Normal" xfId="0" builtinId="0"/>
    <cellStyle name="Output" xfId="4" builtinId="21"/>
  </cellStyles>
  <dxfs count="25">
    <dxf>
      <numFmt numFmtId="12" formatCode="&quot;€&quot;\ #,##0.00;[Red]&quot;€&quot;\ \-#,##0.00"/>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quot;€&quot;\ #,##0.0000;[Red]&quot;€&quot;\ \-#,##0.0000"/>
      <alignment horizontal="center" vertical="center" textRotation="0" wrapText="0" indent="0" justifyLastLine="0" shrinkToFit="0" readingOrder="0"/>
    </dxf>
    <dxf>
      <numFmt numFmtId="169" formatCode="_ [$PLN]\ * #,##0.00_ ;_ [$PLN]\ * \-#,##0.00_ ;_ [$PLN]\ * &quot;-&quot;??_ ;_ @_ "/>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1" formatCode="_-[$£-491]* #,##0.00_-;\-[$£-491]* #,##0.00_-;_-[$£-491]* &quot;-&quot;??_-;_-@_-"/>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numFmt numFmtId="170" formatCode="_-[$£-809]* #,##0.00_-;\-[$£-809]* #,##0.00_-;_-[$£-809]*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01C63E9-2599-F047-894F-98B495CB2BFD}" autoFormatId="16" applyNumberFormats="0" applyBorderFormats="0" applyFontFormats="0" applyPatternFormats="0" applyAlignmentFormats="0" applyWidthHeightFormats="0">
  <queryTableRefresh nextId="8">
    <queryTableFields count="4">
      <queryTableField id="1" name="time period" tableColumnId="1"/>
      <queryTableField id="2" name="A" tableColumnId="2"/>
      <queryTableField id="3" name="P" tableColumnId="3"/>
      <queryTableField id="4" name="X"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91D5083-4A0D-2640-B317-E4EFE58298AF}" autoFormatId="16" applyNumberFormats="0" applyBorderFormats="0" applyFontFormats="0" applyPatternFormats="0" applyAlignmentFormats="0" applyWidthHeightFormats="0">
  <queryTableRefresh nextId="8" unboundColumnsRight="3">
    <queryTableFields count="6">
      <queryTableField id="2" name="Buckets (months)" tableColumnId="2"/>
      <queryTableField id="3" name="Key Maturity" tableColumnId="3"/>
      <queryTableField id="4" name="GBP / EUR" tableColumnId="4"/>
      <queryTableField id="5" dataBound="0" tableColumnId="5"/>
      <queryTableField id="6" dataBound="0" tableColumnId="6"/>
      <queryTableField id="7" dataBound="0" tableColumnId="7"/>
    </queryTableFields>
    <queryTableDeletedFields count="1">
      <deletedField name="Column1"/>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5E7D4641-B8B7-B643-8E2D-A25F85171588}" autoFormatId="16" applyNumberFormats="0" applyBorderFormats="0" applyFontFormats="0" applyPatternFormats="0" applyAlignmentFormats="0" applyWidthHeightFormats="0">
  <queryTableRefresh nextId="4">
    <queryTableFields count="3">
      <queryTableField id="1" name="Column1" tableColumnId="1"/>
      <queryTableField id="2" name="Date" tableColumnId="2"/>
      <queryTableField id="3" name="Cash Flows"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3283DF-22E9-FB4C-9E90-E0BE1826C0C1}" name="Sheet1" displayName="Sheet1" ref="A2:D102" tableType="queryTable" totalsRowShown="0" headerRowDxfId="11" dataDxfId="10">
  <autoFilter ref="A2:D102" xr:uid="{F93283DF-22E9-FB4C-9E90-E0BE1826C0C1}"/>
  <tableColumns count="4">
    <tableColumn id="1" xr3:uid="{37FFFCC0-A3B9-084F-ACEB-DA02ECAA5F09}" uniqueName="1" name="Time period" queryTableFieldId="1" dataDxfId="9"/>
    <tableColumn id="2" xr3:uid="{8C10EAA5-0BDA-5448-A3D0-5D34A3EC9B71}" uniqueName="2" name="A" queryTableFieldId="2" dataDxfId="8"/>
    <tableColumn id="3" xr3:uid="{CF9F05D3-3951-794E-AF0B-AC1D3266358F}" uniqueName="3" name="P" queryTableFieldId="3" dataDxfId="7"/>
    <tableColumn id="4" xr3:uid="{619A8835-E077-C24E-926B-90185B3F3DEA}" uniqueName="4" name="X (€ =&gt; PLN)" queryTableFieldId="4"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D54195-B507-0042-9317-08BC31EC4F6C}" name="Table4" displayName="Table4" ref="E2:H102" totalsRowShown="0" headerRowDxfId="5" dataDxfId="4">
  <autoFilter ref="E2:H102" xr:uid="{8ED54195-B507-0042-9317-08BC31EC4F6C}"/>
  <tableColumns count="4">
    <tableColumn id="1" xr3:uid="{9D122141-2B05-6248-BC7E-0D7EC3BC02BD}" name="A(return)" dataDxfId="3">
      <calculatedColumnFormula>(Sheet1[[#This Row],[A]]-B2)/B2</calculatedColumnFormula>
    </tableColumn>
    <tableColumn id="2" xr3:uid="{CD7DF8B4-AA27-2141-951F-6FDFA12A2EF5}" name="P(return)" dataDxfId="2">
      <calculatedColumnFormula>(Sheet1[[#This Row],[P]]-C2)/C2</calculatedColumnFormula>
    </tableColumn>
    <tableColumn id="6" xr3:uid="{41106E81-C4E9-3F4F-B130-5799EF7D20AB}" name="FX(daily change rate)" dataDxfId="1">
      <calculatedColumnFormula>(Sheet1[[#This Row],[X (€ =&gt; PLN)]]-D2)/D2</calculatedColumnFormula>
    </tableColumn>
    <tableColumn id="3" xr3:uid="{6E0230C7-6D63-F540-A86A-2B30034349EA}" name="P and FX exposure" dataDxfId="0">
      <calculatedColumnFormula>C3*D3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BB1811-9447-B24D-84B9-1AF0D4A4C986}" name="Buckets_and_Exchange_Rates" displayName="Buckets_and_Exchange_Rates" ref="E2:J7" tableType="queryTable" totalsRowShown="0" headerRowDxfId="24" dataDxfId="23">
  <autoFilter ref="E2:J7" xr:uid="{70BB1811-9447-B24D-84B9-1AF0D4A4C986}"/>
  <tableColumns count="6">
    <tableColumn id="2" xr3:uid="{92C3F06F-A1CD-D24F-9339-AE9FD2AB5E6E}" uniqueName="2" name="Buckets (months)" queryTableFieldId="2" dataDxfId="22"/>
    <tableColumn id="3" xr3:uid="{CAA934E4-F8D3-924F-8471-D823E1441204}" uniqueName="3" name="Key Maturity" queryTableFieldId="3" dataDxfId="21"/>
    <tableColumn id="4" xr3:uid="{C17DAF9A-DA55-7746-971E-21CF674CDEB6}" uniqueName="4" name="GBP / EUR" queryTableFieldId="4" dataDxfId="20"/>
    <tableColumn id="5" xr3:uid="{4806CFD7-AA09-8441-81BD-0D70F8545F88}" uniqueName="5" name="∑CF £" queryTableFieldId="5" dataDxfId="19">
      <calculatedColumnFormula>C3</calculatedColumnFormula>
    </tableColumn>
    <tableColumn id="6" xr3:uid="{217291DB-341D-F842-9B47-C7C89DB58666}" uniqueName="6" name="∑CF € (hedged)" queryTableFieldId="6" dataDxfId="18">
      <calculatedColumnFormula>Buckets_and_Exchange_Rates[[#This Row],[∑CF £]]/Buckets_and_Exchange_Rates[[#This Row],[GBP / EUR]]</calculatedColumnFormula>
    </tableColumn>
    <tableColumn id="7" xr3:uid="{1996544D-FE90-A049-99A2-ECA2B1E3DCB9}" uniqueName="7" name="∑CF € (not hedged)" queryTableFieldId="7" dataDxfId="17">
      <calculatedColumnFormula>Buckets_and_Exchange_Rates[[#This Row],[∑CF £]]/Buckets_and_Exchange_Rates[[#This Row],[GBP / EUR]]</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6E9622-36FC-E449-A30D-96226D734E10}" name="Cash_Flow_Data" displayName="Cash_Flow_Data" ref="A2:C27" tableType="queryTable" totalsRowShown="0" headerRowDxfId="16" dataDxfId="15">
  <autoFilter ref="A2:C27" xr:uid="{EE6E9622-36FC-E449-A30D-96226D734E10}"/>
  <tableColumns count="3">
    <tableColumn id="1" xr3:uid="{0631D9A8-A950-324E-B18E-17D5831FF1C8}" uniqueName="1" name="Column1" queryTableFieldId="1" dataDxfId="14"/>
    <tableColumn id="2" xr3:uid="{8E4D0068-0E2D-2A4C-80F7-14DCEC388D14}" uniqueName="2" name="Date" queryTableFieldId="2" dataDxfId="13"/>
    <tableColumn id="3" xr3:uid="{3C40F95D-158D-B54F-84C0-4A49D91EE703}" uniqueName="3" name="Cash Flows" queryTableFieldId="3" dataDxfId="12"/>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FC44-0000-A147-9B12-0F3E48BC1695}">
  <sheetPr>
    <tabColor theme="9" tint="0.79998168889431442"/>
  </sheetPr>
  <dimension ref="A1:G9"/>
  <sheetViews>
    <sheetView zoomScale="271" zoomScaleNormal="271" workbookViewId="0">
      <pane ySplit="1" topLeftCell="A2" activePane="bottomLeft" state="frozen"/>
      <selection pane="bottomLeft" activeCell="F9" sqref="F9"/>
    </sheetView>
  </sheetViews>
  <sheetFormatPr baseColWidth="10" defaultRowHeight="16" x14ac:dyDescent="0.2"/>
  <cols>
    <col min="1" max="1" width="13.5" bestFit="1" customWidth="1"/>
    <col min="3" max="3" width="11.5" bestFit="1" customWidth="1"/>
    <col min="4" max="4" width="16" bestFit="1" customWidth="1"/>
  </cols>
  <sheetData>
    <row r="1" spans="1:7" x14ac:dyDescent="0.2">
      <c r="A1" s="48" t="s">
        <v>0</v>
      </c>
      <c r="B1" s="48"/>
      <c r="C1" s="48"/>
      <c r="D1" s="48"/>
      <c r="E1" s="48"/>
      <c r="F1" s="48"/>
    </row>
    <row r="2" spans="1:7" x14ac:dyDescent="0.2">
      <c r="A2" s="47" t="s">
        <v>3</v>
      </c>
      <c r="B2" s="47"/>
      <c r="C2" s="47"/>
      <c r="D2" s="47"/>
      <c r="E2" s="47"/>
      <c r="F2" s="47"/>
    </row>
    <row r="3" spans="1:7" ht="16" customHeight="1" x14ac:dyDescent="0.2">
      <c r="A3" s="46" t="s">
        <v>4</v>
      </c>
      <c r="B3" s="46"/>
      <c r="C3" s="5" t="s">
        <v>6</v>
      </c>
      <c r="D3" s="5" t="s">
        <v>8</v>
      </c>
      <c r="E3" s="6" t="s">
        <v>17</v>
      </c>
      <c r="F3" s="6" t="s">
        <v>18</v>
      </c>
    </row>
    <row r="4" spans="1:7" x14ac:dyDescent="0.2">
      <c r="A4" s="45" t="s">
        <v>5</v>
      </c>
      <c r="B4" s="45"/>
      <c r="C4" s="7" t="s">
        <v>7</v>
      </c>
      <c r="D4" s="7">
        <v>3</v>
      </c>
      <c r="E4" s="22">
        <v>0.06</v>
      </c>
      <c r="F4" s="22">
        <v>0.05</v>
      </c>
    </row>
    <row r="5" spans="1:7" x14ac:dyDescent="0.2">
      <c r="A5" s="3"/>
      <c r="B5" s="3"/>
      <c r="C5" s="3"/>
      <c r="D5" s="3"/>
      <c r="E5" s="3"/>
      <c r="F5" s="3"/>
    </row>
    <row r="6" spans="1:7" x14ac:dyDescent="0.2">
      <c r="A6" s="3"/>
      <c r="B6" s="3"/>
      <c r="C6" s="3"/>
      <c r="D6" s="3"/>
      <c r="E6" s="8" t="s">
        <v>15</v>
      </c>
      <c r="F6" s="5" t="s">
        <v>16</v>
      </c>
      <c r="G6" s="1">
        <v>1</v>
      </c>
    </row>
    <row r="7" spans="1:7" x14ac:dyDescent="0.2">
      <c r="A7" s="3"/>
      <c r="B7" s="3"/>
      <c r="C7" s="3"/>
      <c r="D7" s="3"/>
      <c r="E7" s="5" t="s">
        <v>12</v>
      </c>
      <c r="F7" s="9" cm="1">
        <f t="array" ref="F7">(E4/(1+F4))*SUM(G6:G8*(1+F4)^(-G6:G8))+D4*(1+F4)^(-D4)/(1+F4)</f>
        <v>2.7742761503694444</v>
      </c>
      <c r="G7" s="1">
        <v>2</v>
      </c>
    </row>
    <row r="8" spans="1:7" x14ac:dyDescent="0.2">
      <c r="A8" s="4"/>
      <c r="B8" s="5" t="s">
        <v>9</v>
      </c>
      <c r="C8" s="5" t="s">
        <v>11</v>
      </c>
      <c r="D8" s="3"/>
      <c r="E8" s="5" t="s">
        <v>13</v>
      </c>
      <c r="F8" s="7">
        <f>C9</f>
        <v>0.25</v>
      </c>
      <c r="G8" s="1">
        <v>3</v>
      </c>
    </row>
    <row r="9" spans="1:7" x14ac:dyDescent="0.2">
      <c r="A9" s="5" t="s">
        <v>10</v>
      </c>
      <c r="B9" s="7">
        <v>1</v>
      </c>
      <c r="C9" s="7">
        <v>0.25</v>
      </c>
      <c r="D9" s="3"/>
      <c r="E9" s="5" t="s">
        <v>14</v>
      </c>
      <c r="F9" s="10">
        <f>F8-F7</f>
        <v>-2.5242761503694444</v>
      </c>
    </row>
  </sheetData>
  <mergeCells count="4">
    <mergeCell ref="A4:B4"/>
    <mergeCell ref="A3:B3"/>
    <mergeCell ref="A2:F2"/>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AD7B-7872-7941-B6D0-F526725F88CF}">
  <sheetPr>
    <tabColor theme="9" tint="0.59999389629810485"/>
  </sheetPr>
  <dimension ref="A1:H16"/>
  <sheetViews>
    <sheetView zoomScale="262" zoomScaleNormal="262" workbookViewId="0">
      <pane ySplit="1" topLeftCell="A2" activePane="bottomLeft" state="frozen"/>
      <selection pane="bottomLeft" activeCell="H3" sqref="H3"/>
    </sheetView>
  </sheetViews>
  <sheetFormatPr baseColWidth="10" defaultRowHeight="16" x14ac:dyDescent="0.2"/>
  <sheetData>
    <row r="1" spans="1:8" x14ac:dyDescent="0.2">
      <c r="A1" s="48" t="s">
        <v>1</v>
      </c>
      <c r="B1" s="48"/>
      <c r="C1" s="48"/>
      <c r="D1" s="48"/>
      <c r="E1" s="48"/>
      <c r="F1" s="48"/>
      <c r="G1" s="48"/>
      <c r="H1" s="48"/>
    </row>
    <row r="2" spans="1:8" x14ac:dyDescent="0.2">
      <c r="A2" s="47" t="s">
        <v>19</v>
      </c>
      <c r="B2" s="47"/>
      <c r="C2" s="3"/>
      <c r="D2" s="43" t="s">
        <v>15</v>
      </c>
      <c r="E2" s="43"/>
      <c r="F2" s="3"/>
      <c r="G2" s="43" t="s">
        <v>26</v>
      </c>
      <c r="H2" s="43"/>
    </row>
    <row r="3" spans="1:8" x14ac:dyDescent="0.2">
      <c r="A3" s="5" t="s">
        <v>20</v>
      </c>
      <c r="B3" s="7">
        <v>30</v>
      </c>
      <c r="C3" s="3"/>
      <c r="D3" s="5" t="s">
        <v>33</v>
      </c>
      <c r="E3" s="7">
        <f>B7*B5/B3-B6*B4/B3</f>
        <v>24</v>
      </c>
      <c r="F3" s="3"/>
      <c r="G3" s="5" t="s">
        <v>27</v>
      </c>
      <c r="H3" s="7">
        <f>B5+E7</f>
        <v>150</v>
      </c>
    </row>
    <row r="4" spans="1:8" x14ac:dyDescent="0.2">
      <c r="A4" s="5" t="s">
        <v>12</v>
      </c>
      <c r="B4" s="7">
        <v>60</v>
      </c>
      <c r="C4" s="3"/>
      <c r="D4" s="3"/>
      <c r="E4" s="3"/>
      <c r="F4" s="3"/>
      <c r="G4" s="5" t="s">
        <v>28</v>
      </c>
      <c r="H4" s="7">
        <f>B4+E7</f>
        <v>120</v>
      </c>
    </row>
    <row r="5" spans="1:8" x14ac:dyDescent="0.2">
      <c r="A5" s="5" t="s">
        <v>21</v>
      </c>
      <c r="B5" s="7">
        <f>SUM(B3:B4)</f>
        <v>90</v>
      </c>
      <c r="C5" s="3"/>
      <c r="D5" s="3"/>
      <c r="E5" s="3"/>
      <c r="F5" s="3"/>
      <c r="G5" s="5" t="s">
        <v>34</v>
      </c>
      <c r="H5" s="7">
        <f>B5/H3*B7+E7/H3*B10</f>
        <v>9.7999999999999989</v>
      </c>
    </row>
    <row r="6" spans="1:8" x14ac:dyDescent="0.2">
      <c r="A6" s="5" t="s">
        <v>29</v>
      </c>
      <c r="B6" s="7">
        <v>12</v>
      </c>
      <c r="C6" s="3"/>
      <c r="D6" s="43" t="s">
        <v>22</v>
      </c>
      <c r="E6" s="43"/>
      <c r="F6" s="3"/>
      <c r="G6" s="5" t="s">
        <v>35</v>
      </c>
      <c r="H6" s="7">
        <f>B4/H4*B6+E7/H4*B11</f>
        <v>12.25</v>
      </c>
    </row>
    <row r="7" spans="1:8" x14ac:dyDescent="0.2">
      <c r="A7" s="5" t="s">
        <v>30</v>
      </c>
      <c r="B7" s="7">
        <v>16</v>
      </c>
      <c r="C7" s="3"/>
      <c r="D7" s="5" t="s">
        <v>23</v>
      </c>
      <c r="E7" s="7">
        <f>(B4*B6-B5*B7)/(B10-B11)</f>
        <v>60</v>
      </c>
      <c r="F7" s="3"/>
      <c r="G7" s="5" t="s">
        <v>36</v>
      </c>
      <c r="H7" s="14">
        <f>H5*H3/(H3-H4)-H6*H4/(H3-H4)</f>
        <v>0</v>
      </c>
    </row>
    <row r="8" spans="1:8" x14ac:dyDescent="0.2">
      <c r="A8" s="46" t="s">
        <v>4</v>
      </c>
      <c r="B8" s="49" t="s">
        <v>5</v>
      </c>
      <c r="C8" s="3"/>
      <c r="D8" s="3"/>
      <c r="E8" s="3"/>
      <c r="F8" s="3"/>
      <c r="G8" s="3"/>
      <c r="H8" s="3"/>
    </row>
    <row r="9" spans="1:8" ht="16" customHeight="1" x14ac:dyDescent="0.2">
      <c r="A9" s="46"/>
      <c r="B9" s="49"/>
      <c r="C9" s="3"/>
      <c r="D9" s="43" t="s">
        <v>24</v>
      </c>
      <c r="E9" s="50" t="s">
        <v>25</v>
      </c>
      <c r="F9" s="50"/>
      <c r="G9" s="50"/>
      <c r="H9" s="50"/>
    </row>
    <row r="10" spans="1:8" x14ac:dyDescent="0.2">
      <c r="A10" s="5" t="s">
        <v>31</v>
      </c>
      <c r="B10" s="7">
        <v>0.5</v>
      </c>
      <c r="C10" s="3"/>
      <c r="D10" s="43"/>
      <c r="E10" s="50"/>
      <c r="F10" s="50"/>
      <c r="G10" s="50"/>
      <c r="H10" s="50"/>
    </row>
    <row r="11" spans="1:8" x14ac:dyDescent="0.2">
      <c r="A11" s="5" t="s">
        <v>32</v>
      </c>
      <c r="B11" s="7">
        <v>12.5</v>
      </c>
      <c r="C11" s="3"/>
      <c r="D11" s="43"/>
      <c r="E11" s="50"/>
      <c r="F11" s="50"/>
      <c r="G11" s="50"/>
      <c r="H11" s="50"/>
    </row>
    <row r="12" spans="1:8" ht="16" customHeight="1" x14ac:dyDescent="0.2">
      <c r="C12" s="13"/>
      <c r="D12" s="13"/>
      <c r="E12" s="12"/>
    </row>
    <row r="13" spans="1:8" x14ac:dyDescent="0.2">
      <c r="B13" s="13"/>
      <c r="C13" s="13"/>
      <c r="D13" s="13"/>
      <c r="E13" s="12"/>
    </row>
    <row r="14" spans="1:8" x14ac:dyDescent="0.2">
      <c r="B14" s="13"/>
      <c r="C14" s="13"/>
      <c r="D14" s="13"/>
      <c r="E14" s="12"/>
    </row>
    <row r="15" spans="1:8" x14ac:dyDescent="0.2">
      <c r="B15" s="13"/>
      <c r="C15" s="13"/>
      <c r="D15" s="13"/>
      <c r="E15" s="12"/>
    </row>
    <row r="16" spans="1:8" x14ac:dyDescent="0.2">
      <c r="B16" s="11"/>
      <c r="C16" s="11"/>
      <c r="D16" s="11"/>
    </row>
  </sheetData>
  <mergeCells count="9">
    <mergeCell ref="A1:H1"/>
    <mergeCell ref="A8:A9"/>
    <mergeCell ref="B8:B9"/>
    <mergeCell ref="E9:H11"/>
    <mergeCell ref="A2:B2"/>
    <mergeCell ref="D9:D11"/>
    <mergeCell ref="D6:E6"/>
    <mergeCell ref="G2:H2"/>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C8A0-F5AB-1243-867E-E22083D26A55}">
  <sheetPr>
    <tabColor theme="9" tint="0.39997558519241921"/>
  </sheetPr>
  <dimension ref="A1:G15"/>
  <sheetViews>
    <sheetView zoomScale="255" zoomScaleNormal="255" workbookViewId="0">
      <pane ySplit="1" topLeftCell="A2" activePane="bottomLeft" state="frozen"/>
      <selection pane="bottomLeft" activeCell="G8" sqref="G8"/>
    </sheetView>
  </sheetViews>
  <sheetFormatPr baseColWidth="10" defaultRowHeight="16" x14ac:dyDescent="0.2"/>
  <sheetData>
    <row r="1" spans="1:7" x14ac:dyDescent="0.2">
      <c r="A1" s="48" t="s">
        <v>2</v>
      </c>
      <c r="B1" s="48"/>
      <c r="C1" s="48"/>
      <c r="D1" s="48"/>
      <c r="E1" s="48"/>
      <c r="F1" s="48"/>
      <c r="G1" s="48"/>
    </row>
    <row r="2" spans="1:7" x14ac:dyDescent="0.2">
      <c r="A2" s="47" t="s">
        <v>3</v>
      </c>
      <c r="B2" s="47"/>
      <c r="C2" s="47"/>
      <c r="D2" s="47"/>
      <c r="E2" s="47"/>
      <c r="F2" s="47"/>
      <c r="G2" s="47"/>
    </row>
    <row r="3" spans="1:7" x14ac:dyDescent="0.2">
      <c r="A3" s="5" t="s">
        <v>20</v>
      </c>
      <c r="B3" s="5" t="s">
        <v>12</v>
      </c>
      <c r="C3" s="5" t="s">
        <v>21</v>
      </c>
      <c r="D3" s="5" t="s">
        <v>29</v>
      </c>
      <c r="E3" s="5" t="s">
        <v>39</v>
      </c>
      <c r="F3" s="5" t="s">
        <v>40</v>
      </c>
      <c r="G3" s="5" t="s">
        <v>23</v>
      </c>
    </row>
    <row r="4" spans="1:7" x14ac:dyDescent="0.2">
      <c r="A4" s="7">
        <v>50</v>
      </c>
      <c r="B4" s="7">
        <v>50</v>
      </c>
      <c r="C4" s="7">
        <f>SUM(A4:B4)</f>
        <v>100</v>
      </c>
      <c r="D4" s="7">
        <v>14</v>
      </c>
      <c r="E4" s="7">
        <v>0.25</v>
      </c>
      <c r="F4" s="7">
        <v>25</v>
      </c>
      <c r="G4" s="7">
        <v>40</v>
      </c>
    </row>
    <row r="5" spans="1:7" x14ac:dyDescent="0.2">
      <c r="A5" s="3"/>
      <c r="B5" s="3"/>
      <c r="C5" s="3"/>
      <c r="D5" s="3"/>
      <c r="E5" s="3"/>
      <c r="F5" s="3"/>
      <c r="G5" s="3"/>
    </row>
    <row r="6" spans="1:7" x14ac:dyDescent="0.2">
      <c r="A6" s="43" t="s">
        <v>15</v>
      </c>
      <c r="B6" s="43"/>
      <c r="C6" s="43"/>
      <c r="D6" s="3"/>
      <c r="E6" s="8" t="s">
        <v>22</v>
      </c>
      <c r="F6" s="5" t="s">
        <v>30</v>
      </c>
      <c r="G6" s="7">
        <f>(B4*D4-G4*(C14-C15))/C4</f>
        <v>-2.9</v>
      </c>
    </row>
    <row r="7" spans="1:7" x14ac:dyDescent="0.2">
      <c r="A7" s="52" t="s">
        <v>38</v>
      </c>
      <c r="B7" s="52"/>
      <c r="C7" s="52"/>
      <c r="D7" s="3"/>
      <c r="E7" s="3"/>
      <c r="F7" s="3"/>
      <c r="G7" s="3"/>
    </row>
    <row r="8" spans="1:7" ht="16" customHeight="1" x14ac:dyDescent="0.2">
      <c r="A8" s="51" t="s">
        <v>37</v>
      </c>
      <c r="B8" s="51"/>
      <c r="C8" s="51"/>
      <c r="D8" s="3"/>
      <c r="E8" s="8" t="s">
        <v>24</v>
      </c>
      <c r="F8" s="5" t="s">
        <v>33</v>
      </c>
      <c r="G8" s="7">
        <f>G6*C4/B4-D4*B4/A4</f>
        <v>-19.8</v>
      </c>
    </row>
    <row r="9" spans="1:7" x14ac:dyDescent="0.2">
      <c r="A9" s="51"/>
      <c r="B9" s="51"/>
      <c r="C9" s="51"/>
      <c r="D9" s="3"/>
      <c r="E9" s="3"/>
      <c r="F9" s="3"/>
      <c r="G9" s="3"/>
    </row>
    <row r="10" spans="1:7" x14ac:dyDescent="0.2">
      <c r="A10" s="51"/>
      <c r="B10" s="51"/>
      <c r="C10" s="51"/>
      <c r="D10" s="3"/>
      <c r="E10" s="3"/>
      <c r="F10" s="3"/>
      <c r="G10" s="3"/>
    </row>
    <row r="11" spans="1:7" x14ac:dyDescent="0.2">
      <c r="A11" s="51"/>
      <c r="B11" s="51"/>
      <c r="C11" s="51"/>
      <c r="D11" s="3"/>
      <c r="E11" s="3"/>
      <c r="F11" s="3"/>
      <c r="G11" s="3"/>
    </row>
    <row r="12" spans="1:7" x14ac:dyDescent="0.2">
      <c r="A12" s="51"/>
      <c r="B12" s="51"/>
      <c r="C12" s="51"/>
      <c r="D12" s="3"/>
      <c r="E12" s="3"/>
      <c r="F12" s="3"/>
      <c r="G12" s="3"/>
    </row>
    <row r="13" spans="1:7" x14ac:dyDescent="0.2">
      <c r="A13" s="51"/>
      <c r="B13" s="51"/>
      <c r="C13" s="51"/>
      <c r="D13" s="3"/>
      <c r="E13" s="3"/>
      <c r="F13" s="3"/>
      <c r="G13" s="3"/>
    </row>
    <row r="14" spans="1:7" x14ac:dyDescent="0.2">
      <c r="A14" s="46" t="s">
        <v>41</v>
      </c>
      <c r="B14" s="46"/>
      <c r="C14" s="7">
        <f>F4</f>
        <v>25</v>
      </c>
      <c r="D14" s="3"/>
      <c r="E14" s="3"/>
      <c r="F14" s="3"/>
      <c r="G14" s="3"/>
    </row>
    <row r="15" spans="1:7" x14ac:dyDescent="0.2">
      <c r="A15" s="46" t="s">
        <v>42</v>
      </c>
      <c r="B15" s="46"/>
      <c r="C15" s="7">
        <f>E4</f>
        <v>0.25</v>
      </c>
      <c r="D15" s="3"/>
      <c r="E15" s="3"/>
      <c r="F15" s="3"/>
      <c r="G15" s="3"/>
    </row>
  </sheetData>
  <mergeCells count="7">
    <mergeCell ref="A2:G2"/>
    <mergeCell ref="A1:G1"/>
    <mergeCell ref="A8:C13"/>
    <mergeCell ref="A14:B14"/>
    <mergeCell ref="A15:B15"/>
    <mergeCell ref="A6:C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9A5D-D5E8-BF4B-A42D-590E1BDACFA2}">
  <sheetPr>
    <tabColor theme="9" tint="-0.249977111117893"/>
  </sheetPr>
  <dimension ref="A1:M102"/>
  <sheetViews>
    <sheetView topLeftCell="F1" zoomScale="90" zoomScaleNormal="90" workbookViewId="0">
      <pane ySplit="1" topLeftCell="A2" activePane="bottomLeft" state="frozen"/>
      <selection activeCell="C1" sqref="C1"/>
      <selection pane="bottomLeft" activeCell="J26" sqref="J26"/>
    </sheetView>
  </sheetViews>
  <sheetFormatPr baseColWidth="10" defaultRowHeight="16" x14ac:dyDescent="0.2"/>
  <cols>
    <col min="1" max="1" width="18.33203125" bestFit="1" customWidth="1"/>
    <col min="3" max="3" width="13.6640625" bestFit="1" customWidth="1"/>
    <col min="4" max="4" width="18.6640625" bestFit="1" customWidth="1"/>
    <col min="5" max="6" width="16" bestFit="1" customWidth="1"/>
    <col min="7" max="7" width="26.1640625" bestFit="1" customWidth="1"/>
    <col min="8" max="8" width="23.33203125" bestFit="1" customWidth="1"/>
    <col min="9" max="9" width="10.83203125" customWidth="1"/>
    <col min="10" max="11" width="16.1640625" bestFit="1" customWidth="1"/>
    <col min="14" max="14" width="15.83203125" bestFit="1" customWidth="1"/>
  </cols>
  <sheetData>
    <row r="1" spans="1:13" x14ac:dyDescent="0.2">
      <c r="A1" s="55" t="s">
        <v>99</v>
      </c>
      <c r="B1" s="56"/>
      <c r="C1" s="56"/>
      <c r="D1" s="56"/>
      <c r="E1" s="56"/>
      <c r="F1" s="56"/>
      <c r="G1" s="56"/>
      <c r="H1" s="56"/>
      <c r="I1" s="56"/>
      <c r="J1" s="56"/>
      <c r="K1" s="56"/>
      <c r="L1" s="56"/>
      <c r="M1" s="57"/>
    </row>
    <row r="2" spans="1:13" x14ac:dyDescent="0.2">
      <c r="A2" s="3" t="s">
        <v>46</v>
      </c>
      <c r="B2" s="3" t="s">
        <v>43</v>
      </c>
      <c r="C2" s="3" t="s">
        <v>44</v>
      </c>
      <c r="D2" s="3" t="s">
        <v>47</v>
      </c>
      <c r="E2" s="3" t="s">
        <v>51</v>
      </c>
      <c r="F2" s="3" t="s">
        <v>52</v>
      </c>
      <c r="G2" s="3" t="s">
        <v>104</v>
      </c>
      <c r="H2" s="26" t="s">
        <v>56</v>
      </c>
      <c r="I2" s="3"/>
      <c r="J2" s="43" t="s">
        <v>15</v>
      </c>
      <c r="K2" s="43"/>
      <c r="L2" s="43"/>
      <c r="M2" s="43"/>
    </row>
    <row r="3" spans="1:13" x14ac:dyDescent="0.2">
      <c r="A3" s="3">
        <v>1</v>
      </c>
      <c r="B3" s="15">
        <v>7398.0888821960134</v>
      </c>
      <c r="C3" s="33">
        <v>9900.7232268653206</v>
      </c>
      <c r="D3" s="16">
        <v>0.21266666940746959</v>
      </c>
      <c r="E3" s="3"/>
      <c r="F3" s="3"/>
      <c r="G3" s="15"/>
      <c r="H3" s="15">
        <f t="shared" ref="H3:H34" si="0">C3*D3</f>
        <v>2105.5538333826225</v>
      </c>
      <c r="I3" s="3"/>
      <c r="J3" s="17" t="s">
        <v>57</v>
      </c>
      <c r="K3" s="5" t="s">
        <v>43</v>
      </c>
      <c r="L3" s="5" t="s">
        <v>44</v>
      </c>
      <c r="M3" s="5" t="s">
        <v>45</v>
      </c>
    </row>
    <row r="4" spans="1:13" x14ac:dyDescent="0.2">
      <c r="A4" s="3">
        <v>2</v>
      </c>
      <c r="B4" s="15">
        <v>5721.4143405038894</v>
      </c>
      <c r="C4" s="33">
        <v>4669.9079835118609</v>
      </c>
      <c r="D4" s="16">
        <v>0.25640384834188601</v>
      </c>
      <c r="E4" s="18">
        <f>(Sheet1[[#This Row],[A]]-B3)/B3</f>
        <v>-0.22663617163713068</v>
      </c>
      <c r="F4" s="18">
        <f>(Sheet1[[#This Row],[P]]-C3)/C3</f>
        <v>-0.52832658013909495</v>
      </c>
      <c r="G4" s="15">
        <f>(Sheet1[[#This Row],[X (€ =&gt; PLN)]]-D3)/D3</f>
        <v>0.20566071334204203</v>
      </c>
      <c r="H4" s="15">
        <f t="shared" si="0"/>
        <v>1197.3823783749378</v>
      </c>
      <c r="I4" s="3"/>
      <c r="J4" s="5" t="s">
        <v>48</v>
      </c>
      <c r="K4" s="19">
        <f>_xlfn.STDEV.S(E4:E102)</f>
        <v>0.14051837818178353</v>
      </c>
      <c r="L4" s="19">
        <f>_xlfn.STDEV.S(F4:F102)</f>
        <v>0.30296194860920311</v>
      </c>
      <c r="M4" s="19">
        <f>_xlfn.STDEV.S(G4:G102)</f>
        <v>0.14766747002695474</v>
      </c>
    </row>
    <row r="5" spans="1:13" x14ac:dyDescent="0.2">
      <c r="A5" s="3">
        <v>3</v>
      </c>
      <c r="B5" s="15">
        <v>6175.261208826033</v>
      </c>
      <c r="C5" s="33">
        <v>6784.7325071440473</v>
      </c>
      <c r="D5" s="16">
        <v>0.21959412785387961</v>
      </c>
      <c r="E5" s="18">
        <f>(Sheet1[[#This Row],[A]]-B4)/B4</f>
        <v>7.9324244201158994E-2</v>
      </c>
      <c r="F5" s="18">
        <f>(Sheet1[[#This Row],[P]]-C4)/C4</f>
        <v>0.4528621401318913</v>
      </c>
      <c r="G5" s="15">
        <f>(Sheet1[[#This Row],[X (€ =&gt; PLN)]]-D4)/D4</f>
        <v>-0.14356149771560658</v>
      </c>
      <c r="H5" s="15">
        <f t="shared" si="0"/>
        <v>1489.8874176281631</v>
      </c>
      <c r="I5" s="3"/>
      <c r="J5" s="5" t="s">
        <v>49</v>
      </c>
      <c r="K5" s="19">
        <f>CORREL(E4:E102,F4:F102)</f>
        <v>0.80177027040077209</v>
      </c>
      <c r="L5" s="19">
        <f>CORREL(G4:G102,F4:F102)</f>
        <v>-0.34477806257308052</v>
      </c>
      <c r="M5" s="19">
        <f>CORREL(G4:G102,E4:E102)</f>
        <v>8.4068824700019917E-2</v>
      </c>
    </row>
    <row r="6" spans="1:13" x14ac:dyDescent="0.2">
      <c r="A6" s="3">
        <v>4</v>
      </c>
      <c r="B6" s="15">
        <v>6146.859950616109</v>
      </c>
      <c r="C6" s="33">
        <v>6264.9730905847919</v>
      </c>
      <c r="D6" s="16">
        <v>0.2541099537737615</v>
      </c>
      <c r="E6" s="18">
        <f>(Sheet1[[#This Row],[A]]-B5)/B5</f>
        <v>-4.5991994912427826E-3</v>
      </c>
      <c r="F6" s="18">
        <f>(Sheet1[[#This Row],[P]]-C5)/C5</f>
        <v>-7.6607208318378056E-2</v>
      </c>
      <c r="G6" s="15">
        <f>(Sheet1[[#This Row],[X (€ =&gt; PLN)]]-D5)/D5</f>
        <v>0.15718009519293299</v>
      </c>
      <c r="H6" s="15">
        <f t="shared" si="0"/>
        <v>1591.9920224423611</v>
      </c>
      <c r="I6" s="3"/>
      <c r="J6" s="3"/>
      <c r="K6" s="3"/>
      <c r="L6" s="3"/>
      <c r="M6" s="3"/>
    </row>
    <row r="7" spans="1:13" x14ac:dyDescent="0.2">
      <c r="A7" s="3">
        <v>5</v>
      </c>
      <c r="B7" s="15">
        <v>7120.2854813962822</v>
      </c>
      <c r="C7" s="33">
        <v>9721.4883162549304</v>
      </c>
      <c r="D7" s="16">
        <v>0.1858659168022973</v>
      </c>
      <c r="E7" s="18">
        <f>(Sheet1[[#This Row],[A]]-B6)/B6</f>
        <v>0.1583614298358311</v>
      </c>
      <c r="F7" s="18">
        <f>(Sheet1[[#This Row],[P]]-C6)/C6</f>
        <v>0.55172068190758927</v>
      </c>
      <c r="G7" s="15">
        <f>(Sheet1[[#This Row],[X (€ =&gt; PLN)]]-D6)/D6</f>
        <v>-0.2685610538193362</v>
      </c>
      <c r="H7" s="15">
        <f t="shared" si="0"/>
        <v>1806.8933385835442</v>
      </c>
      <c r="I7" s="3"/>
      <c r="J7" s="43" t="s">
        <v>22</v>
      </c>
      <c r="K7" s="43"/>
      <c r="L7" s="43"/>
      <c r="M7" s="43"/>
    </row>
    <row r="8" spans="1:13" x14ac:dyDescent="0.2">
      <c r="A8" s="3">
        <v>6</v>
      </c>
      <c r="B8" s="15">
        <v>7515.2967353432641</v>
      </c>
      <c r="C8" s="33">
        <v>9723.1088957016109</v>
      </c>
      <c r="D8" s="16">
        <v>0.21692155754987599</v>
      </c>
      <c r="E8" s="18">
        <f>(Sheet1[[#This Row],[A]]-B7)/B7</f>
        <v>5.5476884315812651E-2</v>
      </c>
      <c r="F8" s="18">
        <f>(Sheet1[[#This Row],[P]]-C7)/C7</f>
        <v>1.6670075547699681E-4</v>
      </c>
      <c r="G8" s="15">
        <f>(Sheet1[[#This Row],[X (€ =&gt; PLN)]]-D7)/D7</f>
        <v>0.16708625918011688</v>
      </c>
      <c r="H8" s="15">
        <f t="shared" si="0"/>
        <v>2109.1519258826484</v>
      </c>
      <c r="I8" s="3"/>
      <c r="J8" s="38" t="s">
        <v>102</v>
      </c>
      <c r="K8" s="2" t="s">
        <v>43</v>
      </c>
      <c r="L8" s="2" t="s">
        <v>44</v>
      </c>
      <c r="M8" s="2" t="s">
        <v>45</v>
      </c>
    </row>
    <row r="9" spans="1:13" x14ac:dyDescent="0.2">
      <c r="A9" s="3">
        <v>7</v>
      </c>
      <c r="B9" s="15">
        <v>6560.4653173596116</v>
      </c>
      <c r="C9" s="33">
        <v>9381.134128328933</v>
      </c>
      <c r="D9" s="16">
        <v>0.17597059223776729</v>
      </c>
      <c r="E9" s="18">
        <f>(Sheet1[[#This Row],[A]]-B8)/B8</f>
        <v>-0.12705172551513899</v>
      </c>
      <c r="F9" s="18">
        <f>(Sheet1[[#This Row],[P]]-C8)/C8</f>
        <v>-3.5171339850349509E-2</v>
      </c>
      <c r="G9" s="15">
        <f>(Sheet1[[#This Row],[X (€ =&gt; PLN)]]-D8)/D8</f>
        <v>-0.18878236803501192</v>
      </c>
      <c r="H9" s="15">
        <f t="shared" si="0"/>
        <v>1650.8037284239731</v>
      </c>
      <c r="I9" s="3"/>
      <c r="J9" s="5" t="s">
        <v>50</v>
      </c>
      <c r="K9" s="20">
        <f>B3</f>
        <v>7398.0888821960134</v>
      </c>
      <c r="L9" s="20">
        <f>H3</f>
        <v>2105.5538333826225</v>
      </c>
      <c r="M9" s="20">
        <f>H3</f>
        <v>2105.5538333826225</v>
      </c>
    </row>
    <row r="10" spans="1:13" x14ac:dyDescent="0.2">
      <c r="A10" s="3">
        <v>8</v>
      </c>
      <c r="B10" s="15">
        <v>6312.1824830129117</v>
      </c>
      <c r="C10" s="33">
        <v>7091.3236957754907</v>
      </c>
      <c r="D10" s="16">
        <v>0.22012678962432611</v>
      </c>
      <c r="E10" s="18">
        <f>(Sheet1[[#This Row],[A]]-B9)/B9</f>
        <v>-3.7845308577383996E-2</v>
      </c>
      <c r="F10" s="18">
        <f>(Sheet1[[#This Row],[P]]-C9)/C9</f>
        <v>-0.24408673847213477</v>
      </c>
      <c r="G10" s="15">
        <f>(Sheet1[[#This Row],[X (€ =&gt; PLN)]]-D9)/D9</f>
        <v>0.25092941283561754</v>
      </c>
      <c r="H10" s="15">
        <f t="shared" si="0"/>
        <v>1560.99031933797</v>
      </c>
      <c r="I10" s="3"/>
    </row>
    <row r="11" spans="1:13" x14ac:dyDescent="0.2">
      <c r="A11" s="3">
        <v>9</v>
      </c>
      <c r="B11" s="15">
        <v>6311.5702713277578</v>
      </c>
      <c r="C11" s="33">
        <v>6611.2697731476746</v>
      </c>
      <c r="D11" s="16">
        <v>0.24152606645855479</v>
      </c>
      <c r="E11" s="18">
        <f>(Sheet1[[#This Row],[A]]-B10)/B10</f>
        <v>-9.698890784628159E-5</v>
      </c>
      <c r="F11" s="18">
        <f>(Sheet1[[#This Row],[P]]-C10)/C10</f>
        <v>-6.7695953988646473E-2</v>
      </c>
      <c r="G11" s="15">
        <f>(Sheet1[[#This Row],[X (€ =&gt; PLN)]]-D10)/D10</f>
        <v>9.7213414463315537E-2</v>
      </c>
      <c r="H11" s="15">
        <f t="shared" si="0"/>
        <v>1596.7939826046997</v>
      </c>
      <c r="I11" s="3"/>
      <c r="J11" s="21" t="s">
        <v>14</v>
      </c>
      <c r="K11" s="5" t="s">
        <v>43</v>
      </c>
      <c r="L11" s="5" t="s">
        <v>44</v>
      </c>
      <c r="M11" s="5" t="s">
        <v>45</v>
      </c>
    </row>
    <row r="12" spans="1:13" x14ac:dyDescent="0.2">
      <c r="A12" s="3">
        <v>10</v>
      </c>
      <c r="B12" s="15">
        <v>6622.0323106175156</v>
      </c>
      <c r="C12" s="33">
        <v>7655.409427642031</v>
      </c>
      <c r="D12" s="16">
        <v>0.20385003650747541</v>
      </c>
      <c r="E12" s="18">
        <f>(Sheet1[[#This Row],[A]]-B11)/B11</f>
        <v>4.9189350025955772E-2</v>
      </c>
      <c r="F12" s="18">
        <f>(Sheet1[[#This Row],[P]]-C11)/C11</f>
        <v>0.1579333003071865</v>
      </c>
      <c r="G12" s="15">
        <f>(Sheet1[[#This Row],[X (€ =&gt; PLN)]]-D11)/D11</f>
        <v>-0.15599156854378071</v>
      </c>
      <c r="H12" s="15">
        <f t="shared" si="0"/>
        <v>1560.5554913044994</v>
      </c>
      <c r="I12" s="3"/>
      <c r="J12" s="5" t="s">
        <v>43</v>
      </c>
      <c r="K12" s="7">
        <f>K4^2</f>
        <v>1.9745414606838738E-2</v>
      </c>
      <c r="L12" s="7">
        <f>K5*K4*L4</f>
        <v>3.4132740794267626E-2</v>
      </c>
      <c r="M12" s="7">
        <f>K4*M4*M5</f>
        <v>1.744427557536224E-3</v>
      </c>
    </row>
    <row r="13" spans="1:13" x14ac:dyDescent="0.2">
      <c r="A13" s="3">
        <v>11</v>
      </c>
      <c r="B13" s="15">
        <v>5642.070268920439</v>
      </c>
      <c r="C13" s="33">
        <v>7411.0676167331931</v>
      </c>
      <c r="D13" s="16">
        <v>0.19760942066716849</v>
      </c>
      <c r="E13" s="18">
        <f>(Sheet1[[#This Row],[A]]-B12)/B12</f>
        <v>-0.14798508912827901</v>
      </c>
      <c r="F13" s="18">
        <f>(Sheet1[[#This Row],[P]]-C12)/C12</f>
        <v>-3.1917536641028289E-2</v>
      </c>
      <c r="G13" s="15">
        <f>(Sheet1[[#This Row],[X (€ =&gt; PLN)]]-D12)/D12</f>
        <v>-3.0613758757301286E-2</v>
      </c>
      <c r="H13" s="15">
        <f t="shared" si="0"/>
        <v>1464.4967782678593</v>
      </c>
      <c r="I13" s="3"/>
      <c r="J13" s="5" t="s">
        <v>44</v>
      </c>
      <c r="K13" s="7">
        <f>L12</f>
        <v>3.4132740794267626E-2</v>
      </c>
      <c r="L13" s="7">
        <f>L4^2</f>
        <v>9.1785942305085425E-2</v>
      </c>
      <c r="M13" s="7">
        <f>L4*M4*L5</f>
        <v>-1.5424551487356894E-2</v>
      </c>
    </row>
    <row r="14" spans="1:13" x14ac:dyDescent="0.2">
      <c r="A14" s="3">
        <v>12</v>
      </c>
      <c r="B14" s="15">
        <v>6386.8182135158841</v>
      </c>
      <c r="C14" s="33">
        <v>8286.2091048085676</v>
      </c>
      <c r="D14" s="16">
        <v>0.19816306836589531</v>
      </c>
      <c r="E14" s="18">
        <f>(Sheet1[[#This Row],[A]]-B13)/B13</f>
        <v>0.13199905515142513</v>
      </c>
      <c r="F14" s="18">
        <f>(Sheet1[[#This Row],[P]]-C13)/C13</f>
        <v>0.118085751383434</v>
      </c>
      <c r="G14" s="15">
        <f>(Sheet1[[#This Row],[X (€ =&gt; PLN)]]-D13)/D13</f>
        <v>2.8017272499336961E-3</v>
      </c>
      <c r="H14" s="15">
        <f t="shared" si="0"/>
        <v>1642.0206213302845</v>
      </c>
      <c r="I14" s="3"/>
      <c r="J14" s="5" t="s">
        <v>45</v>
      </c>
      <c r="K14" s="7">
        <f>M12</f>
        <v>1.744427557536224E-3</v>
      </c>
      <c r="L14" s="7">
        <f>M13</f>
        <v>-1.5424551487356894E-2</v>
      </c>
      <c r="M14" s="7">
        <f>M4^2</f>
        <v>2.1805681704161577E-2</v>
      </c>
    </row>
    <row r="15" spans="1:13" x14ac:dyDescent="0.2">
      <c r="A15" s="3">
        <v>13</v>
      </c>
      <c r="B15" s="15">
        <v>7362.9481899134316</v>
      </c>
      <c r="C15" s="33">
        <v>9179.127990271445</v>
      </c>
      <c r="D15" s="16">
        <v>0.19353741033493921</v>
      </c>
      <c r="E15" s="18">
        <f>(Sheet1[[#This Row],[A]]-B14)/B14</f>
        <v>0.1528350962505628</v>
      </c>
      <c r="F15" s="18">
        <f>(Sheet1[[#This Row],[P]]-C14)/C14</f>
        <v>0.10775963702686527</v>
      </c>
      <c r="G15" s="15">
        <f>(Sheet1[[#This Row],[X (€ =&gt; PLN)]]-D14)/D14</f>
        <v>-2.3342684734852431E-2</v>
      </c>
      <c r="H15" s="15">
        <f t="shared" si="0"/>
        <v>1776.5046603700905</v>
      </c>
      <c r="I15" s="3"/>
      <c r="J15" s="3"/>
      <c r="K15" s="3"/>
      <c r="L15" s="3"/>
      <c r="M15" s="3"/>
    </row>
    <row r="16" spans="1:13" x14ac:dyDescent="0.2">
      <c r="A16" s="3">
        <v>14</v>
      </c>
      <c r="B16" s="15">
        <v>6530.8803163167559</v>
      </c>
      <c r="C16" s="33">
        <v>7387.5354537703925</v>
      </c>
      <c r="D16" s="16">
        <v>0.23252049270249461</v>
      </c>
      <c r="E16" s="18">
        <f>(Sheet1[[#This Row],[A]]-B15)/B15</f>
        <v>-0.11300743291071</v>
      </c>
      <c r="F16" s="18">
        <f>(Sheet1[[#This Row],[P]]-C15)/C15</f>
        <v>-0.19518112596315063</v>
      </c>
      <c r="G16" s="15">
        <f>(Sheet1[[#This Row],[X (€ =&gt; PLN)]]-D15)/D15</f>
        <v>0.20142401564684886</v>
      </c>
      <c r="H16" s="15">
        <f t="shared" si="0"/>
        <v>1717.7533835678387</v>
      </c>
      <c r="I16" s="3"/>
      <c r="J16" s="5" t="s">
        <v>58</v>
      </c>
      <c r="K16" s="5" t="s">
        <v>53</v>
      </c>
      <c r="L16" s="5" t="s">
        <v>54</v>
      </c>
      <c r="M16" s="5" t="s">
        <v>59</v>
      </c>
    </row>
    <row r="17" spans="1:13" x14ac:dyDescent="0.2">
      <c r="A17" s="3">
        <v>15</v>
      </c>
      <c r="B17" s="15">
        <v>8614.1712339028945</v>
      </c>
      <c r="C17" s="33">
        <v>10337.05947623043</v>
      </c>
      <c r="D17" s="16">
        <v>0.23744002934852149</v>
      </c>
      <c r="E17" s="18">
        <f>(Sheet1[[#This Row],[A]]-B16)/B16</f>
        <v>0.31899082768080184</v>
      </c>
      <c r="F17" s="18">
        <f>(Sheet1[[#This Row],[P]]-C16)/C16</f>
        <v>0.39925683482908803</v>
      </c>
      <c r="G17" s="15">
        <f>(Sheet1[[#This Row],[X (€ =&gt; PLN)]]-D16)/D16</f>
        <v>2.1157432572282232E-2</v>
      </c>
      <c r="H17" s="15">
        <f t="shared" si="0"/>
        <v>2454.4317054135654</v>
      </c>
      <c r="I17" s="3"/>
      <c r="J17" s="20" cm="1">
        <f t="array" ref="J17">SQRT(MMULT(K9:M9,(MMULT(K12:M14,TRANSPOSE(K9:M9)))))</f>
        <v>1601.6398652646674</v>
      </c>
      <c r="K17" s="22">
        <v>0.01</v>
      </c>
      <c r="L17" s="7">
        <f>_xlfn.NORM.S.INV(K17)</f>
        <v>-2.3263478740408408</v>
      </c>
      <c r="M17" s="23">
        <f>-J17*L17</f>
        <v>3725.9714955375175</v>
      </c>
    </row>
    <row r="18" spans="1:13" x14ac:dyDescent="0.2">
      <c r="A18" s="3">
        <v>16</v>
      </c>
      <c r="B18" s="15">
        <v>7868.7696057216108</v>
      </c>
      <c r="C18" s="33">
        <v>10909.703888625851</v>
      </c>
      <c r="D18" s="16">
        <v>0.2100190024115812</v>
      </c>
      <c r="E18" s="18">
        <f>(Sheet1[[#This Row],[A]]-B17)/B17</f>
        <v>-8.6532018918732176E-2</v>
      </c>
      <c r="F18" s="18">
        <f>(Sheet1[[#This Row],[P]]-C17)/C17</f>
        <v>5.5397225266255734E-2</v>
      </c>
      <c r="G18" s="15">
        <f>(Sheet1[[#This Row],[X (€ =&gt; PLN)]]-D17)/D17</f>
        <v>-0.11548611669303198</v>
      </c>
      <c r="H18" s="15">
        <f t="shared" si="0"/>
        <v>2291.2451272949493</v>
      </c>
      <c r="I18" s="3"/>
      <c r="J18" s="3"/>
      <c r="K18" s="3"/>
      <c r="L18" s="3"/>
      <c r="M18" s="3"/>
    </row>
    <row r="19" spans="1:13" x14ac:dyDescent="0.2">
      <c r="A19" s="3">
        <v>17</v>
      </c>
      <c r="B19" s="15">
        <v>6569.0588328749382</v>
      </c>
      <c r="C19" s="33">
        <v>8903.9226906472195</v>
      </c>
      <c r="D19" s="16">
        <v>0.19324918592360041</v>
      </c>
      <c r="E19" s="18">
        <f>(Sheet1[[#This Row],[A]]-B18)/B18</f>
        <v>-0.16517331653752007</v>
      </c>
      <c r="F19" s="18">
        <f>(Sheet1[[#This Row],[P]]-C18)/C18</f>
        <v>-0.1838529458228286</v>
      </c>
      <c r="G19" s="15">
        <f>(Sheet1[[#This Row],[X (€ =&gt; PLN)]]-D18)/D18</f>
        <v>-7.9849043636139275E-2</v>
      </c>
      <c r="H19" s="15">
        <f t="shared" si="0"/>
        <v>1720.6758114942488</v>
      </c>
      <c r="I19" s="3"/>
      <c r="J19" s="43" t="s">
        <v>24</v>
      </c>
      <c r="K19" s="43"/>
      <c r="L19" s="43"/>
      <c r="M19" s="43"/>
    </row>
    <row r="20" spans="1:13" x14ac:dyDescent="0.2">
      <c r="A20" s="3">
        <v>18</v>
      </c>
      <c r="B20" s="15">
        <v>6305.2218043108624</v>
      </c>
      <c r="C20" s="33">
        <v>7373.5138090937144</v>
      </c>
      <c r="D20" s="16">
        <v>0.20593780859370681</v>
      </c>
      <c r="E20" s="18">
        <f>(Sheet1[[#This Row],[A]]-B19)/B19</f>
        <v>-4.0163596532839692E-2</v>
      </c>
      <c r="F20" s="18">
        <f>(Sheet1[[#This Row],[P]]-C19)/C19</f>
        <v>-0.17188029756379891</v>
      </c>
      <c r="G20" s="15">
        <f>(Sheet1[[#This Row],[X (€ =&gt; PLN)]]-D19)/D19</f>
        <v>6.5659384847927632E-2</v>
      </c>
      <c r="H20" s="15">
        <f t="shared" si="0"/>
        <v>1518.4852754801952</v>
      </c>
      <c r="I20" s="3"/>
      <c r="J20" s="24" t="s">
        <v>14</v>
      </c>
      <c r="K20" s="5" t="s">
        <v>43</v>
      </c>
      <c r="L20" s="5" t="s">
        <v>44</v>
      </c>
      <c r="M20" s="5" t="s">
        <v>45</v>
      </c>
    </row>
    <row r="21" spans="1:13" x14ac:dyDescent="0.2">
      <c r="A21" s="3">
        <v>19</v>
      </c>
      <c r="B21" s="15">
        <v>6879.2616656699875</v>
      </c>
      <c r="C21" s="33">
        <v>8002.8270377517492</v>
      </c>
      <c r="D21" s="16">
        <v>0.25330442066532088</v>
      </c>
      <c r="E21" s="18">
        <f>(Sheet1[[#This Row],[A]]-B20)/B20</f>
        <v>9.1041977455361786E-2</v>
      </c>
      <c r="F21" s="18">
        <f>(Sheet1[[#This Row],[P]]-C20)/C20</f>
        <v>8.5347806344636706E-2</v>
      </c>
      <c r="G21" s="15">
        <f>(Sheet1[[#This Row],[X (€ =&gt; PLN)]]-D20)/D20</f>
        <v>0.23000444840637943</v>
      </c>
      <c r="H21" s="15">
        <f t="shared" si="0"/>
        <v>2027.1514664824729</v>
      </c>
      <c r="I21" s="3"/>
      <c r="J21" s="5" t="s">
        <v>43</v>
      </c>
      <c r="K21" s="7">
        <f>K4^2</f>
        <v>1.9745414606838738E-2</v>
      </c>
      <c r="L21" s="7">
        <f>K4*L4*K5</f>
        <v>3.4132740794267626E-2</v>
      </c>
      <c r="M21" s="25">
        <v>0</v>
      </c>
    </row>
    <row r="22" spans="1:13" x14ac:dyDescent="0.2">
      <c r="A22" s="3">
        <v>20</v>
      </c>
      <c r="B22" s="15">
        <v>7457.0305064339136</v>
      </c>
      <c r="C22" s="33">
        <v>12986.410645483629</v>
      </c>
      <c r="D22" s="16">
        <v>0.21672047654098639</v>
      </c>
      <c r="E22" s="18">
        <f>(Sheet1[[#This Row],[A]]-B21)/B21</f>
        <v>8.3987042337290693E-2</v>
      </c>
      <c r="F22" s="18">
        <f>(Sheet1[[#This Row],[P]]-C21)/C21</f>
        <v>0.62272789155917185</v>
      </c>
      <c r="G22" s="15">
        <f>(Sheet1[[#This Row],[X (€ =&gt; PLN)]]-D21)/D21</f>
        <v>-0.14442678903212322</v>
      </c>
      <c r="H22" s="15">
        <f t="shared" si="0"/>
        <v>2814.4211036461506</v>
      </c>
      <c r="I22" s="3"/>
      <c r="J22" s="5" t="s">
        <v>44</v>
      </c>
      <c r="K22" s="7">
        <f>L21</f>
        <v>3.4132740794267626E-2</v>
      </c>
      <c r="L22" s="7">
        <f>L4^2</f>
        <v>9.1785942305085425E-2</v>
      </c>
      <c r="M22" s="25">
        <v>0</v>
      </c>
    </row>
    <row r="23" spans="1:13" x14ac:dyDescent="0.2">
      <c r="A23" s="3">
        <v>21</v>
      </c>
      <c r="B23" s="15">
        <v>7732.9167123181578</v>
      </c>
      <c r="C23" s="33">
        <v>8850.6057561540947</v>
      </c>
      <c r="D23" s="16">
        <v>0.2175278602911743</v>
      </c>
      <c r="E23" s="18">
        <f>(Sheet1[[#This Row],[A]]-B22)/B22</f>
        <v>3.6996791906136098E-2</v>
      </c>
      <c r="F23" s="18">
        <f>(Sheet1[[#This Row],[P]]-C22)/C22</f>
        <v>-0.31847174729284194</v>
      </c>
      <c r="G23" s="15">
        <f>(Sheet1[[#This Row],[X (€ =&gt; PLN)]]-D22)/D22</f>
        <v>3.7254613088450526E-3</v>
      </c>
      <c r="H23" s="15">
        <f t="shared" si="0"/>
        <v>1925.253332416951</v>
      </c>
      <c r="I23" s="3"/>
      <c r="J23" s="5" t="s">
        <v>45</v>
      </c>
      <c r="K23" s="25">
        <v>0</v>
      </c>
      <c r="L23" s="25">
        <v>0</v>
      </c>
      <c r="M23" s="25">
        <v>0</v>
      </c>
    </row>
    <row r="24" spans="1:13" x14ac:dyDescent="0.2">
      <c r="A24" s="3">
        <v>22</v>
      </c>
      <c r="B24" s="15">
        <v>6673.2979198435332</v>
      </c>
      <c r="C24" s="33">
        <v>10655.126474873299</v>
      </c>
      <c r="D24" s="16">
        <v>0.16996181130578381</v>
      </c>
      <c r="E24" s="18">
        <f>(Sheet1[[#This Row],[A]]-B23)/B23</f>
        <v>-0.13702705355492886</v>
      </c>
      <c r="F24" s="18">
        <f>(Sheet1[[#This Row],[P]]-C23)/C23</f>
        <v>0.20388669074593754</v>
      </c>
      <c r="G24" s="15">
        <f>(Sheet1[[#This Row],[X (€ =&gt; PLN)]]-D23)/D23</f>
        <v>-0.21866646838579865</v>
      </c>
      <c r="H24" s="15">
        <f t="shared" si="0"/>
        <v>1810.9645953616771</v>
      </c>
      <c r="I24" s="3"/>
      <c r="J24" s="3"/>
      <c r="K24" s="3"/>
      <c r="L24" s="3"/>
      <c r="M24" s="3"/>
    </row>
    <row r="25" spans="1:13" x14ac:dyDescent="0.2">
      <c r="A25" s="3">
        <v>23</v>
      </c>
      <c r="B25" s="15">
        <v>6208.7126232451701</v>
      </c>
      <c r="C25" s="33">
        <v>8747.705336591056</v>
      </c>
      <c r="D25" s="16">
        <v>0.19877209145837199</v>
      </c>
      <c r="E25" s="18">
        <f>(Sheet1[[#This Row],[A]]-B24)/B24</f>
        <v>-6.9618545759344147E-2</v>
      </c>
      <c r="F25" s="18">
        <f>(Sheet1[[#This Row],[P]]-C24)/C24</f>
        <v>-0.17901440614339817</v>
      </c>
      <c r="G25" s="15">
        <f>(Sheet1[[#This Row],[X (€ =&gt; PLN)]]-D24)/D24</f>
        <v>0.1695103148833515</v>
      </c>
      <c r="H25" s="15">
        <f t="shared" si="0"/>
        <v>1738.7996852157662</v>
      </c>
      <c r="I25" s="3"/>
      <c r="J25" s="5" t="s">
        <v>58</v>
      </c>
      <c r="K25" s="5" t="s">
        <v>54</v>
      </c>
      <c r="L25" s="5" t="s">
        <v>59</v>
      </c>
      <c r="M25" s="5" t="s">
        <v>60</v>
      </c>
    </row>
    <row r="26" spans="1:13" x14ac:dyDescent="0.2">
      <c r="A26" s="3">
        <v>24</v>
      </c>
      <c r="B26" s="15">
        <v>6325.1615721524513</v>
      </c>
      <c r="C26" s="33">
        <v>7158.4936079174922</v>
      </c>
      <c r="D26" s="16">
        <v>0.22045981303440029</v>
      </c>
      <c r="E26" s="18">
        <f>(Sheet1[[#This Row],[A]]-B25)/B25</f>
        <v>1.8755731819717507E-2</v>
      </c>
      <c r="F26" s="18">
        <f>(Sheet1[[#This Row],[P]]-C25)/C25</f>
        <v>-0.18167184050267438</v>
      </c>
      <c r="G26" s="15">
        <f>(Sheet1[[#This Row],[X (€ =&gt; PLN)]]-D25)/D25</f>
        <v>0.10910848407795855</v>
      </c>
      <c r="H26" s="15">
        <f t="shared" si="0"/>
        <v>1578.1601624094399</v>
      </c>
      <c r="I26" s="3"/>
      <c r="J26" s="9" cm="1">
        <f t="array" ref="J26">SQRT(MMULT(K9:M9,MMULT(K21:M23,TRANSPOSE(K9:M9))))</f>
        <v>1597.184027213508</v>
      </c>
      <c r="K26" s="7">
        <f>_xlfn.NORM.S.INV(K17)</f>
        <v>-2.3263478740408408</v>
      </c>
      <c r="L26" s="20">
        <f>-J26*K26</f>
        <v>3715.6056661601328</v>
      </c>
      <c r="M26" s="23">
        <f>M17-L26</f>
        <v>10.365829377384671</v>
      </c>
    </row>
    <row r="27" spans="1:13" x14ac:dyDescent="0.2">
      <c r="A27" s="3">
        <v>25</v>
      </c>
      <c r="B27" s="15">
        <v>8246.5426402292633</v>
      </c>
      <c r="C27" s="33">
        <v>13164.41786050169</v>
      </c>
      <c r="D27" s="16">
        <v>0.21311172517853871</v>
      </c>
      <c r="E27" s="18">
        <f>(Sheet1[[#This Row],[A]]-B26)/B26</f>
        <v>0.30376790318464014</v>
      </c>
      <c r="F27" s="18">
        <f>(Sheet1[[#This Row],[P]]-C26)/C26</f>
        <v>0.83899275204234014</v>
      </c>
      <c r="G27" s="15">
        <f>(Sheet1[[#This Row],[X (€ =&gt; PLN)]]-D26)/D26</f>
        <v>-3.3330736131555148E-2</v>
      </c>
      <c r="H27" s="15">
        <f t="shared" si="0"/>
        <v>2805.4918012226826</v>
      </c>
      <c r="I27" s="3"/>
      <c r="J27" s="3"/>
      <c r="K27" s="3"/>
      <c r="L27" s="3"/>
      <c r="M27" s="3"/>
    </row>
    <row r="28" spans="1:13" x14ac:dyDescent="0.2">
      <c r="A28" s="3">
        <v>26</v>
      </c>
      <c r="B28" s="15">
        <v>7550.2158913523026</v>
      </c>
      <c r="C28" s="33">
        <v>10943.70909867782</v>
      </c>
      <c r="D28" s="16">
        <v>0.1937591393241922</v>
      </c>
      <c r="E28" s="18">
        <f>(Sheet1[[#This Row],[A]]-B27)/B27</f>
        <v>-8.4438628314374667E-2</v>
      </c>
      <c r="F28" s="18">
        <f>(Sheet1[[#This Row],[P]]-C27)/C27</f>
        <v>-0.16869023646589407</v>
      </c>
      <c r="G28" s="15">
        <f>(Sheet1[[#This Row],[X (€ =&gt; PLN)]]-D27)/D27</f>
        <v>-9.0809578112764522E-2</v>
      </c>
      <c r="H28" s="15">
        <f t="shared" si="0"/>
        <v>2120.4436559741457</v>
      </c>
      <c r="I28" s="3"/>
      <c r="J28" s="3"/>
      <c r="K28" s="3"/>
      <c r="L28" s="3"/>
      <c r="M28" s="3"/>
    </row>
    <row r="29" spans="1:13" x14ac:dyDescent="0.2">
      <c r="A29" s="3">
        <v>27</v>
      </c>
      <c r="B29" s="15">
        <v>7058.0463687876163</v>
      </c>
      <c r="C29" s="33">
        <v>7962.3916188473859</v>
      </c>
      <c r="D29" s="16">
        <v>0.22746131245916179</v>
      </c>
      <c r="E29" s="18">
        <f>(Sheet1[[#This Row],[A]]-B28)/B28</f>
        <v>-6.5186152243460541E-2</v>
      </c>
      <c r="F29" s="18">
        <f>(Sheet1[[#This Row],[P]]-C28)/C28</f>
        <v>-0.27242294663978472</v>
      </c>
      <c r="G29" s="15">
        <f>(Sheet1[[#This Row],[X (€ =&gt; PLN)]]-D28)/D28</f>
        <v>0.17393849524992</v>
      </c>
      <c r="H29" s="15">
        <f t="shared" si="0"/>
        <v>1811.1360479368564</v>
      </c>
      <c r="I29" s="3"/>
      <c r="J29" s="3"/>
      <c r="K29" s="3"/>
      <c r="L29" s="3"/>
      <c r="M29" s="3"/>
    </row>
    <row r="30" spans="1:13" x14ac:dyDescent="0.2">
      <c r="A30" s="3">
        <v>28</v>
      </c>
      <c r="B30" s="15">
        <v>7781.3704174963859</v>
      </c>
      <c r="C30" s="33">
        <v>11218.220675997931</v>
      </c>
      <c r="D30" s="16">
        <v>0.22640724007674129</v>
      </c>
      <c r="E30" s="18">
        <f>(Sheet1[[#This Row],[A]]-B29)/B29</f>
        <v>0.10248218995946004</v>
      </c>
      <c r="F30" s="18">
        <f>(Sheet1[[#This Row],[P]]-C29)/C29</f>
        <v>0.40890089473165725</v>
      </c>
      <c r="G30" s="15">
        <f>(Sheet1[[#This Row],[X (€ =&gt; PLN)]]-D29)/D29</f>
        <v>-4.6340732453557278E-3</v>
      </c>
      <c r="H30" s="15">
        <f t="shared" si="0"/>
        <v>2539.8863818245263</v>
      </c>
      <c r="I30" s="3"/>
      <c r="J30" s="3"/>
      <c r="K30" s="3"/>
      <c r="L30" s="3"/>
      <c r="M30" s="3"/>
    </row>
    <row r="31" spans="1:13" x14ac:dyDescent="0.2">
      <c r="A31" s="3">
        <v>29</v>
      </c>
      <c r="B31" s="15">
        <v>6608.142069276224</v>
      </c>
      <c r="C31" s="33">
        <v>9001.2040587288902</v>
      </c>
      <c r="D31" s="16">
        <v>0.2048167733617651</v>
      </c>
      <c r="E31" s="18">
        <f>(Sheet1[[#This Row],[A]]-B30)/B30</f>
        <v>-0.15077400062875324</v>
      </c>
      <c r="F31" s="18">
        <f>(Sheet1[[#This Row],[P]]-C30)/C30</f>
        <v>-0.19762640451640279</v>
      </c>
      <c r="G31" s="15">
        <f>(Sheet1[[#This Row],[X (€ =&gt; PLN)]]-D30)/D30</f>
        <v>-9.5361202705611575E-2</v>
      </c>
      <c r="H31" s="15">
        <f t="shared" si="0"/>
        <v>1843.5975716796752</v>
      </c>
      <c r="I31" s="3"/>
      <c r="J31" s="3"/>
      <c r="K31" s="3"/>
      <c r="L31" s="3"/>
      <c r="M31" s="3"/>
    </row>
    <row r="32" spans="1:13" x14ac:dyDescent="0.2">
      <c r="A32" s="3">
        <v>30</v>
      </c>
      <c r="B32" s="15">
        <v>7221.6132990454425</v>
      </c>
      <c r="C32" s="33">
        <v>9530.2366055699531</v>
      </c>
      <c r="D32" s="16">
        <v>0.19120173295788209</v>
      </c>
      <c r="E32" s="18">
        <f>(Sheet1[[#This Row],[A]]-B31)/B31</f>
        <v>9.2835659908324389E-2</v>
      </c>
      <c r="F32" s="18">
        <f>(Sheet1[[#This Row],[P]]-C31)/C31</f>
        <v>5.8773531117543673E-2</v>
      </c>
      <c r="G32" s="15">
        <f>(Sheet1[[#This Row],[X (€ =&gt; PLN)]]-D31)/D31</f>
        <v>-6.6474245152934541E-2</v>
      </c>
      <c r="H32" s="15">
        <f t="shared" si="0"/>
        <v>1822.1977544836188</v>
      </c>
      <c r="I32" s="3"/>
      <c r="J32" s="3"/>
      <c r="K32" s="3"/>
      <c r="L32" s="3"/>
      <c r="M32" s="3"/>
    </row>
    <row r="33" spans="1:13" x14ac:dyDescent="0.2">
      <c r="A33" s="3">
        <v>31</v>
      </c>
      <c r="B33" s="15">
        <v>6839.0889467095894</v>
      </c>
      <c r="C33" s="33">
        <v>8851.5828440068653</v>
      </c>
      <c r="D33" s="16">
        <v>0.2065982607058644</v>
      </c>
      <c r="E33" s="18">
        <f>(Sheet1[[#This Row],[A]]-B32)/B32</f>
        <v>-5.2969376300779691E-2</v>
      </c>
      <c r="F33" s="18">
        <f>(Sheet1[[#This Row],[P]]-C32)/C32</f>
        <v>-7.1210588954994894E-2</v>
      </c>
      <c r="G33" s="15">
        <f>(Sheet1[[#This Row],[X (€ =&gt; PLN)]]-D32)/D32</f>
        <v>8.0525042894741203E-2</v>
      </c>
      <c r="H33" s="15">
        <f t="shared" si="0"/>
        <v>1828.7216200656869</v>
      </c>
      <c r="I33" s="3"/>
      <c r="J33" s="3"/>
      <c r="K33" s="3"/>
      <c r="L33" s="3"/>
      <c r="M33" s="3"/>
    </row>
    <row r="34" spans="1:13" x14ac:dyDescent="0.2">
      <c r="A34" s="3">
        <v>32</v>
      </c>
      <c r="B34" s="15">
        <v>7687.9166437296244</v>
      </c>
      <c r="C34" s="33">
        <v>11167.216939768099</v>
      </c>
      <c r="D34" s="16">
        <v>0.21562911479929001</v>
      </c>
      <c r="E34" s="18">
        <f>(Sheet1[[#This Row],[A]]-B33)/B33</f>
        <v>0.12411414789807954</v>
      </c>
      <c r="F34" s="18">
        <f>(Sheet1[[#This Row],[P]]-C33)/C33</f>
        <v>0.26160678113396163</v>
      </c>
      <c r="G34" s="15">
        <f>(Sheet1[[#This Row],[X (€ =&gt; PLN)]]-D33)/D33</f>
        <v>4.3712149669463601E-2</v>
      </c>
      <c r="H34" s="15">
        <f t="shared" si="0"/>
        <v>2407.9771034938317</v>
      </c>
      <c r="I34" s="3"/>
      <c r="J34" s="3"/>
      <c r="K34" s="3"/>
      <c r="L34" s="3"/>
      <c r="M34" s="3"/>
    </row>
    <row r="35" spans="1:13" x14ac:dyDescent="0.2">
      <c r="A35" s="3">
        <v>33</v>
      </c>
      <c r="B35" s="15">
        <v>6917.3113347481612</v>
      </c>
      <c r="C35" s="33">
        <v>9664.5477811501605</v>
      </c>
      <c r="D35" s="16">
        <v>0.1970501861276141</v>
      </c>
      <c r="E35" s="18">
        <f>(Sheet1[[#This Row],[A]]-B34)/B34</f>
        <v>-0.10023590846422352</v>
      </c>
      <c r="F35" s="18">
        <f>(Sheet1[[#This Row],[P]]-C34)/C34</f>
        <v>-0.13456075642864188</v>
      </c>
      <c r="G35" s="15">
        <f>(Sheet1[[#This Row],[X (€ =&gt; PLN)]]-D34)/D34</f>
        <v>-8.6161503231923842E-2</v>
      </c>
      <c r="H35" s="15">
        <f t="shared" ref="H35:H66" si="1">C35*D35</f>
        <v>1904.4009391148591</v>
      </c>
      <c r="I35" s="3"/>
      <c r="J35" s="3"/>
      <c r="K35" s="3"/>
      <c r="L35" s="3"/>
      <c r="M35" s="3"/>
    </row>
    <row r="36" spans="1:13" x14ac:dyDescent="0.2">
      <c r="A36" s="3">
        <v>34</v>
      </c>
      <c r="B36" s="15">
        <v>7353.3471616928573</v>
      </c>
      <c r="C36" s="33">
        <v>9339.1052391706835</v>
      </c>
      <c r="D36" s="16">
        <v>0.2342438420078527</v>
      </c>
      <c r="E36" s="18">
        <f>(Sheet1[[#This Row],[A]]-B35)/B35</f>
        <v>6.3035449157005569E-2</v>
      </c>
      <c r="F36" s="18">
        <f>(Sheet1[[#This Row],[P]]-C35)/C35</f>
        <v>-3.3673851001515424E-2</v>
      </c>
      <c r="G36" s="15">
        <f>(Sheet1[[#This Row],[X (€ =&gt; PLN)]]-D35)/D35</f>
        <v>0.18875219867161735</v>
      </c>
      <c r="H36" s="15">
        <f t="shared" si="1"/>
        <v>2187.6278921390071</v>
      </c>
      <c r="I36" s="3"/>
      <c r="J36" s="3"/>
      <c r="K36" s="3"/>
      <c r="L36" s="3"/>
      <c r="M36" s="3"/>
    </row>
    <row r="37" spans="1:13" x14ac:dyDescent="0.2">
      <c r="A37" s="3">
        <v>35</v>
      </c>
      <c r="B37" s="15">
        <v>7773.3972610466826</v>
      </c>
      <c r="C37" s="33">
        <v>11847.360521097729</v>
      </c>
      <c r="D37" s="16">
        <v>0.2022713903073485</v>
      </c>
      <c r="E37" s="18">
        <f>(Sheet1[[#This Row],[A]]-B36)/B36</f>
        <v>5.7123659486943507E-2</v>
      </c>
      <c r="F37" s="18">
        <f>(Sheet1[[#This Row],[P]]-C36)/C36</f>
        <v>0.26857554526816535</v>
      </c>
      <c r="G37" s="15">
        <f>(Sheet1[[#This Row],[X (€ =&gt; PLN)]]-D36)/D36</f>
        <v>-0.13649217595838598</v>
      </c>
      <c r="H37" s="15">
        <f t="shared" si="1"/>
        <v>2396.3820840748303</v>
      </c>
      <c r="I37" s="3"/>
      <c r="J37" s="3"/>
      <c r="K37" s="3"/>
      <c r="L37" s="3"/>
      <c r="M37" s="3"/>
    </row>
    <row r="38" spans="1:13" x14ac:dyDescent="0.2">
      <c r="A38" s="3">
        <v>36</v>
      </c>
      <c r="B38" s="15">
        <v>6410.2382622776513</v>
      </c>
      <c r="C38" s="33">
        <v>8055.4590740519252</v>
      </c>
      <c r="D38" s="16">
        <v>0.21963377914353491</v>
      </c>
      <c r="E38" s="18">
        <f>(Sheet1[[#This Row],[A]]-B37)/B37</f>
        <v>-0.1753620653867731</v>
      </c>
      <c r="F38" s="18">
        <f>(Sheet1[[#This Row],[P]]-C37)/C37</f>
        <v>-0.32006297438937575</v>
      </c>
      <c r="G38" s="15">
        <f>(Sheet1[[#This Row],[X (€ =&gt; PLN)]]-D37)/D37</f>
        <v>8.5837096436646332E-2</v>
      </c>
      <c r="H38" s="15">
        <f t="shared" si="1"/>
        <v>1769.2509191701047</v>
      </c>
      <c r="I38" s="3"/>
      <c r="J38" s="3"/>
      <c r="K38" s="3"/>
      <c r="L38" s="3"/>
      <c r="M38" s="3"/>
    </row>
    <row r="39" spans="1:13" x14ac:dyDescent="0.2">
      <c r="A39" s="3">
        <v>37</v>
      </c>
      <c r="B39" s="15">
        <v>7604.7923403498426</v>
      </c>
      <c r="C39" s="33">
        <v>11463.197294921039</v>
      </c>
      <c r="D39" s="16">
        <v>0.1877383859074267</v>
      </c>
      <c r="E39" s="18">
        <f>(Sheet1[[#This Row],[A]]-B38)/B38</f>
        <v>0.18635096375462162</v>
      </c>
      <c r="F39" s="18">
        <f>(Sheet1[[#This Row],[P]]-C38)/C38</f>
        <v>0.42303463893771726</v>
      </c>
      <c r="G39" s="15">
        <f>(Sheet1[[#This Row],[X (€ =&gt; PLN)]]-D38)/D38</f>
        <v>-0.14522080055483613</v>
      </c>
      <c r="H39" s="15">
        <f t="shared" si="1"/>
        <v>2152.082157486856</v>
      </c>
      <c r="I39" s="3"/>
      <c r="J39" s="3"/>
      <c r="K39" s="3"/>
      <c r="L39" s="3"/>
      <c r="M39" s="3"/>
    </row>
    <row r="40" spans="1:13" x14ac:dyDescent="0.2">
      <c r="A40" s="3">
        <v>38</v>
      </c>
      <c r="B40" s="15">
        <v>7345.9181770140494</v>
      </c>
      <c r="C40" s="33">
        <v>8336.4379860339432</v>
      </c>
      <c r="D40" s="16">
        <v>0.23107637789038779</v>
      </c>
      <c r="E40" s="18">
        <f>(Sheet1[[#This Row],[A]]-B39)/B39</f>
        <v>-3.4040924689323494E-2</v>
      </c>
      <c r="F40" s="18">
        <f>(Sheet1[[#This Row],[P]]-C39)/C39</f>
        <v>-0.27276502606061392</v>
      </c>
      <c r="G40" s="15">
        <f>(Sheet1[[#This Row],[X (€ =&gt; PLN)]]-D39)/D39</f>
        <v>0.23084246609178233</v>
      </c>
      <c r="H40" s="15">
        <f t="shared" si="1"/>
        <v>1926.3538943205629</v>
      </c>
      <c r="I40" s="3"/>
      <c r="J40" s="3"/>
      <c r="K40" s="3"/>
      <c r="L40" s="3"/>
      <c r="M40" s="3"/>
    </row>
    <row r="41" spans="1:13" x14ac:dyDescent="0.2">
      <c r="A41" s="3">
        <v>39</v>
      </c>
      <c r="B41" s="15">
        <v>6332.6824718786356</v>
      </c>
      <c r="C41" s="33">
        <v>7729.977696907963</v>
      </c>
      <c r="D41" s="16">
        <v>0.199266867213582</v>
      </c>
      <c r="E41" s="18">
        <f>(Sheet1[[#This Row],[A]]-B40)/B40</f>
        <v>-0.1379317984109743</v>
      </c>
      <c r="F41" s="18">
        <f>(Sheet1[[#This Row],[P]]-C40)/C40</f>
        <v>-7.2748131773064786E-2</v>
      </c>
      <c r="G41" s="15">
        <f>(Sheet1[[#This Row],[X (€ =&gt; PLN)]]-D40)/D40</f>
        <v>-0.13765799415418736</v>
      </c>
      <c r="H41" s="15">
        <f t="shared" si="1"/>
        <v>1540.3284392937094</v>
      </c>
      <c r="I41" s="3"/>
      <c r="J41" s="3"/>
      <c r="K41" s="3"/>
      <c r="L41" s="3"/>
      <c r="M41" s="3"/>
    </row>
    <row r="42" spans="1:13" x14ac:dyDescent="0.2">
      <c r="A42" s="3">
        <v>40</v>
      </c>
      <c r="B42" s="15">
        <v>6127.6541484166473</v>
      </c>
      <c r="C42" s="33">
        <v>7455.42928162721</v>
      </c>
      <c r="D42" s="16">
        <v>0.215908352188213</v>
      </c>
      <c r="E42" s="18">
        <f>(Sheet1[[#This Row],[A]]-B41)/B41</f>
        <v>-3.2376220404615547E-2</v>
      </c>
      <c r="F42" s="18">
        <f>(Sheet1[[#This Row],[P]]-C41)/C41</f>
        <v>-3.5517361892334315E-2</v>
      </c>
      <c r="G42" s="15">
        <f>(Sheet1[[#This Row],[X (€ =&gt; PLN)]]-D41)/D41</f>
        <v>8.3513557508755359E-2</v>
      </c>
      <c r="H42" s="15">
        <f t="shared" si="1"/>
        <v>1609.6894510518835</v>
      </c>
      <c r="I42" s="3"/>
      <c r="J42" s="3"/>
      <c r="K42" s="3"/>
      <c r="L42" s="3"/>
      <c r="M42" s="3"/>
    </row>
    <row r="43" spans="1:13" x14ac:dyDescent="0.2">
      <c r="A43" s="3">
        <v>41</v>
      </c>
      <c r="B43" s="15">
        <v>6618.8132829364813</v>
      </c>
      <c r="C43" s="33">
        <v>9634.1731485219007</v>
      </c>
      <c r="D43" s="16">
        <v>0.1939959002077489</v>
      </c>
      <c r="E43" s="18">
        <f>(Sheet1[[#This Row],[A]]-B42)/B42</f>
        <v>8.0154513068716002E-2</v>
      </c>
      <c r="F43" s="18">
        <f>(Sheet1[[#This Row],[P]]-C42)/C42</f>
        <v>0.29223587061094913</v>
      </c>
      <c r="G43" s="15">
        <f>(Sheet1[[#This Row],[X (€ =&gt; PLN)]]-D42)/D42</f>
        <v>-0.10148959851892361</v>
      </c>
      <c r="H43" s="15">
        <f t="shared" si="1"/>
        <v>1868.9900927048286</v>
      </c>
      <c r="I43" s="3"/>
      <c r="J43" s="3"/>
      <c r="K43" s="3"/>
      <c r="L43" s="3"/>
      <c r="M43" s="3"/>
    </row>
    <row r="44" spans="1:13" x14ac:dyDescent="0.2">
      <c r="A44" s="3">
        <v>42</v>
      </c>
      <c r="B44" s="15">
        <v>6910.6765228560143</v>
      </c>
      <c r="C44" s="33">
        <v>9048.4740804336216</v>
      </c>
      <c r="D44" s="16">
        <v>0.21570325112699201</v>
      </c>
      <c r="E44" s="18">
        <f>(Sheet1[[#This Row],[A]]-B43)/B43</f>
        <v>4.4096007462843242E-2</v>
      </c>
      <c r="F44" s="18">
        <f>(Sheet1[[#This Row],[P]]-C43)/C43</f>
        <v>-6.0793911325762139E-2</v>
      </c>
      <c r="G44" s="15">
        <f>(Sheet1[[#This Row],[X (€ =&gt; PLN)]]-D43)/D43</f>
        <v>0.11189592613038139</v>
      </c>
      <c r="H44" s="15">
        <f t="shared" si="1"/>
        <v>1951.7852768878515</v>
      </c>
      <c r="I44" s="3"/>
      <c r="J44" s="3"/>
      <c r="K44" s="3"/>
      <c r="L44" s="3"/>
      <c r="M44" s="3"/>
    </row>
    <row r="45" spans="1:13" x14ac:dyDescent="0.2">
      <c r="A45" s="3">
        <v>43</v>
      </c>
      <c r="B45" s="15">
        <v>6582.4879990529107</v>
      </c>
      <c r="C45" s="33">
        <v>6819.7012588111784</v>
      </c>
      <c r="D45" s="16">
        <v>0.23629191979877481</v>
      </c>
      <c r="E45" s="18">
        <f>(Sheet1[[#This Row],[A]]-B44)/B44</f>
        <v>-4.7490071734318615E-2</v>
      </c>
      <c r="F45" s="18">
        <f>(Sheet1[[#This Row],[P]]-C44)/C44</f>
        <v>-0.24631477106642005</v>
      </c>
      <c r="G45" s="15">
        <f>(Sheet1[[#This Row],[X (€ =&gt; PLN)]]-D44)/D44</f>
        <v>9.5449041978794905E-2</v>
      </c>
      <c r="H45" s="15">
        <f t="shared" si="1"/>
        <v>1611.4403028986146</v>
      </c>
      <c r="I45" s="3"/>
      <c r="J45" s="3"/>
      <c r="K45" s="3"/>
      <c r="L45" s="3"/>
      <c r="M45" s="3"/>
    </row>
    <row r="46" spans="1:13" x14ac:dyDescent="0.2">
      <c r="A46" s="3">
        <v>44</v>
      </c>
      <c r="B46" s="15">
        <v>7414.5038336510206</v>
      </c>
      <c r="C46" s="33">
        <v>11192.26875223107</v>
      </c>
      <c r="D46" s="16">
        <v>0.20195416192270671</v>
      </c>
      <c r="E46" s="18">
        <f>(Sheet1[[#This Row],[A]]-B45)/B45</f>
        <v>0.12639838230131531</v>
      </c>
      <c r="F46" s="18">
        <f>(Sheet1[[#This Row],[P]]-C45)/C45</f>
        <v>0.64116701413723287</v>
      </c>
      <c r="G46" s="15">
        <f>(Sheet1[[#This Row],[X (€ =&gt; PLN)]]-D45)/D45</f>
        <v>-0.14531922168692857</v>
      </c>
      <c r="H46" s="15">
        <f t="shared" si="1"/>
        <v>2260.325255870524</v>
      </c>
      <c r="I46" s="3"/>
      <c r="J46" s="3"/>
      <c r="K46" s="3"/>
      <c r="L46" s="3"/>
      <c r="M46" s="3"/>
    </row>
    <row r="47" spans="1:13" x14ac:dyDescent="0.2">
      <c r="A47" s="3">
        <v>45</v>
      </c>
      <c r="B47" s="15">
        <v>7046.4817911937598</v>
      </c>
      <c r="C47" s="33">
        <v>9824.1573922655443</v>
      </c>
      <c r="D47" s="16">
        <v>0.23379067284105229</v>
      </c>
      <c r="E47" s="18">
        <f>(Sheet1[[#This Row],[A]]-B46)/B46</f>
        <v>-4.9635424124670098E-2</v>
      </c>
      <c r="F47" s="18">
        <f>(Sheet1[[#This Row],[P]]-C46)/C46</f>
        <v>-0.12223717909675871</v>
      </c>
      <c r="G47" s="15">
        <f>(Sheet1[[#This Row],[X (€ =&gt; PLN)]]-D46)/D46</f>
        <v>0.15764226206207263</v>
      </c>
      <c r="H47" s="15">
        <f t="shared" si="1"/>
        <v>2296.7963668341595</v>
      </c>
      <c r="I47" s="3"/>
      <c r="J47" s="3"/>
      <c r="K47" s="3"/>
      <c r="L47" s="3"/>
      <c r="M47" s="3"/>
    </row>
    <row r="48" spans="1:13" x14ac:dyDescent="0.2">
      <c r="A48" s="3">
        <v>46</v>
      </c>
      <c r="B48" s="15">
        <v>7705.0360198927547</v>
      </c>
      <c r="C48" s="33">
        <v>13122.56796674133</v>
      </c>
      <c r="D48" s="16">
        <v>0.1893357492813145</v>
      </c>
      <c r="E48" s="18">
        <f>(Sheet1[[#This Row],[A]]-B47)/B47</f>
        <v>9.3458586598778079E-2</v>
      </c>
      <c r="F48" s="18">
        <f>(Sheet1[[#This Row],[P]]-C47)/C47</f>
        <v>0.33574488302402294</v>
      </c>
      <c r="G48" s="15">
        <f>(Sheet1[[#This Row],[X (€ =&gt; PLN)]]-D47)/D47</f>
        <v>-0.19014840506473688</v>
      </c>
      <c r="H48" s="15">
        <f t="shared" si="1"/>
        <v>2484.5712384779454</v>
      </c>
      <c r="I48" s="3"/>
      <c r="J48" s="3"/>
      <c r="K48" s="3"/>
      <c r="L48" s="3"/>
      <c r="M48" s="3"/>
    </row>
    <row r="49" spans="1:13" x14ac:dyDescent="0.2">
      <c r="A49" s="3">
        <v>47</v>
      </c>
      <c r="B49" s="15">
        <v>5546.9882018737098</v>
      </c>
      <c r="C49" s="33">
        <v>6055.0438210460516</v>
      </c>
      <c r="D49" s="16">
        <v>0.2034293068965935</v>
      </c>
      <c r="E49" s="18">
        <f>(Sheet1[[#This Row],[A]]-B48)/B48</f>
        <v>-0.2800827682631758</v>
      </c>
      <c r="F49" s="18">
        <f>(Sheet1[[#This Row],[P]]-C48)/C48</f>
        <v>-0.53857782741972915</v>
      </c>
      <c r="G49" s="15">
        <f>(Sheet1[[#This Row],[X (€ =&gt; PLN)]]-D48)/D48</f>
        <v>7.4436854470303099E-2</v>
      </c>
      <c r="H49" s="15">
        <f t="shared" si="1"/>
        <v>1231.7733677438994</v>
      </c>
      <c r="I49" s="3"/>
      <c r="J49" s="3"/>
      <c r="K49" s="3"/>
      <c r="L49" s="3"/>
      <c r="M49" s="3"/>
    </row>
    <row r="50" spans="1:13" x14ac:dyDescent="0.2">
      <c r="A50" s="3">
        <v>48</v>
      </c>
      <c r="B50" s="15">
        <v>8112.2530157627953</v>
      </c>
      <c r="C50" s="33">
        <v>10639.31137884805</v>
      </c>
      <c r="D50" s="16">
        <v>0.2339355239346444</v>
      </c>
      <c r="E50" s="18">
        <f>(Sheet1[[#This Row],[A]]-B49)/B49</f>
        <v>0.46246083830186768</v>
      </c>
      <c r="F50" s="18">
        <f>(Sheet1[[#This Row],[P]]-C49)/C49</f>
        <v>0.75709898941904497</v>
      </c>
      <c r="G50" s="15">
        <f>(Sheet1[[#This Row],[X (€ =&gt; PLN)]]-D49)/D49</f>
        <v>0.14995979440444004</v>
      </c>
      <c r="H50" s="15">
        <f t="shared" si="1"/>
        <v>2488.9128817146425</v>
      </c>
      <c r="I50" s="3"/>
      <c r="J50" s="3"/>
      <c r="K50" s="3"/>
      <c r="L50" s="3"/>
      <c r="M50" s="3"/>
    </row>
    <row r="51" spans="1:13" x14ac:dyDescent="0.2">
      <c r="A51" s="3">
        <v>49</v>
      </c>
      <c r="B51" s="15">
        <v>7722.9237845974922</v>
      </c>
      <c r="C51" s="33">
        <v>13017.38171707832</v>
      </c>
      <c r="D51" s="16">
        <v>0.17235011822104951</v>
      </c>
      <c r="E51" s="18">
        <f>(Sheet1[[#This Row],[A]]-B50)/B50</f>
        <v>-4.7992737702929555E-2</v>
      </c>
      <c r="F51" s="18">
        <f>(Sheet1[[#This Row],[P]]-C50)/C50</f>
        <v>0.22351731738560618</v>
      </c>
      <c r="G51" s="15">
        <f>(Sheet1[[#This Row],[X (€ =&gt; PLN)]]-D50)/D50</f>
        <v>-0.26325803228927419</v>
      </c>
      <c r="H51" s="15">
        <f t="shared" si="1"/>
        <v>2243.5472778669769</v>
      </c>
      <c r="I51" s="3"/>
      <c r="J51" s="3"/>
      <c r="K51" s="3"/>
      <c r="L51" s="3"/>
      <c r="M51" s="3"/>
    </row>
    <row r="52" spans="1:13" x14ac:dyDescent="0.2">
      <c r="A52" s="3">
        <v>50</v>
      </c>
      <c r="B52" s="15">
        <v>7112.01425932457</v>
      </c>
      <c r="C52" s="33">
        <v>8822.7298809996919</v>
      </c>
      <c r="D52" s="16">
        <v>0.235705558918583</v>
      </c>
      <c r="E52" s="18">
        <f>(Sheet1[[#This Row],[A]]-B51)/B51</f>
        <v>-7.9103399478227768E-2</v>
      </c>
      <c r="F52" s="18">
        <f>(Sheet1[[#This Row],[P]]-C51)/C51</f>
        <v>-0.32223468031020414</v>
      </c>
      <c r="G52" s="15">
        <f>(Sheet1[[#This Row],[X (€ =&gt; PLN)]]-D51)/D51</f>
        <v>0.3675973149973491</v>
      </c>
      <c r="H52" s="15">
        <f t="shared" si="1"/>
        <v>2079.5664777887155</v>
      </c>
      <c r="I52" s="3"/>
      <c r="J52" s="3"/>
      <c r="K52" s="3"/>
      <c r="L52" s="3"/>
      <c r="M52" s="3"/>
    </row>
    <row r="53" spans="1:13" x14ac:dyDescent="0.2">
      <c r="A53" s="3">
        <v>51</v>
      </c>
      <c r="B53" s="15">
        <v>6989.833689668254</v>
      </c>
      <c r="C53" s="33">
        <v>8705.6256040935859</v>
      </c>
      <c r="D53" s="16">
        <v>0.20908860199458379</v>
      </c>
      <c r="E53" s="18">
        <f>(Sheet1[[#This Row],[A]]-B52)/B52</f>
        <v>-1.7179460726773003E-2</v>
      </c>
      <c r="F53" s="18">
        <f>(Sheet1[[#This Row],[P]]-C52)/C52</f>
        <v>-1.3273020764049168E-2</v>
      </c>
      <c r="G53" s="15">
        <f>(Sheet1[[#This Row],[X (€ =&gt; PLN)]]-D52)/D52</f>
        <v>-0.11292460409554105</v>
      </c>
      <c r="H53" s="15">
        <f t="shared" si="1"/>
        <v>1820.2470870481818</v>
      </c>
      <c r="I53" s="3"/>
      <c r="J53" s="3"/>
      <c r="K53" s="3"/>
      <c r="L53" s="3"/>
      <c r="M53" s="3"/>
    </row>
    <row r="54" spans="1:13" x14ac:dyDescent="0.2">
      <c r="A54" s="3">
        <v>52</v>
      </c>
      <c r="B54" s="15">
        <v>8392.9712963142174</v>
      </c>
      <c r="C54" s="33">
        <v>10896.13163888079</v>
      </c>
      <c r="D54" s="16">
        <v>0.22439442071120941</v>
      </c>
      <c r="E54" s="18">
        <f>(Sheet1[[#This Row],[A]]-B53)/B53</f>
        <v>0.20073976992041395</v>
      </c>
      <c r="F54" s="18">
        <f>(Sheet1[[#This Row],[P]]-C53)/C53</f>
        <v>0.25161960029123898</v>
      </c>
      <c r="G54" s="15">
        <f>(Sheet1[[#This Row],[X (€ =&gt; PLN)]]-D53)/D53</f>
        <v>7.3202549400670336E-2</v>
      </c>
      <c r="H54" s="15">
        <f t="shared" si="1"/>
        <v>2445.0311470997358</v>
      </c>
      <c r="I54" s="3"/>
      <c r="J54" s="3"/>
      <c r="K54" s="3"/>
      <c r="L54" s="3"/>
      <c r="M54" s="3"/>
    </row>
    <row r="55" spans="1:13" x14ac:dyDescent="0.2">
      <c r="A55" s="3">
        <v>53</v>
      </c>
      <c r="B55" s="15">
        <v>6816.3165372050908</v>
      </c>
      <c r="C55" s="33">
        <v>7691.4223215444563</v>
      </c>
      <c r="D55" s="16">
        <v>0.21217792851211409</v>
      </c>
      <c r="E55" s="18">
        <f>(Sheet1[[#This Row],[A]]-B54)/B54</f>
        <v>-0.18785418220142328</v>
      </c>
      <c r="F55" s="18">
        <f>(Sheet1[[#This Row],[P]]-C54)/C54</f>
        <v>-0.29411440899822955</v>
      </c>
      <c r="G55" s="15">
        <f>(Sheet1[[#This Row],[X (€ =&gt; PLN)]]-D54)/D54</f>
        <v>-5.4442049674745127E-2</v>
      </c>
      <c r="H55" s="15">
        <f t="shared" si="1"/>
        <v>1631.9500554971382</v>
      </c>
      <c r="I55" s="3"/>
      <c r="J55" s="3"/>
      <c r="K55" s="3"/>
      <c r="L55" s="3"/>
      <c r="M55" s="3"/>
    </row>
    <row r="56" spans="1:13" x14ac:dyDescent="0.2">
      <c r="A56" s="3">
        <v>54</v>
      </c>
      <c r="B56" s="15">
        <v>6792.6092016109242</v>
      </c>
      <c r="C56" s="33">
        <v>10277.31038252757</v>
      </c>
      <c r="D56" s="16">
        <v>0.17423133251719181</v>
      </c>
      <c r="E56" s="18">
        <f>(Sheet1[[#This Row],[A]]-B55)/B55</f>
        <v>-3.4780273868982251E-3</v>
      </c>
      <c r="F56" s="18">
        <f>(Sheet1[[#This Row],[P]]-C55)/C55</f>
        <v>0.336204144419398</v>
      </c>
      <c r="G56" s="15">
        <f>(Sheet1[[#This Row],[X (€ =&gt; PLN)]]-D55)/D55</f>
        <v>-0.17884327677728157</v>
      </c>
      <c r="H56" s="15">
        <f t="shared" si="1"/>
        <v>1790.6294826405488</v>
      </c>
      <c r="I56" s="3"/>
      <c r="J56" s="3"/>
      <c r="K56" s="3"/>
      <c r="L56" s="3"/>
      <c r="M56" s="3"/>
    </row>
    <row r="57" spans="1:13" x14ac:dyDescent="0.2">
      <c r="A57" s="3">
        <v>55</v>
      </c>
      <c r="B57" s="15">
        <v>8238.5703481193505</v>
      </c>
      <c r="C57" s="33">
        <v>12439.664753100191</v>
      </c>
      <c r="D57" s="16">
        <v>0.19853363468841259</v>
      </c>
      <c r="E57" s="18">
        <f>(Sheet1[[#This Row],[A]]-B56)/B56</f>
        <v>0.21287271261910731</v>
      </c>
      <c r="F57" s="18">
        <f>(Sheet1[[#This Row],[P]]-C56)/C56</f>
        <v>0.2104008043046782</v>
      </c>
      <c r="G57" s="15">
        <f>(Sheet1[[#This Row],[X (€ =&gt; PLN)]]-D56)/D56</f>
        <v>0.13948296107316302</v>
      </c>
      <c r="H57" s="15">
        <f t="shared" si="1"/>
        <v>2469.6918577383153</v>
      </c>
      <c r="I57" s="3"/>
      <c r="J57" s="3"/>
      <c r="K57" s="3"/>
      <c r="L57" s="3"/>
      <c r="M57" s="3"/>
    </row>
    <row r="58" spans="1:13" x14ac:dyDescent="0.2">
      <c r="A58" s="3">
        <v>56</v>
      </c>
      <c r="B58" s="15">
        <v>8859.0737141512891</v>
      </c>
      <c r="C58" s="33">
        <v>12505.85266561065</v>
      </c>
      <c r="D58" s="16">
        <v>0.24971102202438381</v>
      </c>
      <c r="E58" s="18">
        <f>(Sheet1[[#This Row],[A]]-B57)/B57</f>
        <v>7.5316874143531873E-2</v>
      </c>
      <c r="F58" s="18">
        <f>(Sheet1[[#This Row],[P]]-C57)/C57</f>
        <v>5.3207151337389168E-3</v>
      </c>
      <c r="G58" s="15">
        <f>(Sheet1[[#This Row],[X (€ =&gt; PLN)]]-D57)/D57</f>
        <v>0.2577769122914173</v>
      </c>
      <c r="H58" s="15">
        <f t="shared" si="1"/>
        <v>3122.8492504159999</v>
      </c>
      <c r="I58" s="3"/>
      <c r="J58" s="3"/>
      <c r="K58" s="3"/>
      <c r="L58" s="3"/>
      <c r="M58" s="3"/>
    </row>
    <row r="59" spans="1:13" x14ac:dyDescent="0.2">
      <c r="A59" s="3">
        <v>57</v>
      </c>
      <c r="B59" s="15">
        <v>6655.7629221006164</v>
      </c>
      <c r="C59" s="33">
        <v>8657.2992719610611</v>
      </c>
      <c r="D59" s="16">
        <v>0.19816159242878131</v>
      </c>
      <c r="E59" s="18">
        <f>(Sheet1[[#This Row],[A]]-B58)/B58</f>
        <v>-0.24870667782469771</v>
      </c>
      <c r="F59" s="18">
        <f>(Sheet1[[#This Row],[P]]-C58)/C58</f>
        <v>-0.30774018346086657</v>
      </c>
      <c r="G59" s="15">
        <f>(Sheet1[[#This Row],[X (€ =&gt; PLN)]]-D58)/D58</f>
        <v>-0.20643634060561727</v>
      </c>
      <c r="H59" s="15">
        <f t="shared" si="1"/>
        <v>1715.544209864333</v>
      </c>
      <c r="I59" s="3"/>
      <c r="J59" s="3"/>
      <c r="K59" s="3"/>
      <c r="L59" s="3"/>
      <c r="M59" s="3"/>
    </row>
    <row r="60" spans="1:13" x14ac:dyDescent="0.2">
      <c r="A60" s="3">
        <v>58</v>
      </c>
      <c r="B60" s="15">
        <v>8305.6442251579901</v>
      </c>
      <c r="C60" s="33">
        <v>14600.538695044759</v>
      </c>
      <c r="D60" s="16">
        <v>0.21231116390431221</v>
      </c>
      <c r="E60" s="18">
        <f>(Sheet1[[#This Row],[A]]-B59)/B59</f>
        <v>0.24788763096998306</v>
      </c>
      <c r="F60" s="18">
        <f>(Sheet1[[#This Row],[P]]-C59)/C59</f>
        <v>0.68650040115078859</v>
      </c>
      <c r="G60" s="15">
        <f>(Sheet1[[#This Row],[X (€ =&gt; PLN)]]-D59)/D59</f>
        <v>7.140420755659907E-2</v>
      </c>
      <c r="H60" s="15">
        <f t="shared" si="1"/>
        <v>3099.8573639749006</v>
      </c>
      <c r="I60" s="3"/>
      <c r="J60" s="3"/>
      <c r="K60" s="3"/>
      <c r="L60" s="3"/>
      <c r="M60" s="3"/>
    </row>
    <row r="61" spans="1:13" x14ac:dyDescent="0.2">
      <c r="A61" s="3">
        <v>59</v>
      </c>
      <c r="B61" s="15">
        <v>7286.6503891882448</v>
      </c>
      <c r="C61" s="33">
        <v>9497.4912217169949</v>
      </c>
      <c r="D61" s="16">
        <v>0.20281557612880649</v>
      </c>
      <c r="E61" s="18">
        <f>(Sheet1[[#This Row],[A]]-B60)/B60</f>
        <v>-0.12268691125526292</v>
      </c>
      <c r="F61" s="18">
        <f>(Sheet1[[#This Row],[P]]-C60)/C60</f>
        <v>-0.3495109036668404</v>
      </c>
      <c r="G61" s="15">
        <f>(Sheet1[[#This Row],[X (€ =&gt; PLN)]]-D60)/D60</f>
        <v>-4.4724863266188575E-2</v>
      </c>
      <c r="H61" s="15">
        <f t="shared" si="1"/>
        <v>1926.2391539108146</v>
      </c>
      <c r="I61" s="3"/>
      <c r="J61" s="3"/>
      <c r="K61" s="3"/>
      <c r="L61" s="3"/>
      <c r="M61" s="3"/>
    </row>
    <row r="62" spans="1:13" x14ac:dyDescent="0.2">
      <c r="A62" s="3">
        <v>60</v>
      </c>
      <c r="B62" s="15">
        <v>7688.6339891694624</v>
      </c>
      <c r="C62" s="33">
        <v>10070.992930925329</v>
      </c>
      <c r="D62" s="16">
        <v>0.23600653883231321</v>
      </c>
      <c r="E62" s="18">
        <f>(Sheet1[[#This Row],[A]]-B61)/B61</f>
        <v>5.5167131467933624E-2</v>
      </c>
      <c r="F62" s="18">
        <f>(Sheet1[[#This Row],[P]]-C61)/C61</f>
        <v>6.0384547436797151E-2</v>
      </c>
      <c r="G62" s="15">
        <f>(Sheet1[[#This Row],[X (€ =&gt; PLN)]]-D61)/D61</f>
        <v>0.16365095490706991</v>
      </c>
      <c r="H62" s="15">
        <f t="shared" si="1"/>
        <v>2376.8201842323806</v>
      </c>
      <c r="I62" s="3"/>
      <c r="J62" s="3"/>
      <c r="K62" s="3"/>
      <c r="L62" s="3"/>
      <c r="M62" s="3"/>
    </row>
    <row r="63" spans="1:13" x14ac:dyDescent="0.2">
      <c r="A63" s="3">
        <v>61</v>
      </c>
      <c r="B63" s="15">
        <v>8045.3264883766897</v>
      </c>
      <c r="C63" s="33">
        <v>11922.421485663621</v>
      </c>
      <c r="D63" s="16">
        <v>0.2066903285724388</v>
      </c>
      <c r="E63" s="18">
        <f>(Sheet1[[#This Row],[A]]-B62)/B62</f>
        <v>4.6392180940031676E-2</v>
      </c>
      <c r="F63" s="18">
        <f>(Sheet1[[#This Row],[P]]-C62)/C62</f>
        <v>0.18383773749389187</v>
      </c>
      <c r="G63" s="15">
        <f>(Sheet1[[#This Row],[X (€ =&gt; PLN)]]-D62)/D62</f>
        <v>-0.12421778822282586</v>
      </c>
      <c r="H63" s="15">
        <f t="shared" si="1"/>
        <v>2464.2492142509177</v>
      </c>
      <c r="I63" s="3"/>
      <c r="J63" s="3"/>
      <c r="K63" s="3"/>
      <c r="L63" s="3"/>
      <c r="M63" s="3"/>
    </row>
    <row r="64" spans="1:13" x14ac:dyDescent="0.2">
      <c r="A64" s="3">
        <v>62</v>
      </c>
      <c r="B64" s="15">
        <v>7167.4368065115514</v>
      </c>
      <c r="C64" s="33">
        <v>10929.870186519311</v>
      </c>
      <c r="D64" s="16">
        <v>0.16576557677177001</v>
      </c>
      <c r="E64" s="18">
        <f>(Sheet1[[#This Row],[A]]-B63)/B63</f>
        <v>-0.10911796844210739</v>
      </c>
      <c r="F64" s="18">
        <f>(Sheet1[[#This Row],[P]]-C63)/C63</f>
        <v>-8.3250814470686635E-2</v>
      </c>
      <c r="G64" s="15">
        <f>(Sheet1[[#This Row],[X (€ =&gt; PLN)]]-D63)/D63</f>
        <v>-0.19800032291460548</v>
      </c>
      <c r="H64" s="15">
        <f t="shared" si="1"/>
        <v>1811.7962355089469</v>
      </c>
      <c r="I64" s="3"/>
      <c r="J64" s="3"/>
      <c r="K64" s="3"/>
      <c r="L64" s="3"/>
      <c r="M64" s="3"/>
    </row>
    <row r="65" spans="1:13" x14ac:dyDescent="0.2">
      <c r="A65" s="3">
        <v>63</v>
      </c>
      <c r="B65" s="15">
        <v>6491.8360560965612</v>
      </c>
      <c r="C65" s="33">
        <v>9564.7790638041442</v>
      </c>
      <c r="D65" s="16">
        <v>0.18076853142511881</v>
      </c>
      <c r="E65" s="18">
        <f>(Sheet1[[#This Row],[A]]-B64)/B64</f>
        <v>-9.4259742869475055E-2</v>
      </c>
      <c r="F65" s="18">
        <f>(Sheet1[[#This Row],[P]]-C64)/C64</f>
        <v>-0.12489545616002314</v>
      </c>
      <c r="G65" s="15">
        <f>(Sheet1[[#This Row],[X (€ =&gt; PLN)]]-D64)/D64</f>
        <v>9.0507057891791545E-2</v>
      </c>
      <c r="H65" s="15">
        <f t="shared" si="1"/>
        <v>1729.0110647695979</v>
      </c>
      <c r="I65" s="3"/>
      <c r="J65" s="3"/>
      <c r="K65" s="3"/>
      <c r="L65" s="3"/>
      <c r="M65" s="3"/>
    </row>
    <row r="66" spans="1:13" x14ac:dyDescent="0.2">
      <c r="A66" s="3">
        <v>64</v>
      </c>
      <c r="B66" s="15">
        <v>5640.9224088902183</v>
      </c>
      <c r="C66" s="33">
        <v>6970.776442653173</v>
      </c>
      <c r="D66" s="16">
        <v>0.20889059588220221</v>
      </c>
      <c r="E66" s="18">
        <f>(Sheet1[[#This Row],[A]]-B65)/B65</f>
        <v>-0.13107442021848958</v>
      </c>
      <c r="F66" s="18">
        <f>(Sheet1[[#This Row],[P]]-C65)/C65</f>
        <v>-0.27120361106587587</v>
      </c>
      <c r="G66" s="15">
        <f>(Sheet1[[#This Row],[X (€ =&gt; PLN)]]-D65)/D65</f>
        <v>0.15556946906288624</v>
      </c>
      <c r="H66" s="15">
        <f t="shared" si="1"/>
        <v>1456.1296448674391</v>
      </c>
      <c r="I66" s="3"/>
      <c r="J66" s="3"/>
      <c r="K66" s="3"/>
      <c r="L66" s="3"/>
      <c r="M66" s="3"/>
    </row>
    <row r="67" spans="1:13" x14ac:dyDescent="0.2">
      <c r="A67" s="3">
        <v>65</v>
      </c>
      <c r="B67" s="15">
        <v>7939.0665550623053</v>
      </c>
      <c r="C67" s="33">
        <v>13241.29197717514</v>
      </c>
      <c r="D67" s="16">
        <v>0.185644008621771</v>
      </c>
      <c r="E67" s="18">
        <f>(Sheet1[[#This Row],[A]]-B66)/B66</f>
        <v>0.40740573608141833</v>
      </c>
      <c r="F67" s="18">
        <f>(Sheet1[[#This Row],[P]]-C66)/C66</f>
        <v>0.89954334156430404</v>
      </c>
      <c r="G67" s="15">
        <f>(Sheet1[[#This Row],[X (€ =&gt; PLN)]]-D66)/D66</f>
        <v>-0.1112859445024536</v>
      </c>
      <c r="H67" s="15">
        <f t="shared" ref="H67:H102" si="2">C67*D67</f>
        <v>2458.1665219740889</v>
      </c>
      <c r="I67" s="3"/>
      <c r="J67" s="3"/>
      <c r="K67" s="3"/>
      <c r="L67" s="3"/>
      <c r="M67" s="3"/>
    </row>
    <row r="68" spans="1:13" x14ac:dyDescent="0.2">
      <c r="A68" s="3">
        <v>66</v>
      </c>
      <c r="B68" s="15">
        <v>6608.677826716641</v>
      </c>
      <c r="C68" s="33">
        <v>8361.4418013037321</v>
      </c>
      <c r="D68" s="16">
        <v>0.22338533822742521</v>
      </c>
      <c r="E68" s="18">
        <f>(Sheet1[[#This Row],[A]]-B67)/B67</f>
        <v>-0.16757495596221558</v>
      </c>
      <c r="F68" s="18">
        <f>(Sheet1[[#This Row],[P]]-C67)/C67</f>
        <v>-0.36853278247191568</v>
      </c>
      <c r="G68" s="15">
        <f>(Sheet1[[#This Row],[X (€ =&gt; PLN)]]-D67)/D67</f>
        <v>0.20329947562459702</v>
      </c>
      <c r="H68" s="15">
        <f t="shared" si="2"/>
        <v>1867.8235048531656</v>
      </c>
      <c r="I68" s="3"/>
      <c r="J68" s="3"/>
      <c r="K68" s="3"/>
      <c r="L68" s="3"/>
      <c r="M68" s="3"/>
    </row>
    <row r="69" spans="1:13" x14ac:dyDescent="0.2">
      <c r="A69" s="3">
        <v>67</v>
      </c>
      <c r="B69" s="15">
        <v>7238.8193627412402</v>
      </c>
      <c r="C69" s="33">
        <v>10552.00442132392</v>
      </c>
      <c r="D69" s="16">
        <v>0.20713106547358559</v>
      </c>
      <c r="E69" s="18">
        <f>(Sheet1[[#This Row],[A]]-B68)/B68</f>
        <v>9.5350621190391657E-2</v>
      </c>
      <c r="F69" s="18">
        <f>(Sheet1[[#This Row],[P]]-C68)/C68</f>
        <v>0.26198383868182051</v>
      </c>
      <c r="G69" s="15">
        <f>(Sheet1[[#This Row],[X (€ =&gt; PLN)]]-D68)/D68</f>
        <v>-7.2763382247098912E-2</v>
      </c>
      <c r="H69" s="15">
        <f t="shared" si="2"/>
        <v>2185.6479186708093</v>
      </c>
      <c r="I69" s="3"/>
      <c r="J69" s="3"/>
      <c r="K69" s="3"/>
      <c r="L69" s="3"/>
      <c r="M69" s="3"/>
    </row>
    <row r="70" spans="1:13" x14ac:dyDescent="0.2">
      <c r="A70" s="3">
        <v>68</v>
      </c>
      <c r="B70" s="15">
        <v>7754.2503171732906</v>
      </c>
      <c r="C70" s="33">
        <v>11779.663020497381</v>
      </c>
      <c r="D70" s="16">
        <v>0.19155575931455099</v>
      </c>
      <c r="E70" s="18">
        <f>(Sheet1[[#This Row],[A]]-B69)/B69</f>
        <v>7.1203732073356202E-2</v>
      </c>
      <c r="F70" s="18">
        <f>(Sheet1[[#This Row],[P]]-C69)/C69</f>
        <v>0.11634363957359216</v>
      </c>
      <c r="G70" s="15">
        <f>(Sheet1[[#This Row],[X (€ =&gt; PLN)]]-D69)/D69</f>
        <v>-7.5195413703024877E-2</v>
      </c>
      <c r="H70" s="15">
        <f t="shared" si="2"/>
        <v>2256.4622943609129</v>
      </c>
      <c r="I70" s="3"/>
      <c r="J70" s="3"/>
      <c r="K70" s="3"/>
      <c r="L70" s="3"/>
      <c r="M70" s="3"/>
    </row>
    <row r="71" spans="1:13" x14ac:dyDescent="0.2">
      <c r="A71" s="3">
        <v>69</v>
      </c>
      <c r="B71" s="15">
        <v>6677.0575465213587</v>
      </c>
      <c r="C71" s="33">
        <v>10393.98809867722</v>
      </c>
      <c r="D71" s="16">
        <v>0.1769097213605601</v>
      </c>
      <c r="E71" s="18">
        <f>(Sheet1[[#This Row],[A]]-B70)/B70</f>
        <v>-0.13891642990506506</v>
      </c>
      <c r="F71" s="18">
        <f>(Sheet1[[#This Row],[P]]-C70)/C70</f>
        <v>-0.11763281508214588</v>
      </c>
      <c r="G71" s="15">
        <f>(Sheet1[[#This Row],[X (€ =&gt; PLN)]]-D70)/D70</f>
        <v>-7.6458353465326173E-2</v>
      </c>
      <c r="H71" s="15">
        <f t="shared" si="2"/>
        <v>1838.7975383619651</v>
      </c>
      <c r="I71" s="3"/>
      <c r="J71" s="3"/>
      <c r="K71" s="3"/>
      <c r="L71" s="3"/>
      <c r="M71" s="3"/>
    </row>
    <row r="72" spans="1:13" x14ac:dyDescent="0.2">
      <c r="A72" s="3">
        <v>70</v>
      </c>
      <c r="B72" s="15">
        <v>8019.5420882548478</v>
      </c>
      <c r="C72" s="33">
        <v>12194.580098823541</v>
      </c>
      <c r="D72" s="16">
        <v>0.22489921985928291</v>
      </c>
      <c r="E72" s="18">
        <f>(Sheet1[[#This Row],[A]]-B71)/B71</f>
        <v>0.2010593037996059</v>
      </c>
      <c r="F72" s="18">
        <f>(Sheet1[[#This Row],[P]]-C71)/C71</f>
        <v>0.17323398709446958</v>
      </c>
      <c r="G72" s="15">
        <f>(Sheet1[[#This Row],[X (€ =&gt; PLN)]]-D71)/D71</f>
        <v>0.27126546879193425</v>
      </c>
      <c r="H72" s="15">
        <f t="shared" si="2"/>
        <v>2742.5515507369514</v>
      </c>
      <c r="I72" s="3"/>
      <c r="J72" s="3"/>
      <c r="K72" s="3"/>
      <c r="L72" s="3"/>
      <c r="M72" s="3"/>
    </row>
    <row r="73" spans="1:13" x14ac:dyDescent="0.2">
      <c r="A73" s="3">
        <v>71</v>
      </c>
      <c r="B73" s="15">
        <v>6241.8197630312798</v>
      </c>
      <c r="C73" s="33">
        <v>8035.6688188331809</v>
      </c>
      <c r="D73" s="16">
        <v>0.17867764670524619</v>
      </c>
      <c r="E73" s="18">
        <f>(Sheet1[[#This Row],[A]]-B72)/B72</f>
        <v>-0.22167379454584576</v>
      </c>
      <c r="F73" s="18">
        <f>(Sheet1[[#This Row],[P]]-C72)/C72</f>
        <v>-0.34104587827436439</v>
      </c>
      <c r="G73" s="15">
        <f>(Sheet1[[#This Row],[X (€ =&gt; PLN)]]-D72)/D72</f>
        <v>-0.20552126940661275</v>
      </c>
      <c r="H73" s="15">
        <f t="shared" si="2"/>
        <v>1435.794394251838</v>
      </c>
      <c r="I73" s="3"/>
      <c r="J73" s="3"/>
      <c r="K73" s="3"/>
      <c r="L73" s="3"/>
      <c r="M73" s="3"/>
    </row>
    <row r="74" spans="1:13" x14ac:dyDescent="0.2">
      <c r="A74" s="3">
        <v>72</v>
      </c>
      <c r="B74" s="15">
        <v>6953.3662969990437</v>
      </c>
      <c r="C74" s="33">
        <v>7641.8576175667886</v>
      </c>
      <c r="D74" s="16">
        <v>0.2089159347414106</v>
      </c>
      <c r="E74" s="18">
        <f>(Sheet1[[#This Row],[A]]-B73)/B73</f>
        <v>0.11399664857067392</v>
      </c>
      <c r="F74" s="18">
        <f>(Sheet1[[#This Row],[P]]-C73)/C73</f>
        <v>-4.9007893449194651E-2</v>
      </c>
      <c r="G74" s="15">
        <f>(Sheet1[[#This Row],[X (€ =&gt; PLN)]]-D73)/D73</f>
        <v>0.16923374912166098</v>
      </c>
      <c r="H74" s="15">
        <f t="shared" si="2"/>
        <v>1596.5058273347347</v>
      </c>
      <c r="I74" s="3"/>
      <c r="J74" s="3"/>
      <c r="K74" s="3"/>
      <c r="L74" s="3"/>
      <c r="M74" s="3"/>
    </row>
    <row r="75" spans="1:13" x14ac:dyDescent="0.2">
      <c r="A75" s="3">
        <v>73</v>
      </c>
      <c r="B75" s="15">
        <v>6246.736813741295</v>
      </c>
      <c r="C75" s="33">
        <v>7446.7885057943358</v>
      </c>
      <c r="D75" s="16">
        <v>0.2100535757276869</v>
      </c>
      <c r="E75" s="18">
        <f>(Sheet1[[#This Row],[A]]-B74)/B74</f>
        <v>-0.10162408437517784</v>
      </c>
      <c r="F75" s="18">
        <f>(Sheet1[[#This Row],[P]]-C74)/C74</f>
        <v>-2.5526399670681627E-2</v>
      </c>
      <c r="G75" s="15">
        <f>(Sheet1[[#This Row],[X (€ =&gt; PLN)]]-D74)/D74</f>
        <v>5.445448609195087E-3</v>
      </c>
      <c r="H75" s="15">
        <f t="shared" si="2"/>
        <v>1564.224553329939</v>
      </c>
      <c r="I75" s="3"/>
      <c r="J75" s="3"/>
      <c r="K75" s="3"/>
      <c r="L75" s="3"/>
      <c r="M75" s="3"/>
    </row>
    <row r="76" spans="1:13" x14ac:dyDescent="0.2">
      <c r="A76" s="3">
        <v>74</v>
      </c>
      <c r="B76" s="15">
        <v>6562.7913396196163</v>
      </c>
      <c r="C76" s="33">
        <v>6573.314461450801</v>
      </c>
      <c r="D76" s="16">
        <v>0.22453163029022141</v>
      </c>
      <c r="E76" s="18">
        <f>(Sheet1[[#This Row],[A]]-B75)/B75</f>
        <v>5.0595140359215807E-2</v>
      </c>
      <c r="F76" s="18">
        <f>(Sheet1[[#This Row],[P]]-C75)/C75</f>
        <v>-0.11729540105293522</v>
      </c>
      <c r="G76" s="15">
        <f>(Sheet1[[#This Row],[X (€ =&gt; PLN)]]-D75)/D75</f>
        <v>6.8925532509400533E-2</v>
      </c>
      <c r="H76" s="15">
        <f t="shared" si="2"/>
        <v>1475.9170124398372</v>
      </c>
      <c r="I76" s="3"/>
      <c r="J76" s="3"/>
      <c r="K76" s="3"/>
      <c r="L76" s="3"/>
      <c r="M76" s="3"/>
    </row>
    <row r="77" spans="1:13" x14ac:dyDescent="0.2">
      <c r="A77" s="3">
        <v>75</v>
      </c>
      <c r="B77" s="15">
        <v>6863.8893771482608</v>
      </c>
      <c r="C77" s="33">
        <v>9189.6038925163029</v>
      </c>
      <c r="D77" s="16">
        <v>0.2067977082576842</v>
      </c>
      <c r="E77" s="18">
        <f>(Sheet1[[#This Row],[A]]-B76)/B76</f>
        <v>4.5879568913141204E-2</v>
      </c>
      <c r="F77" s="18">
        <f>(Sheet1[[#This Row],[P]]-C76)/C76</f>
        <v>0.3980167762258644</v>
      </c>
      <c r="G77" s="15">
        <f>(Sheet1[[#This Row],[X (€ =&gt; PLN)]]-D76)/D76</f>
        <v>-7.8981843269097476E-2</v>
      </c>
      <c r="H77" s="15">
        <f t="shared" si="2"/>
        <v>1900.3890247682655</v>
      </c>
      <c r="I77" s="3"/>
      <c r="J77" s="3"/>
      <c r="K77" s="3"/>
      <c r="L77" s="3"/>
      <c r="M77" s="3"/>
    </row>
    <row r="78" spans="1:13" x14ac:dyDescent="0.2">
      <c r="A78" s="3">
        <v>76</v>
      </c>
      <c r="B78" s="15">
        <v>7127.4280772432694</v>
      </c>
      <c r="C78" s="33">
        <v>12305.67613430663</v>
      </c>
      <c r="D78" s="16">
        <v>0.18226595452966551</v>
      </c>
      <c r="E78" s="18">
        <f>(Sheet1[[#This Row],[A]]-B77)/B77</f>
        <v>3.839495155216225E-2</v>
      </c>
      <c r="F78" s="18">
        <f>(Sheet1[[#This Row],[P]]-C77)/C77</f>
        <v>0.33908667644836671</v>
      </c>
      <c r="G78" s="15">
        <f>(Sheet1[[#This Row],[X (€ =&gt; PLN)]]-D77)/D77</f>
        <v>-0.11862681619977351</v>
      </c>
      <c r="H78" s="15">
        <f t="shared" si="2"/>
        <v>2242.9058067523224</v>
      </c>
      <c r="I78" s="3"/>
      <c r="J78" s="3"/>
      <c r="K78" s="3"/>
      <c r="L78" s="3"/>
      <c r="M78" s="3"/>
    </row>
    <row r="79" spans="1:13" x14ac:dyDescent="0.2">
      <c r="A79" s="3">
        <v>77</v>
      </c>
      <c r="B79" s="15">
        <v>7170.8702178488684</v>
      </c>
      <c r="C79" s="33">
        <v>7856.8556480942416</v>
      </c>
      <c r="D79" s="16">
        <v>0.25230483143695831</v>
      </c>
      <c r="E79" s="18">
        <f>(Sheet1[[#This Row],[A]]-B78)/B78</f>
        <v>6.0950654478440468E-3</v>
      </c>
      <c r="F79" s="18">
        <f>(Sheet1[[#This Row],[P]]-C78)/C78</f>
        <v>-0.36152588753816245</v>
      </c>
      <c r="G79" s="15">
        <f>(Sheet1[[#This Row],[X (€ =&gt; PLN)]]-D78)/D78</f>
        <v>0.3842674683158851</v>
      </c>
      <c r="H79" s="15">
        <f t="shared" si="2"/>
        <v>1982.3226399169314</v>
      </c>
      <c r="I79" s="3"/>
      <c r="J79" s="3"/>
      <c r="K79" s="3"/>
      <c r="L79" s="3"/>
      <c r="M79" s="3"/>
    </row>
    <row r="80" spans="1:13" x14ac:dyDescent="0.2">
      <c r="A80" s="3">
        <v>78</v>
      </c>
      <c r="B80" s="15">
        <v>8886.1030352210746</v>
      </c>
      <c r="C80" s="33">
        <v>13245.842058601371</v>
      </c>
      <c r="D80" s="16">
        <v>0.25265361147328991</v>
      </c>
      <c r="E80" s="18">
        <f>(Sheet1[[#This Row],[A]]-B79)/B79</f>
        <v>0.2391945140915889</v>
      </c>
      <c r="F80" s="18">
        <f>(Sheet1[[#This Row],[P]]-C79)/C79</f>
        <v>0.68589606986279317</v>
      </c>
      <c r="G80" s="15">
        <f>(Sheet1[[#This Row],[X (€ =&gt; PLN)]]-D79)/D79</f>
        <v>1.3823755745983194E-3</v>
      </c>
      <c r="H80" s="15">
        <f t="shared" si="2"/>
        <v>3346.6098331104331</v>
      </c>
      <c r="I80" s="3"/>
      <c r="J80" s="3"/>
      <c r="K80" s="3"/>
      <c r="L80" s="3"/>
      <c r="M80" s="3"/>
    </row>
    <row r="81" spans="1:13" x14ac:dyDescent="0.2">
      <c r="A81" s="3">
        <v>79</v>
      </c>
      <c r="B81" s="15">
        <v>8146.565767700351</v>
      </c>
      <c r="C81" s="33">
        <v>10632.73900887522</v>
      </c>
      <c r="D81" s="16">
        <v>0.23308123208305409</v>
      </c>
      <c r="E81" s="18">
        <f>(Sheet1[[#This Row],[A]]-B80)/B80</f>
        <v>-8.3224025716276753E-2</v>
      </c>
      <c r="F81" s="18">
        <f>(Sheet1[[#This Row],[P]]-C80)/C80</f>
        <v>-0.19727723146368759</v>
      </c>
      <c r="G81" s="15">
        <f>(Sheet1[[#This Row],[X (€ =&gt; PLN)]]-D80)/D80</f>
        <v>-7.746724567325243E-2</v>
      </c>
      <c r="H81" s="15">
        <f t="shared" si="2"/>
        <v>2478.2919086061875</v>
      </c>
      <c r="I81" s="3"/>
      <c r="J81" s="3"/>
      <c r="K81" s="3"/>
      <c r="L81" s="3"/>
      <c r="M81" s="3"/>
    </row>
    <row r="82" spans="1:13" x14ac:dyDescent="0.2">
      <c r="A82" s="3">
        <v>80</v>
      </c>
      <c r="B82" s="15">
        <v>6560.0642074876132</v>
      </c>
      <c r="C82" s="33">
        <v>8474.9007102593241</v>
      </c>
      <c r="D82" s="16">
        <v>0.2149909973549062</v>
      </c>
      <c r="E82" s="18">
        <f>(Sheet1[[#This Row],[A]]-B81)/B81</f>
        <v>-0.19474482934918752</v>
      </c>
      <c r="F82" s="18">
        <f>(Sheet1[[#This Row],[P]]-C81)/C81</f>
        <v>-0.20294284443685992</v>
      </c>
      <c r="G82" s="15">
        <f>(Sheet1[[#This Row],[X (€ =&gt; PLN)]]-D81)/D81</f>
        <v>-7.7613433593408207E-2</v>
      </c>
      <c r="H82" s="15">
        <f t="shared" si="2"/>
        <v>1822.0273561824552</v>
      </c>
      <c r="I82" s="3"/>
      <c r="J82" s="3"/>
      <c r="K82" s="3"/>
      <c r="L82" s="3"/>
      <c r="M82" s="3"/>
    </row>
    <row r="83" spans="1:13" x14ac:dyDescent="0.2">
      <c r="A83" s="3">
        <v>81</v>
      </c>
      <c r="B83" s="15">
        <v>7390.2265832104604</v>
      </c>
      <c r="C83" s="33">
        <v>9723.8926257547446</v>
      </c>
      <c r="D83" s="16">
        <v>0.21307955388269781</v>
      </c>
      <c r="E83" s="18">
        <f>(Sheet1[[#This Row],[A]]-B82)/B82</f>
        <v>0.12654790402436997</v>
      </c>
      <c r="F83" s="18">
        <f>(Sheet1[[#This Row],[P]]-C82)/C82</f>
        <v>0.14737540393640819</v>
      </c>
      <c r="G83" s="15">
        <f>(Sheet1[[#This Row],[X (€ =&gt; PLN)]]-D82)/D82</f>
        <v>-8.8908070371569725E-3</v>
      </c>
      <c r="H83" s="15">
        <f t="shared" si="2"/>
        <v>2071.9627026990761</v>
      </c>
      <c r="I83" s="3"/>
      <c r="J83" s="3"/>
      <c r="K83" s="3"/>
      <c r="L83" s="3"/>
      <c r="M83" s="3"/>
    </row>
    <row r="84" spans="1:13" x14ac:dyDescent="0.2">
      <c r="A84" s="3">
        <v>82</v>
      </c>
      <c r="B84" s="15">
        <v>7105.210474339814</v>
      </c>
      <c r="C84" s="33">
        <v>10182.03387183047</v>
      </c>
      <c r="D84" s="16">
        <v>0.2365386765813709</v>
      </c>
      <c r="E84" s="18">
        <f>(Sheet1[[#This Row],[A]]-B83)/B83</f>
        <v>-3.856662656570805E-2</v>
      </c>
      <c r="F84" s="18">
        <f>(Sheet1[[#This Row],[P]]-C83)/C83</f>
        <v>4.7115004629143135E-2</v>
      </c>
      <c r="G84" s="15">
        <f>(Sheet1[[#This Row],[X (€ =&gt; PLN)]]-D83)/D83</f>
        <v>0.11009560641180779</v>
      </c>
      <c r="H84" s="15">
        <f t="shared" si="2"/>
        <v>2408.4448169494713</v>
      </c>
      <c r="I84" s="3"/>
      <c r="J84" s="3"/>
      <c r="K84" s="3"/>
      <c r="L84" s="3"/>
      <c r="M84" s="3"/>
    </row>
    <row r="85" spans="1:13" x14ac:dyDescent="0.2">
      <c r="A85" s="3">
        <v>83</v>
      </c>
      <c r="B85" s="15">
        <v>6144.6718886515528</v>
      </c>
      <c r="C85" s="33">
        <v>9169.7260485160659</v>
      </c>
      <c r="D85" s="16">
        <v>0.19227105092046179</v>
      </c>
      <c r="E85" s="18">
        <f>(Sheet1[[#This Row],[A]]-B84)/B84</f>
        <v>-0.13518791444070632</v>
      </c>
      <c r="F85" s="18">
        <f>(Sheet1[[#This Row],[P]]-C84)/C84</f>
        <v>-9.9420983671547836E-2</v>
      </c>
      <c r="G85" s="15">
        <f>(Sheet1[[#This Row],[X (€ =&gt; PLN)]]-D84)/D84</f>
        <v>-0.187147515580526</v>
      </c>
      <c r="H85" s="15">
        <f t="shared" si="2"/>
        <v>1763.0728640009174</v>
      </c>
      <c r="I85" s="3"/>
      <c r="J85" s="3"/>
      <c r="K85" s="3"/>
      <c r="L85" s="3"/>
      <c r="M85" s="3"/>
    </row>
    <row r="86" spans="1:13" x14ac:dyDescent="0.2">
      <c r="A86" s="3">
        <v>84</v>
      </c>
      <c r="B86" s="15">
        <v>6934.2241883155539</v>
      </c>
      <c r="C86" s="33">
        <v>8232.744245059981</v>
      </c>
      <c r="D86" s="16">
        <v>0.22901380077940381</v>
      </c>
      <c r="E86" s="18">
        <f>(Sheet1[[#This Row],[A]]-B85)/B85</f>
        <v>0.12849380959172227</v>
      </c>
      <c r="F86" s="18">
        <f>(Sheet1[[#This Row],[P]]-C85)/C85</f>
        <v>-0.10218209339064348</v>
      </c>
      <c r="G86" s="15">
        <f>(Sheet1[[#This Row],[X (€ =&gt; PLN)]]-D85)/D85</f>
        <v>0.19109871030008396</v>
      </c>
      <c r="H86" s="15">
        <f t="shared" si="2"/>
        <v>1885.4120504059497</v>
      </c>
      <c r="I86" s="3"/>
      <c r="J86" s="3"/>
      <c r="K86" s="3"/>
      <c r="L86" s="3"/>
      <c r="M86" s="3"/>
    </row>
    <row r="87" spans="1:13" x14ac:dyDescent="0.2">
      <c r="A87" s="3">
        <v>85</v>
      </c>
      <c r="B87" s="15">
        <v>7941.853576988764</v>
      </c>
      <c r="C87" s="33">
        <v>10665.1532414049</v>
      </c>
      <c r="D87" s="16">
        <v>0.24027406054123421</v>
      </c>
      <c r="E87" s="18">
        <f>(Sheet1[[#This Row],[A]]-B86)/B86</f>
        <v>0.14531249081492145</v>
      </c>
      <c r="F87" s="18">
        <f>(Sheet1[[#This Row],[P]]-C86)/C86</f>
        <v>0.29545543064871405</v>
      </c>
      <c r="G87" s="15">
        <f>(Sheet1[[#This Row],[X (€ =&gt; PLN)]]-D86)/D86</f>
        <v>4.9168476849466278E-2</v>
      </c>
      <c r="H87" s="15">
        <f t="shared" si="2"/>
        <v>2562.5596756068612</v>
      </c>
      <c r="I87" s="3"/>
      <c r="J87" s="3"/>
      <c r="K87" s="3"/>
      <c r="L87" s="3"/>
      <c r="M87" s="3"/>
    </row>
    <row r="88" spans="1:13" x14ac:dyDescent="0.2">
      <c r="A88" s="3">
        <v>86</v>
      </c>
      <c r="B88" s="15">
        <v>7850.2908550658494</v>
      </c>
      <c r="C88" s="33">
        <v>13009.750837917551</v>
      </c>
      <c r="D88" s="16">
        <v>0.22260142365905469</v>
      </c>
      <c r="E88" s="18">
        <f>(Sheet1[[#This Row],[A]]-B87)/B87</f>
        <v>-1.1529137503644519E-2</v>
      </c>
      <c r="F88" s="18">
        <f>(Sheet1[[#This Row],[P]]-C87)/C87</f>
        <v>0.21983721597269817</v>
      </c>
      <c r="G88" s="15">
        <f>(Sheet1[[#This Row],[X (€ =&gt; PLN)]]-D87)/D87</f>
        <v>-7.3551996592435567E-2</v>
      </c>
      <c r="H88" s="15">
        <f t="shared" si="2"/>
        <v>2895.9890579700264</v>
      </c>
      <c r="I88" s="3"/>
      <c r="J88" s="3"/>
      <c r="K88" s="3"/>
      <c r="L88" s="3"/>
      <c r="M88" s="3"/>
    </row>
    <row r="89" spans="1:13" x14ac:dyDescent="0.2">
      <c r="A89" s="3">
        <v>87</v>
      </c>
      <c r="B89" s="15">
        <v>6795.6995554511504</v>
      </c>
      <c r="C89" s="33">
        <v>9096.9957636066301</v>
      </c>
      <c r="D89" s="16">
        <v>0.17593599852995781</v>
      </c>
      <c r="E89" s="18">
        <f>(Sheet1[[#This Row],[A]]-B88)/B88</f>
        <v>-0.13433786328237299</v>
      </c>
      <c r="F89" s="18">
        <f>(Sheet1[[#This Row],[P]]-C88)/C88</f>
        <v>-0.30075557349699628</v>
      </c>
      <c r="G89" s="15">
        <f>(Sheet1[[#This Row],[X (€ =&gt; PLN)]]-D88)/D88</f>
        <v>-0.20963668768161844</v>
      </c>
      <c r="H89" s="15">
        <f t="shared" si="2"/>
        <v>1600.4890332929285</v>
      </c>
      <c r="I89" s="3"/>
      <c r="J89" s="3"/>
      <c r="K89" s="3"/>
      <c r="L89" s="3"/>
      <c r="M89" s="3"/>
    </row>
    <row r="90" spans="1:13" x14ac:dyDescent="0.2">
      <c r="A90" s="3">
        <v>88</v>
      </c>
      <c r="B90" s="15">
        <v>6341.6400654259869</v>
      </c>
      <c r="C90" s="33">
        <v>7288.1106620299761</v>
      </c>
      <c r="D90" s="16">
        <v>0.22517655942840789</v>
      </c>
      <c r="E90" s="18">
        <f>(Sheet1[[#This Row],[A]]-B89)/B89</f>
        <v>-6.6815709894199354E-2</v>
      </c>
      <c r="F90" s="18">
        <f>(Sheet1[[#This Row],[P]]-C89)/C89</f>
        <v>-0.1988442282025969</v>
      </c>
      <c r="G90" s="15">
        <f>(Sheet1[[#This Row],[X (€ =&gt; PLN)]]-D89)/D89</f>
        <v>0.27987769023896242</v>
      </c>
      <c r="H90" s="15">
        <f t="shared" si="2"/>
        <v>1641.1116836094061</v>
      </c>
      <c r="I90" s="3"/>
      <c r="J90" s="3"/>
      <c r="K90" s="3"/>
      <c r="L90" s="3"/>
      <c r="M90" s="3"/>
    </row>
    <row r="91" spans="1:13" x14ac:dyDescent="0.2">
      <c r="A91" s="3">
        <v>89</v>
      </c>
      <c r="B91" s="15">
        <v>6532.9511602410776</v>
      </c>
      <c r="C91" s="33">
        <v>8170.6191764990936</v>
      </c>
      <c r="D91" s="16">
        <v>0.2100352836576968</v>
      </c>
      <c r="E91" s="18">
        <f>(Sheet1[[#This Row],[A]]-B90)/B90</f>
        <v>3.0167447669901731E-2</v>
      </c>
      <c r="F91" s="18">
        <f>(Sheet1[[#This Row],[P]]-C90)/C90</f>
        <v>0.12108879178617056</v>
      </c>
      <c r="G91" s="15">
        <f>(Sheet1[[#This Row],[X (€ =&gt; PLN)]]-D90)/D90</f>
        <v>-6.7241793769058228E-2</v>
      </c>
      <c r="H91" s="15">
        <f t="shared" si="2"/>
        <v>1716.1183163950043</v>
      </c>
      <c r="I91" s="3"/>
      <c r="J91" s="3"/>
      <c r="K91" s="3"/>
      <c r="L91" s="3"/>
      <c r="M91" s="3"/>
    </row>
    <row r="92" spans="1:13" x14ac:dyDescent="0.2">
      <c r="A92" s="3">
        <v>90</v>
      </c>
      <c r="B92" s="15">
        <v>7064.5748356818112</v>
      </c>
      <c r="C92" s="33">
        <v>10046.027876285119</v>
      </c>
      <c r="D92" s="16">
        <v>0.22104926020162291</v>
      </c>
      <c r="E92" s="18">
        <f>(Sheet1[[#This Row],[A]]-B91)/B91</f>
        <v>8.1375730875832206E-2</v>
      </c>
      <c r="F92" s="18">
        <f>(Sheet1[[#This Row],[P]]-C91)/C91</f>
        <v>0.2295307931105402</v>
      </c>
      <c r="G92" s="15">
        <f>(Sheet1[[#This Row],[X (€ =&gt; PLN)]]-D91)/D91</f>
        <v>5.2438696737620714E-2</v>
      </c>
      <c r="H92" s="15">
        <f t="shared" si="2"/>
        <v>2220.6670300177066</v>
      </c>
      <c r="I92" s="3"/>
      <c r="J92" s="3"/>
      <c r="K92" s="3"/>
      <c r="L92" s="3"/>
      <c r="M92" s="3"/>
    </row>
    <row r="93" spans="1:13" x14ac:dyDescent="0.2">
      <c r="A93" s="3">
        <v>91</v>
      </c>
      <c r="B93" s="15">
        <v>6331.828803412026</v>
      </c>
      <c r="C93" s="33">
        <v>8427.4091617230242</v>
      </c>
      <c r="D93" s="16">
        <v>0.1943898087242962</v>
      </c>
      <c r="E93" s="18">
        <f>(Sheet1[[#This Row],[A]]-B92)/B92</f>
        <v>-0.10372117916690834</v>
      </c>
      <c r="F93" s="18">
        <f>(Sheet1[[#This Row],[P]]-C92)/C92</f>
        <v>-0.16112026907500857</v>
      </c>
      <c r="G93" s="15">
        <f>(Sheet1[[#This Row],[X (€ =&gt; PLN)]]-D92)/D92</f>
        <v>-0.12060411988264585</v>
      </c>
      <c r="H93" s="15">
        <f t="shared" si="2"/>
        <v>1638.2024549887201</v>
      </c>
      <c r="I93" s="3"/>
      <c r="J93" s="3"/>
      <c r="K93" s="3"/>
      <c r="L93" s="3"/>
      <c r="M93" s="3"/>
    </row>
    <row r="94" spans="1:13" x14ac:dyDescent="0.2">
      <c r="A94" s="3">
        <v>92</v>
      </c>
      <c r="B94" s="15">
        <v>7616.7423795517589</v>
      </c>
      <c r="C94" s="33">
        <v>9731.5994662766589</v>
      </c>
      <c r="D94" s="16">
        <v>0.21685594185535159</v>
      </c>
      <c r="E94" s="18">
        <f>(Sheet1[[#This Row],[A]]-B93)/B93</f>
        <v>0.2029292983169938</v>
      </c>
      <c r="F94" s="18">
        <f>(Sheet1[[#This Row],[P]]-C93)/C93</f>
        <v>0.15475578312694463</v>
      </c>
      <c r="G94" s="15">
        <f>(Sheet1[[#This Row],[X (€ =&gt; PLN)]]-D93)/D93</f>
        <v>0.11557258725903265</v>
      </c>
      <c r="H94" s="15">
        <f t="shared" si="2"/>
        <v>2110.3551680184619</v>
      </c>
      <c r="I94" s="3"/>
      <c r="J94" s="3"/>
      <c r="K94" s="3"/>
      <c r="L94" s="3"/>
      <c r="M94" s="3"/>
    </row>
    <row r="95" spans="1:13" x14ac:dyDescent="0.2">
      <c r="A95" s="3">
        <v>93</v>
      </c>
      <c r="B95" s="15">
        <v>6825.7263877406649</v>
      </c>
      <c r="C95" s="33">
        <v>10039.71428140655</v>
      </c>
      <c r="D95" s="16">
        <v>0.19961868332425561</v>
      </c>
      <c r="E95" s="18">
        <f>(Sheet1[[#This Row],[A]]-B94)/B94</f>
        <v>-0.10385227074696529</v>
      </c>
      <c r="F95" s="18">
        <f>(Sheet1[[#This Row],[P]]-C94)/C94</f>
        <v>3.1661271736225384E-2</v>
      </c>
      <c r="G95" s="15">
        <f>(Sheet1[[#This Row],[X (€ =&gt; PLN)]]-D94)/D94</f>
        <v>-7.9487139635738766E-2</v>
      </c>
      <c r="H95" s="15">
        <f t="shared" si="2"/>
        <v>2004.1145458061005</v>
      </c>
      <c r="I95" s="3"/>
      <c r="J95" s="3"/>
      <c r="K95" s="3"/>
      <c r="L95" s="3"/>
      <c r="M95" s="3"/>
    </row>
    <row r="96" spans="1:13" x14ac:dyDescent="0.2">
      <c r="A96" s="3">
        <v>94</v>
      </c>
      <c r="B96" s="15">
        <v>6518.7349153372306</v>
      </c>
      <c r="C96" s="33">
        <v>7341.2297563087304</v>
      </c>
      <c r="D96" s="16">
        <v>0.22954559419172879</v>
      </c>
      <c r="E96" s="18">
        <f>(Sheet1[[#This Row],[A]]-B95)/B95</f>
        <v>-4.4975648738983416E-2</v>
      </c>
      <c r="F96" s="18">
        <f>(Sheet1[[#This Row],[P]]-C95)/C95</f>
        <v>-0.26878100805073563</v>
      </c>
      <c r="G96" s="15">
        <f>(Sheet1[[#This Row],[X (€ =&gt; PLN)]]-D95)/D95</f>
        <v>0.14992039006118807</v>
      </c>
      <c r="H96" s="15">
        <f t="shared" si="2"/>
        <v>1685.1469465098878</v>
      </c>
      <c r="I96" s="3"/>
      <c r="J96" s="3"/>
      <c r="K96" s="3"/>
      <c r="L96" s="3"/>
      <c r="M96" s="3"/>
    </row>
    <row r="97" spans="1:13" x14ac:dyDescent="0.2">
      <c r="A97" s="3">
        <v>95</v>
      </c>
      <c r="B97" s="15">
        <v>7247.8223308635434</v>
      </c>
      <c r="C97" s="33">
        <v>9766.6342752306846</v>
      </c>
      <c r="D97" s="16">
        <v>0.2072272616326172</v>
      </c>
      <c r="E97" s="18">
        <f>(Sheet1[[#This Row],[A]]-B96)/B96</f>
        <v>0.11184492466642897</v>
      </c>
      <c r="F97" s="18">
        <f>(Sheet1[[#This Row],[P]]-C96)/C96</f>
        <v>0.33038123031603361</v>
      </c>
      <c r="G97" s="15">
        <f>(Sheet1[[#This Row],[X (€ =&gt; PLN)]]-D96)/D96</f>
        <v>-9.7228320315615027E-2</v>
      </c>
      <c r="H97" s="15">
        <f t="shared" si="2"/>
        <v>2023.9128762233158</v>
      </c>
      <c r="I97" s="3"/>
      <c r="J97" s="3"/>
      <c r="K97" s="3"/>
      <c r="L97" s="3"/>
      <c r="M97" s="3"/>
    </row>
    <row r="98" spans="1:13" x14ac:dyDescent="0.2">
      <c r="A98" s="3">
        <v>96</v>
      </c>
      <c r="B98" s="15">
        <v>6579.1302364071526</v>
      </c>
      <c r="C98" s="33">
        <v>10109.735229522301</v>
      </c>
      <c r="D98" s="16">
        <v>0.19691746787219111</v>
      </c>
      <c r="E98" s="18">
        <f>(Sheet1[[#This Row],[A]]-B97)/B97</f>
        <v>-9.2261104636752231E-2</v>
      </c>
      <c r="F98" s="18">
        <f>(Sheet1[[#This Row],[P]]-C97)/C97</f>
        <v>3.5129907051169106E-2</v>
      </c>
      <c r="G98" s="15">
        <f>(Sheet1[[#This Row],[X (€ =&gt; PLN)]]-D97)/D97</f>
        <v>-4.9751146056756811E-2</v>
      </c>
      <c r="H98" s="15">
        <f t="shared" si="2"/>
        <v>1990.7834622558164</v>
      </c>
      <c r="I98" s="3"/>
      <c r="J98" s="3"/>
      <c r="K98" s="3"/>
      <c r="L98" s="3"/>
      <c r="M98" s="3"/>
    </row>
    <row r="99" spans="1:13" x14ac:dyDescent="0.2">
      <c r="A99" s="3">
        <v>97</v>
      </c>
      <c r="B99" s="15">
        <v>6008.0322496290082</v>
      </c>
      <c r="C99" s="33">
        <v>6385.0621245117154</v>
      </c>
      <c r="D99" s="16">
        <v>0.2248311353830923</v>
      </c>
      <c r="E99" s="18">
        <f>(Sheet1[[#This Row],[A]]-B98)/B98</f>
        <v>-8.680448117865798E-2</v>
      </c>
      <c r="F99" s="18">
        <f>(Sheet1[[#This Row],[P]]-C98)/C98</f>
        <v>-0.36842439692523793</v>
      </c>
      <c r="G99" s="15">
        <f>(Sheet1[[#This Row],[X (€ =&gt; PLN)]]-D98)/D98</f>
        <v>0.14175313044863291</v>
      </c>
      <c r="H99" s="15">
        <f t="shared" si="2"/>
        <v>1435.5607669455485</v>
      </c>
      <c r="I99" s="3"/>
      <c r="J99" s="3"/>
      <c r="K99" s="3"/>
      <c r="L99" s="3"/>
      <c r="M99" s="3"/>
    </row>
    <row r="100" spans="1:13" x14ac:dyDescent="0.2">
      <c r="A100" s="3">
        <v>98</v>
      </c>
      <c r="B100" s="15">
        <v>6515.8396075565379</v>
      </c>
      <c r="C100" s="33">
        <v>8338.2619016678273</v>
      </c>
      <c r="D100" s="16">
        <v>0.20571417414398591</v>
      </c>
      <c r="E100" s="18">
        <f>(Sheet1[[#This Row],[A]]-B99)/B99</f>
        <v>8.4521410143709938E-2</v>
      </c>
      <c r="F100" s="18">
        <f>(Sheet1[[#This Row],[P]]-C99)/C99</f>
        <v>0.30590145233794086</v>
      </c>
      <c r="G100" s="15">
        <f>(Sheet1[[#This Row],[X (€ =&gt; PLN)]]-D99)/D99</f>
        <v>-8.5028086552748947E-2</v>
      </c>
      <c r="H100" s="15">
        <f t="shared" si="2"/>
        <v>1715.2986608978586</v>
      </c>
      <c r="I100" s="3"/>
      <c r="J100" s="3"/>
      <c r="K100" s="3"/>
      <c r="L100" s="3"/>
      <c r="M100" s="3"/>
    </row>
    <row r="101" spans="1:13" x14ac:dyDescent="0.2">
      <c r="A101" s="3">
        <v>99</v>
      </c>
      <c r="B101" s="15">
        <v>6095.3615734037039</v>
      </c>
      <c r="C101" s="33">
        <v>8440.690379012729</v>
      </c>
      <c r="D101" s="16">
        <v>0.21404855201977949</v>
      </c>
      <c r="E101" s="18">
        <f>(Sheet1[[#This Row],[A]]-B100)/B100</f>
        <v>-6.4531673503012255E-2</v>
      </c>
      <c r="F101" s="18">
        <f>(Sheet1[[#This Row],[P]]-C100)/C100</f>
        <v>1.2284152087428899E-2</v>
      </c>
      <c r="G101" s="15">
        <f>(Sheet1[[#This Row],[X (€ =&gt; PLN)]]-D100)/D100</f>
        <v>4.0514358869409184E-2</v>
      </c>
      <c r="H101" s="15">
        <f t="shared" si="2"/>
        <v>1806.7175536749583</v>
      </c>
      <c r="I101" s="3"/>
      <c r="J101" s="3"/>
      <c r="K101" s="3"/>
      <c r="L101" s="3"/>
      <c r="M101" s="3"/>
    </row>
    <row r="102" spans="1:13" x14ac:dyDescent="0.2">
      <c r="A102" s="3">
        <v>100</v>
      </c>
      <c r="B102" s="15">
        <v>6716.0496463721729</v>
      </c>
      <c r="C102" s="33">
        <v>8368.5442184323711</v>
      </c>
      <c r="D102" s="16">
        <v>0.2091509732896232</v>
      </c>
      <c r="E102" s="18">
        <f>(Sheet1[[#This Row],[A]]-B101)/B101</f>
        <v>0.10182957409397311</v>
      </c>
      <c r="F102" s="18">
        <f>(Sheet1[[#This Row],[P]]-C101)/C101</f>
        <v>-8.5474241253707169E-3</v>
      </c>
      <c r="G102" s="15">
        <f>(Sheet1[[#This Row],[X (€ =&gt; PLN)]]-D101)/D101</f>
        <v>-2.2880690777593832E-2</v>
      </c>
      <c r="H102" s="39">
        <f t="shared" si="2"/>
        <v>1750.2891683023795</v>
      </c>
      <c r="I102" s="3"/>
      <c r="J102" s="3"/>
      <c r="K102" s="3"/>
      <c r="L102" s="3"/>
      <c r="M102" s="3"/>
    </row>
  </sheetData>
  <mergeCells count="4">
    <mergeCell ref="J19:M19"/>
    <mergeCell ref="J7:M7"/>
    <mergeCell ref="J2:M2"/>
    <mergeCell ref="A1:M1"/>
  </mergeCells>
  <pageMargins left="0.7" right="0.7" top="0.75" bottom="0.75" header="0.3" footer="0.3"/>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F003-21ED-1748-A737-06C695F9F86F}">
  <sheetPr>
    <tabColor theme="9" tint="-0.499984740745262"/>
  </sheetPr>
  <dimension ref="A1:F20"/>
  <sheetViews>
    <sheetView zoomScale="177" zoomScaleNormal="177" workbookViewId="0">
      <pane ySplit="1" topLeftCell="A2" activePane="bottomLeft" state="frozen"/>
      <selection pane="bottomLeft" activeCell="F11" sqref="F11"/>
    </sheetView>
  </sheetViews>
  <sheetFormatPr baseColWidth="10" defaultRowHeight="16" x14ac:dyDescent="0.2"/>
  <cols>
    <col min="1" max="1" width="15.33203125" bestFit="1" customWidth="1"/>
    <col min="2" max="2" width="12.33203125" bestFit="1" customWidth="1"/>
    <col min="5" max="5" width="11.1640625" customWidth="1"/>
    <col min="6" max="6" width="14.5" bestFit="1" customWidth="1"/>
  </cols>
  <sheetData>
    <row r="1" spans="1:6" x14ac:dyDescent="0.2">
      <c r="A1" s="44" t="s">
        <v>101</v>
      </c>
      <c r="B1" s="44"/>
      <c r="C1" s="44"/>
      <c r="D1" s="44"/>
      <c r="E1" s="44"/>
      <c r="F1" s="44"/>
    </row>
    <row r="2" spans="1:6" x14ac:dyDescent="0.2">
      <c r="A2" s="47" t="s">
        <v>3</v>
      </c>
      <c r="B2" s="47"/>
      <c r="C2" s="3"/>
      <c r="D2" s="8" t="s">
        <v>15</v>
      </c>
      <c r="E2" s="5" t="s">
        <v>73</v>
      </c>
      <c r="F2" s="29">
        <f>(B3*B6-B4)/B5</f>
        <v>66666.666666666672</v>
      </c>
    </row>
    <row r="3" spans="1:6" x14ac:dyDescent="0.2">
      <c r="A3" s="5" t="s">
        <v>61</v>
      </c>
      <c r="B3" s="27">
        <v>500</v>
      </c>
      <c r="C3" s="3"/>
      <c r="D3" s="3"/>
      <c r="E3" s="3"/>
      <c r="F3" s="3"/>
    </row>
    <row r="4" spans="1:6" x14ac:dyDescent="0.2">
      <c r="A4" s="5" t="s">
        <v>62</v>
      </c>
      <c r="B4" s="28">
        <v>2000</v>
      </c>
      <c r="C4" s="3"/>
      <c r="D4" s="43" t="s">
        <v>22</v>
      </c>
      <c r="E4" s="5" t="s">
        <v>66</v>
      </c>
      <c r="F4" s="7" t="s">
        <v>70</v>
      </c>
    </row>
    <row r="5" spans="1:6" ht="16" customHeight="1" x14ac:dyDescent="0.2">
      <c r="A5" s="6" t="s">
        <v>18</v>
      </c>
      <c r="B5" s="22">
        <v>0.03</v>
      </c>
      <c r="C5" s="3"/>
      <c r="D5" s="43"/>
      <c r="E5" s="5" t="s">
        <v>65</v>
      </c>
      <c r="F5" s="30">
        <f>500</f>
        <v>500</v>
      </c>
    </row>
    <row r="6" spans="1:6" x14ac:dyDescent="0.2">
      <c r="A6" s="5" t="s">
        <v>64</v>
      </c>
      <c r="B6" s="7">
        <v>8</v>
      </c>
      <c r="C6" s="3"/>
      <c r="D6" s="43"/>
      <c r="E6" s="5" t="s">
        <v>67</v>
      </c>
      <c r="F6" s="30">
        <f>F5/B5</f>
        <v>16666.666666666668</v>
      </c>
    </row>
    <row r="7" spans="1:6" x14ac:dyDescent="0.2">
      <c r="A7" s="5" t="s">
        <v>63</v>
      </c>
      <c r="B7" s="7">
        <v>10.4</v>
      </c>
      <c r="C7" s="3"/>
      <c r="D7" s="43"/>
      <c r="E7" s="5" t="s">
        <v>68</v>
      </c>
      <c r="F7" s="40">
        <f>F6*B8</f>
        <v>40000.000000000007</v>
      </c>
    </row>
    <row r="8" spans="1:6" x14ac:dyDescent="0.2">
      <c r="A8" s="5" t="s">
        <v>69</v>
      </c>
      <c r="B8" s="7">
        <f>B7-B6</f>
        <v>2.4000000000000004</v>
      </c>
      <c r="C8" s="3"/>
      <c r="D8" s="3"/>
      <c r="E8" s="3"/>
      <c r="F8" s="3"/>
    </row>
    <row r="9" spans="1:6" x14ac:dyDescent="0.2">
      <c r="A9" s="5" t="s">
        <v>72</v>
      </c>
      <c r="B9" s="22">
        <v>0.1</v>
      </c>
      <c r="C9" s="3"/>
      <c r="D9" s="8" t="s">
        <v>24</v>
      </c>
      <c r="E9" s="5" t="s">
        <v>74</v>
      </c>
      <c r="F9" s="29">
        <f>B3*B6/B5</f>
        <v>133333.33333333334</v>
      </c>
    </row>
    <row r="10" spans="1:6" x14ac:dyDescent="0.2">
      <c r="A10" s="3"/>
      <c r="B10" s="3"/>
      <c r="C10" s="3"/>
      <c r="D10" s="3"/>
      <c r="E10" s="3"/>
      <c r="F10" s="3"/>
    </row>
    <row r="11" spans="1:6" x14ac:dyDescent="0.2">
      <c r="A11" s="3"/>
      <c r="B11" s="3"/>
      <c r="C11" s="3"/>
      <c r="D11" s="8" t="s">
        <v>26</v>
      </c>
      <c r="E11" s="5" t="s">
        <v>75</v>
      </c>
      <c r="F11" s="41">
        <f>-F9*B9*_xlfn.NORM.S.INV(0.01)</f>
        <v>31017.971653877881</v>
      </c>
    </row>
    <row r="12" spans="1:6" x14ac:dyDescent="0.2">
      <c r="A12" s="3"/>
      <c r="B12" s="3"/>
      <c r="C12" s="3"/>
      <c r="D12" s="3"/>
      <c r="E12" s="3"/>
      <c r="F12" s="3"/>
    </row>
    <row r="13" spans="1:6" x14ac:dyDescent="0.2">
      <c r="A13" s="43" t="s">
        <v>71</v>
      </c>
      <c r="B13" s="43"/>
      <c r="C13" s="43"/>
      <c r="D13" s="43"/>
      <c r="E13" s="43"/>
      <c r="F13" s="43"/>
    </row>
    <row r="14" spans="1:6" ht="16" customHeight="1" x14ac:dyDescent="0.2">
      <c r="A14" s="53" t="s">
        <v>103</v>
      </c>
      <c r="B14" s="53"/>
      <c r="C14" s="53"/>
      <c r="D14" s="53"/>
      <c r="E14" s="53"/>
      <c r="F14" s="53"/>
    </row>
    <row r="15" spans="1:6" x14ac:dyDescent="0.2">
      <c r="A15" s="54"/>
      <c r="B15" s="54"/>
      <c r="C15" s="54"/>
      <c r="D15" s="54"/>
      <c r="E15" s="54"/>
      <c r="F15" s="54"/>
    </row>
    <row r="16" spans="1:6" x14ac:dyDescent="0.2">
      <c r="A16" s="54"/>
      <c r="B16" s="54"/>
      <c r="C16" s="54"/>
      <c r="D16" s="54"/>
      <c r="E16" s="54"/>
      <c r="F16" s="54"/>
    </row>
    <row r="17" spans="1:6" x14ac:dyDescent="0.2">
      <c r="A17" s="54"/>
      <c r="B17" s="54"/>
      <c r="C17" s="54"/>
      <c r="D17" s="54"/>
      <c r="E17" s="54"/>
      <c r="F17" s="54"/>
    </row>
    <row r="18" spans="1:6" x14ac:dyDescent="0.2">
      <c r="A18" s="54"/>
      <c r="B18" s="54"/>
      <c r="C18" s="54"/>
      <c r="D18" s="54"/>
      <c r="E18" s="54"/>
      <c r="F18" s="54"/>
    </row>
    <row r="19" spans="1:6" x14ac:dyDescent="0.2">
      <c r="A19" s="54"/>
      <c r="B19" s="54"/>
      <c r="C19" s="54"/>
      <c r="D19" s="54"/>
      <c r="E19" s="54"/>
      <c r="F19" s="54"/>
    </row>
    <row r="20" spans="1:6" x14ac:dyDescent="0.2">
      <c r="A20" s="54"/>
      <c r="B20" s="54"/>
      <c r="C20" s="54"/>
      <c r="D20" s="54"/>
      <c r="E20" s="54"/>
      <c r="F20" s="54"/>
    </row>
  </sheetData>
  <mergeCells count="5">
    <mergeCell ref="A13:F13"/>
    <mergeCell ref="A2:B2"/>
    <mergeCell ref="A1:F1"/>
    <mergeCell ref="D4:D7"/>
    <mergeCell ref="A14:F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218F-4B76-2347-A2CC-258DBB7C49AD}">
  <sheetPr>
    <tabColor theme="1"/>
  </sheetPr>
  <dimension ref="A1:J27"/>
  <sheetViews>
    <sheetView tabSelected="1" topLeftCell="F1" zoomScale="137" zoomScaleNormal="137" workbookViewId="0">
      <pane ySplit="1" topLeftCell="A2" activePane="bottomLeft" state="frozen"/>
      <selection activeCell="B1" sqref="B1"/>
      <selection pane="bottomLeft" activeCell="J13" sqref="J13"/>
    </sheetView>
  </sheetViews>
  <sheetFormatPr baseColWidth="10" defaultRowHeight="16" x14ac:dyDescent="0.2"/>
  <cols>
    <col min="1" max="2" width="18.5" bestFit="1" customWidth="1"/>
    <col min="3" max="3" width="13.83203125" bestFit="1" customWidth="1"/>
    <col min="5" max="5" width="21" bestFit="1" customWidth="1"/>
    <col min="6" max="6" width="16.33203125" bestFit="1" customWidth="1"/>
    <col min="7" max="7" width="17.83203125" bestFit="1" customWidth="1"/>
    <col min="9" max="9" width="21" bestFit="1" customWidth="1"/>
    <col min="10" max="10" width="21.6640625" bestFit="1" customWidth="1"/>
  </cols>
  <sheetData>
    <row r="1" spans="1:10" x14ac:dyDescent="0.2">
      <c r="A1" s="44" t="s">
        <v>100</v>
      </c>
      <c r="B1" s="44"/>
      <c r="C1" s="44"/>
      <c r="D1" s="44"/>
      <c r="E1" s="44"/>
      <c r="F1" s="44"/>
      <c r="G1" s="44"/>
      <c r="H1" s="44"/>
      <c r="I1" s="44"/>
      <c r="J1" s="44"/>
    </row>
    <row r="2" spans="1:10" x14ac:dyDescent="0.2">
      <c r="A2" s="3" t="s">
        <v>55</v>
      </c>
      <c r="B2" s="3" t="s">
        <v>89</v>
      </c>
      <c r="C2" s="3" t="s">
        <v>90</v>
      </c>
      <c r="D2" s="3"/>
      <c r="E2" s="3" t="s">
        <v>76</v>
      </c>
      <c r="F2" s="3" t="s">
        <v>77</v>
      </c>
      <c r="G2" s="3" t="s">
        <v>78</v>
      </c>
      <c r="H2" s="3" t="s">
        <v>91</v>
      </c>
      <c r="I2" s="3" t="s">
        <v>92</v>
      </c>
      <c r="J2" s="3" t="s">
        <v>93</v>
      </c>
    </row>
    <row r="3" spans="1:10" x14ac:dyDescent="0.2">
      <c r="A3" s="3">
        <v>1</v>
      </c>
      <c r="B3" s="31">
        <v>44197</v>
      </c>
      <c r="C3" s="36">
        <v>180</v>
      </c>
      <c r="D3" s="3"/>
      <c r="E3" s="3" t="s">
        <v>79</v>
      </c>
      <c r="F3" s="3" t="s">
        <v>80</v>
      </c>
      <c r="G3" s="3">
        <v>0.86970000000000003</v>
      </c>
      <c r="H3" s="34">
        <f>C3</f>
        <v>180</v>
      </c>
      <c r="I3" s="15">
        <f>Buckets_and_Exchange_Rates[[#This Row],[∑CF £]]/Buckets_and_Exchange_Rates[[#This Row],[GBP / EUR]]</f>
        <v>206.96791997240427</v>
      </c>
      <c r="J3" s="15">
        <f>Buckets_and_Exchange_Rates[[#This Row],[∑CF £]]/Buckets_and_Exchange_Rates[[#This Row],[GBP / EUR]]</f>
        <v>206.96791997240427</v>
      </c>
    </row>
    <row r="4" spans="1:10" x14ac:dyDescent="0.2">
      <c r="A4" s="3">
        <v>2</v>
      </c>
      <c r="B4" s="31">
        <v>44203</v>
      </c>
      <c r="C4" s="37">
        <v>-110</v>
      </c>
      <c r="D4" s="3"/>
      <c r="E4" s="3" t="s">
        <v>81</v>
      </c>
      <c r="F4" s="3" t="s">
        <v>82</v>
      </c>
      <c r="G4" s="3">
        <v>0.87009999999999998</v>
      </c>
      <c r="H4" s="35">
        <f>SUM(C4:C8)</f>
        <v>-70</v>
      </c>
      <c r="I4" s="15">
        <f>Buckets_and_Exchange_Rates[[#This Row],[∑CF £]]/Buckets_and_Exchange_Rates[[#This Row],[GBP / EUR]]</f>
        <v>-80.450522928399039</v>
      </c>
      <c r="J4" s="15">
        <f>Buckets_and_Exchange_Rates[[#This Row],[∑CF £]]/G3</f>
        <v>-80.487524433712778</v>
      </c>
    </row>
    <row r="5" spans="1:10" x14ac:dyDescent="0.2">
      <c r="A5" s="3">
        <v>3</v>
      </c>
      <c r="B5" s="31">
        <v>44206</v>
      </c>
      <c r="C5" s="36">
        <v>90</v>
      </c>
      <c r="D5" s="3"/>
      <c r="E5" s="3" t="s">
        <v>83</v>
      </c>
      <c r="F5" s="3" t="s">
        <v>84</v>
      </c>
      <c r="G5" s="3">
        <v>0.87160000000000004</v>
      </c>
      <c r="H5" s="34">
        <f>SUM(C9:C16)</f>
        <v>30</v>
      </c>
      <c r="I5" s="15">
        <f>Buckets_and_Exchange_Rates[[#This Row],[∑CF £]]/Buckets_and_Exchange_Rates[[#This Row],[GBP / EUR]]</f>
        <v>34.419458467186779</v>
      </c>
      <c r="J5" s="15">
        <f>Buckets_and_Exchange_Rates[[#This Row],[∑CF £]]/G3</f>
        <v>34.494653328734046</v>
      </c>
    </row>
    <row r="6" spans="1:10" x14ac:dyDescent="0.2">
      <c r="A6" s="3">
        <v>4</v>
      </c>
      <c r="B6" s="31">
        <v>44215</v>
      </c>
      <c r="C6" s="37">
        <v>-40</v>
      </c>
      <c r="D6" s="3"/>
      <c r="E6" s="3" t="s">
        <v>85</v>
      </c>
      <c r="F6" s="3" t="s">
        <v>86</v>
      </c>
      <c r="G6" s="3">
        <v>0.87419999999999998</v>
      </c>
      <c r="H6" s="34">
        <f>SUM(C17:C23)</f>
        <v>230</v>
      </c>
      <c r="I6" s="15">
        <f>Buckets_and_Exchange_Rates[[#This Row],[∑CF £]]/Buckets_and_Exchange_Rates[[#This Row],[GBP / EUR]]</f>
        <v>263.09768931594601</v>
      </c>
      <c r="J6" s="15">
        <f>Buckets_and_Exchange_Rates[[#This Row],[∑CF £]]/G3</f>
        <v>264.45900885362767</v>
      </c>
    </row>
    <row r="7" spans="1:10" x14ac:dyDescent="0.2">
      <c r="A7" s="3">
        <v>5</v>
      </c>
      <c r="B7" s="31">
        <v>44228</v>
      </c>
      <c r="C7" s="37">
        <v>-50</v>
      </c>
      <c r="D7" s="3"/>
      <c r="E7" s="3" t="s">
        <v>87</v>
      </c>
      <c r="F7" s="3" t="s">
        <v>88</v>
      </c>
      <c r="G7" s="3">
        <v>0.88500000000000001</v>
      </c>
      <c r="H7" s="34">
        <f>SUM(C24:C27)</f>
        <v>70</v>
      </c>
      <c r="I7" s="15">
        <f>Buckets_and_Exchange_Rates[[#This Row],[∑CF £]]/Buckets_and_Exchange_Rates[[#This Row],[GBP / EUR]]</f>
        <v>79.096045197740111</v>
      </c>
      <c r="J7" s="32">
        <f>Buckets_and_Exchange_Rates[[#This Row],[∑CF £]]/G3</f>
        <v>80.487524433712778</v>
      </c>
    </row>
    <row r="8" spans="1:10" x14ac:dyDescent="0.2">
      <c r="A8" s="3">
        <v>6</v>
      </c>
      <c r="B8" s="31">
        <v>44256</v>
      </c>
      <c r="C8" s="36">
        <v>40</v>
      </c>
      <c r="D8" s="3"/>
      <c r="E8" s="3"/>
      <c r="F8" s="3"/>
      <c r="G8" s="3"/>
      <c r="H8" s="3"/>
      <c r="I8" s="3"/>
      <c r="J8" s="3"/>
    </row>
    <row r="9" spans="1:10" x14ac:dyDescent="0.2">
      <c r="A9" s="3">
        <v>7</v>
      </c>
      <c r="B9" s="31">
        <v>44258</v>
      </c>
      <c r="C9" s="37">
        <v>-100</v>
      </c>
      <c r="D9" s="3"/>
      <c r="E9" s="8" t="s">
        <v>15</v>
      </c>
      <c r="F9" s="3"/>
      <c r="G9" s="8" t="s">
        <v>22</v>
      </c>
      <c r="H9" s="3"/>
      <c r="I9" s="43" t="s">
        <v>24</v>
      </c>
      <c r="J9" s="43"/>
    </row>
    <row r="10" spans="1:10" x14ac:dyDescent="0.2">
      <c r="A10" s="3">
        <v>8</v>
      </c>
      <c r="B10" s="31">
        <v>44275</v>
      </c>
      <c r="C10" s="37">
        <v>-150</v>
      </c>
      <c r="D10" s="3"/>
      <c r="E10" s="2" t="s">
        <v>97</v>
      </c>
      <c r="F10" s="3"/>
      <c r="G10" s="2" t="s">
        <v>96</v>
      </c>
      <c r="H10" s="3"/>
      <c r="I10" s="2" t="s">
        <v>94</v>
      </c>
      <c r="J10" s="7">
        <v>0.73919999999999997</v>
      </c>
    </row>
    <row r="11" spans="1:10" x14ac:dyDescent="0.2">
      <c r="A11" s="3">
        <v>9</v>
      </c>
      <c r="B11" s="31">
        <v>44315</v>
      </c>
      <c r="C11" s="36">
        <v>170</v>
      </c>
      <c r="D11" s="3"/>
      <c r="E11" s="20">
        <f>SUM(Buckets_and_Exchange_Rates[∑CF € (hedged)])</f>
        <v>503.13059002487813</v>
      </c>
      <c r="F11" s="3"/>
      <c r="G11" s="20">
        <f>SUM(Buckets_and_Exchange_Rates[∑CF € (not hedged)])</f>
        <v>505.92158215476599</v>
      </c>
      <c r="H11" s="3"/>
      <c r="I11" s="2" t="s">
        <v>98</v>
      </c>
      <c r="J11" s="23">
        <f>H7/J10</f>
        <v>94.696969696969703</v>
      </c>
    </row>
    <row r="12" spans="1:10" x14ac:dyDescent="0.2">
      <c r="A12" s="3">
        <v>10</v>
      </c>
      <c r="B12" s="31">
        <v>44317</v>
      </c>
      <c r="C12" s="36">
        <v>50</v>
      </c>
      <c r="D12" s="3"/>
      <c r="E12" s="3"/>
      <c r="F12" s="3"/>
      <c r="G12" s="3"/>
      <c r="H12" s="3"/>
      <c r="I12" s="3"/>
      <c r="J12" s="3"/>
    </row>
    <row r="13" spans="1:10" x14ac:dyDescent="0.2">
      <c r="A13" s="3">
        <v>11</v>
      </c>
      <c r="B13" s="31">
        <v>44338</v>
      </c>
      <c r="C13" s="36">
        <v>190</v>
      </c>
      <c r="D13" s="3"/>
      <c r="E13" s="43" t="s">
        <v>26</v>
      </c>
      <c r="F13" s="43"/>
      <c r="G13" s="43"/>
      <c r="H13" s="42" t="s">
        <v>95</v>
      </c>
      <c r="I13" s="42"/>
      <c r="J13" s="20">
        <f>H7/G7</f>
        <v>79.096045197740111</v>
      </c>
    </row>
    <row r="14" spans="1:10" x14ac:dyDescent="0.2">
      <c r="A14" s="3">
        <v>12</v>
      </c>
      <c r="B14" s="31">
        <v>44344</v>
      </c>
      <c r="C14" s="36">
        <v>70</v>
      </c>
      <c r="D14" s="3"/>
      <c r="E14" s="3"/>
      <c r="F14" s="3"/>
      <c r="G14" s="3"/>
      <c r="H14" s="3"/>
      <c r="I14" s="3"/>
      <c r="J14" s="3"/>
    </row>
    <row r="15" spans="1:10" x14ac:dyDescent="0.2">
      <c r="A15" s="3">
        <v>13</v>
      </c>
      <c r="B15" s="31">
        <v>44345</v>
      </c>
      <c r="C15" s="37">
        <v>-140</v>
      </c>
      <c r="D15" s="3"/>
      <c r="E15" s="3"/>
      <c r="F15" s="3"/>
      <c r="G15" s="3"/>
      <c r="H15" s="3"/>
      <c r="I15" s="3"/>
      <c r="J15" s="3"/>
    </row>
    <row r="16" spans="1:10" x14ac:dyDescent="0.2">
      <c r="A16" s="3">
        <v>14</v>
      </c>
      <c r="B16" s="31">
        <v>44346</v>
      </c>
      <c r="C16" s="37">
        <v>-60</v>
      </c>
      <c r="D16" s="3"/>
      <c r="E16" s="3"/>
      <c r="F16" s="3"/>
      <c r="G16" s="3"/>
      <c r="H16" s="3"/>
      <c r="I16" s="3"/>
      <c r="J16" s="3"/>
    </row>
    <row r="17" spans="1:10" x14ac:dyDescent="0.2">
      <c r="A17" s="3">
        <v>15</v>
      </c>
      <c r="B17" s="31">
        <v>44405</v>
      </c>
      <c r="C17" s="36">
        <v>110</v>
      </c>
      <c r="D17" s="3"/>
      <c r="E17" s="3"/>
      <c r="F17" s="3"/>
      <c r="G17" s="3"/>
      <c r="H17" s="3"/>
      <c r="I17" s="3"/>
      <c r="J17" s="3"/>
    </row>
    <row r="18" spans="1:10" x14ac:dyDescent="0.2">
      <c r="A18" s="3">
        <v>16</v>
      </c>
      <c r="B18" s="31">
        <v>44440</v>
      </c>
      <c r="C18" s="36">
        <v>60</v>
      </c>
      <c r="D18" s="3"/>
      <c r="E18" s="3"/>
      <c r="F18" s="3"/>
      <c r="G18" s="3"/>
      <c r="H18" s="3"/>
      <c r="I18" s="3"/>
      <c r="J18" s="3"/>
    </row>
    <row r="19" spans="1:10" x14ac:dyDescent="0.2">
      <c r="A19" s="3">
        <v>17</v>
      </c>
      <c r="B19" s="31">
        <v>44442</v>
      </c>
      <c r="C19" s="37">
        <v>-130</v>
      </c>
      <c r="D19" s="3"/>
      <c r="E19" s="3"/>
      <c r="F19" s="3"/>
      <c r="G19" s="3"/>
      <c r="H19" s="3"/>
      <c r="I19" s="3"/>
      <c r="J19" s="3"/>
    </row>
    <row r="20" spans="1:10" x14ac:dyDescent="0.2">
      <c r="A20" s="3">
        <v>18</v>
      </c>
      <c r="B20" s="31">
        <v>44501</v>
      </c>
      <c r="C20" s="36">
        <v>80</v>
      </c>
      <c r="D20" s="3"/>
      <c r="E20" s="3"/>
      <c r="F20" s="3"/>
      <c r="G20" s="3"/>
      <c r="H20" s="3"/>
      <c r="I20" s="3"/>
      <c r="J20" s="3"/>
    </row>
    <row r="21" spans="1:10" x14ac:dyDescent="0.2">
      <c r="A21" s="3">
        <v>19</v>
      </c>
      <c r="B21" s="31">
        <v>44516</v>
      </c>
      <c r="C21" s="36">
        <v>30</v>
      </c>
      <c r="D21" s="3"/>
      <c r="E21" s="3"/>
      <c r="F21" s="3"/>
      <c r="G21" s="3"/>
      <c r="H21" s="3"/>
      <c r="I21" s="3"/>
      <c r="J21" s="3"/>
    </row>
    <row r="22" spans="1:10" x14ac:dyDescent="0.2">
      <c r="A22" s="3">
        <v>20</v>
      </c>
      <c r="B22" s="31">
        <v>44547</v>
      </c>
      <c r="C22" s="37">
        <v>-80</v>
      </c>
      <c r="D22" s="3"/>
      <c r="E22" s="3"/>
      <c r="F22" s="3"/>
      <c r="G22" s="3"/>
      <c r="H22" s="3"/>
      <c r="I22" s="3"/>
      <c r="J22" s="3"/>
    </row>
    <row r="23" spans="1:10" x14ac:dyDescent="0.2">
      <c r="A23" s="3">
        <v>21</v>
      </c>
      <c r="B23" s="31">
        <v>44562</v>
      </c>
      <c r="C23" s="36">
        <v>160</v>
      </c>
      <c r="D23" s="3"/>
      <c r="E23" s="3"/>
      <c r="F23" s="3"/>
      <c r="G23" s="3"/>
      <c r="H23" s="3"/>
      <c r="I23" s="3"/>
      <c r="J23" s="3"/>
    </row>
    <row r="24" spans="1:10" x14ac:dyDescent="0.2">
      <c r="A24" s="3">
        <v>22</v>
      </c>
      <c r="B24" s="31">
        <v>44621</v>
      </c>
      <c r="C24" s="37">
        <v>-20</v>
      </c>
      <c r="D24" s="3"/>
      <c r="E24" s="3"/>
      <c r="F24" s="3"/>
      <c r="G24" s="3"/>
      <c r="H24" s="3"/>
      <c r="I24" s="3"/>
      <c r="J24" s="3"/>
    </row>
    <row r="25" spans="1:10" x14ac:dyDescent="0.2">
      <c r="A25" s="3">
        <v>23</v>
      </c>
      <c r="B25" s="31">
        <v>44743</v>
      </c>
      <c r="C25" s="36">
        <v>100</v>
      </c>
      <c r="D25" s="3"/>
      <c r="E25" s="3"/>
      <c r="F25" s="3"/>
      <c r="G25" s="3"/>
      <c r="H25" s="3"/>
      <c r="I25" s="3"/>
      <c r="J25" s="3"/>
    </row>
    <row r="26" spans="1:10" x14ac:dyDescent="0.2">
      <c r="A26" s="3">
        <v>24</v>
      </c>
      <c r="B26" s="31">
        <v>44958</v>
      </c>
      <c r="C26" s="36">
        <v>0</v>
      </c>
      <c r="D26" s="3"/>
      <c r="E26" s="3"/>
      <c r="F26" s="3"/>
      <c r="G26" s="3"/>
      <c r="H26" s="3"/>
      <c r="I26" s="3"/>
      <c r="J26" s="3"/>
    </row>
    <row r="27" spans="1:10" x14ac:dyDescent="0.2">
      <c r="A27" s="3">
        <v>25</v>
      </c>
      <c r="B27" s="31">
        <v>45292</v>
      </c>
      <c r="C27" s="37">
        <v>-10</v>
      </c>
      <c r="D27" s="3"/>
      <c r="E27" s="3"/>
      <c r="F27" s="3"/>
      <c r="G27" s="3"/>
      <c r="H27" s="3"/>
      <c r="I27" s="3"/>
      <c r="J27" s="3"/>
    </row>
  </sheetData>
  <mergeCells count="4">
    <mergeCell ref="H13:I13"/>
    <mergeCell ref="E13:G13"/>
    <mergeCell ref="I9:J9"/>
    <mergeCell ref="A1:J1"/>
  </mergeCells>
  <conditionalFormatting sqref="J11">
    <cfRule type="iconSet" priority="1">
      <iconSet iconSet="3Arrows">
        <cfvo type="percent" val="0"/>
        <cfvo type="percent" val="33"/>
        <cfvo type="percent" val="67"/>
      </iconSet>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5B3C2E-0077-0A49-9D70-1F329ABC0B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M.C.4.7</vt:lpstr>
      <vt:lpstr>M.C.4.8</vt:lpstr>
      <vt:lpstr>M.C.4.9</vt:lpstr>
      <vt:lpstr>M.C.5.1</vt:lpstr>
      <vt:lpstr>M.C.5.2</vt:lpstr>
      <vt:lpstr>M.C.5.3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2026-06-11T08:38:08Z</dcterms:created>
  <dcterms:modified xsi:type="dcterms:W3CDTF">2026-06-22T07:56:34Z</dcterms:modified>
</cp:coreProperties>
</file>