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burdukov/Documents/Österreich/WU/WU Hauptstudium/SBWL/SBWL Finance/Course IV Risk Management/Interactive part/Unit 2/"/>
    </mc:Choice>
  </mc:AlternateContent>
  <xr:revisionPtr revIDLastSave="0" documentId="13_ncr:1_{82D92EAC-0D2D-4244-B881-02792E4B4FEA}" xr6:coauthVersionLast="47" xr6:coauthVersionMax="47" xr10:uidLastSave="{00000000-0000-0000-0000-000000000000}"/>
  <bookViews>
    <workbookView xWindow="0" yWindow="720" windowWidth="29400" windowHeight="18400" activeTab="5" xr2:uid="{F799F6E6-F98B-9345-8B23-833F6678CA0A}"/>
  </bookViews>
  <sheets>
    <sheet name="M.C.2.1" sheetId="1" r:id="rId1"/>
    <sheet name="M.C.2.2" sheetId="2" r:id="rId2"/>
    <sheet name="M.C.2.3" sheetId="3" r:id="rId3"/>
    <sheet name="M.C.2.4" sheetId="4" r:id="rId4"/>
    <sheet name="M.C.2.5" sheetId="5" r:id="rId5"/>
    <sheet name="M.C.2.6" sheetId="6" r:id="rId6"/>
  </sheets>
  <definedNames>
    <definedName name="ExternalData_1" localSheetId="5" hidden="1">'M.C.2.6'!$A$2:$C$1002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4" l="1"/>
  <c r="M11" i="6"/>
  <c r="C8" i="5"/>
  <c r="D3" i="6"/>
  <c r="M7" i="6"/>
  <c r="L7" i="6"/>
  <c r="E3" i="6"/>
  <c r="F3" i="6"/>
  <c r="E4" i="6"/>
  <c r="F4" i="6"/>
  <c r="E5" i="6"/>
  <c r="F5" i="6"/>
  <c r="E6" i="6"/>
  <c r="F6" i="6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20" i="6"/>
  <c r="F20" i="6"/>
  <c r="E21" i="6"/>
  <c r="F21" i="6"/>
  <c r="E22" i="6"/>
  <c r="F22" i="6"/>
  <c r="E23" i="6"/>
  <c r="F23" i="6"/>
  <c r="E24" i="6"/>
  <c r="F24" i="6"/>
  <c r="E25" i="6"/>
  <c r="F25" i="6"/>
  <c r="E26" i="6"/>
  <c r="F26" i="6"/>
  <c r="E27" i="6"/>
  <c r="F27" i="6"/>
  <c r="E28" i="6"/>
  <c r="F28" i="6"/>
  <c r="E29" i="6"/>
  <c r="F29" i="6"/>
  <c r="E30" i="6"/>
  <c r="F30" i="6"/>
  <c r="E31" i="6"/>
  <c r="F31" i="6"/>
  <c r="E32" i="6"/>
  <c r="F32" i="6"/>
  <c r="E33" i="6"/>
  <c r="F33" i="6"/>
  <c r="E34" i="6"/>
  <c r="F34" i="6"/>
  <c r="E35" i="6"/>
  <c r="F35" i="6"/>
  <c r="E36" i="6"/>
  <c r="F36" i="6"/>
  <c r="E37" i="6"/>
  <c r="F37" i="6"/>
  <c r="E38" i="6"/>
  <c r="F38" i="6"/>
  <c r="E39" i="6"/>
  <c r="F39" i="6"/>
  <c r="E40" i="6"/>
  <c r="F40" i="6"/>
  <c r="E41" i="6"/>
  <c r="F41" i="6"/>
  <c r="E42" i="6"/>
  <c r="F42" i="6"/>
  <c r="E43" i="6"/>
  <c r="F43" i="6"/>
  <c r="E44" i="6"/>
  <c r="F44" i="6"/>
  <c r="E45" i="6"/>
  <c r="F45" i="6"/>
  <c r="E46" i="6"/>
  <c r="F46" i="6"/>
  <c r="E47" i="6"/>
  <c r="F47" i="6"/>
  <c r="E48" i="6"/>
  <c r="F48" i="6"/>
  <c r="E49" i="6"/>
  <c r="F49" i="6"/>
  <c r="E50" i="6"/>
  <c r="F50" i="6"/>
  <c r="E51" i="6"/>
  <c r="F51" i="6"/>
  <c r="E52" i="6"/>
  <c r="F52" i="6"/>
  <c r="E53" i="6"/>
  <c r="F53" i="6"/>
  <c r="E54" i="6"/>
  <c r="F54" i="6"/>
  <c r="E55" i="6"/>
  <c r="F55" i="6"/>
  <c r="E56" i="6"/>
  <c r="F56" i="6"/>
  <c r="E57" i="6"/>
  <c r="F57" i="6"/>
  <c r="E58" i="6"/>
  <c r="F58" i="6"/>
  <c r="E59" i="6"/>
  <c r="F59" i="6"/>
  <c r="E60" i="6"/>
  <c r="F60" i="6"/>
  <c r="E61" i="6"/>
  <c r="F61" i="6"/>
  <c r="E62" i="6"/>
  <c r="F62" i="6"/>
  <c r="E63" i="6"/>
  <c r="F63" i="6"/>
  <c r="E64" i="6"/>
  <c r="F64" i="6"/>
  <c r="E65" i="6"/>
  <c r="F65" i="6"/>
  <c r="E66" i="6"/>
  <c r="F66" i="6"/>
  <c r="E67" i="6"/>
  <c r="F67" i="6"/>
  <c r="E68" i="6"/>
  <c r="F68" i="6"/>
  <c r="E69" i="6"/>
  <c r="F69" i="6"/>
  <c r="E70" i="6"/>
  <c r="F70" i="6"/>
  <c r="E71" i="6"/>
  <c r="F71" i="6"/>
  <c r="E72" i="6"/>
  <c r="F72" i="6"/>
  <c r="E73" i="6"/>
  <c r="F73" i="6"/>
  <c r="E74" i="6"/>
  <c r="F74" i="6"/>
  <c r="E75" i="6"/>
  <c r="F75" i="6"/>
  <c r="E76" i="6"/>
  <c r="F76" i="6"/>
  <c r="E77" i="6"/>
  <c r="F77" i="6"/>
  <c r="E78" i="6"/>
  <c r="F78" i="6"/>
  <c r="E79" i="6"/>
  <c r="F79" i="6"/>
  <c r="E80" i="6"/>
  <c r="F80" i="6"/>
  <c r="E81" i="6"/>
  <c r="F81" i="6"/>
  <c r="E82" i="6"/>
  <c r="F82" i="6"/>
  <c r="E83" i="6"/>
  <c r="F83" i="6"/>
  <c r="E84" i="6"/>
  <c r="F84" i="6"/>
  <c r="E85" i="6"/>
  <c r="F85" i="6"/>
  <c r="E86" i="6"/>
  <c r="F86" i="6"/>
  <c r="E87" i="6"/>
  <c r="F87" i="6"/>
  <c r="E88" i="6"/>
  <c r="F88" i="6"/>
  <c r="E89" i="6"/>
  <c r="F89" i="6"/>
  <c r="E90" i="6"/>
  <c r="F90" i="6"/>
  <c r="E91" i="6"/>
  <c r="F91" i="6"/>
  <c r="E92" i="6"/>
  <c r="F92" i="6"/>
  <c r="E93" i="6"/>
  <c r="F93" i="6"/>
  <c r="E94" i="6"/>
  <c r="F94" i="6"/>
  <c r="E95" i="6"/>
  <c r="F95" i="6"/>
  <c r="E96" i="6"/>
  <c r="F96" i="6"/>
  <c r="E97" i="6"/>
  <c r="F97" i="6"/>
  <c r="E98" i="6"/>
  <c r="F98" i="6"/>
  <c r="E99" i="6"/>
  <c r="F99" i="6"/>
  <c r="E100" i="6"/>
  <c r="F100" i="6"/>
  <c r="E101" i="6"/>
  <c r="F101" i="6"/>
  <c r="E102" i="6"/>
  <c r="F102" i="6"/>
  <c r="E103" i="6"/>
  <c r="F103" i="6"/>
  <c r="E104" i="6"/>
  <c r="F104" i="6"/>
  <c r="E105" i="6"/>
  <c r="F105" i="6"/>
  <c r="E106" i="6"/>
  <c r="F106" i="6"/>
  <c r="E107" i="6"/>
  <c r="F107" i="6"/>
  <c r="E108" i="6"/>
  <c r="F108" i="6"/>
  <c r="E109" i="6"/>
  <c r="F109" i="6"/>
  <c r="E110" i="6"/>
  <c r="F110" i="6"/>
  <c r="E111" i="6"/>
  <c r="F111" i="6"/>
  <c r="E112" i="6"/>
  <c r="F112" i="6"/>
  <c r="E113" i="6"/>
  <c r="F113" i="6"/>
  <c r="E114" i="6"/>
  <c r="F114" i="6"/>
  <c r="E115" i="6"/>
  <c r="F115" i="6"/>
  <c r="E116" i="6"/>
  <c r="F116" i="6"/>
  <c r="E117" i="6"/>
  <c r="F117" i="6"/>
  <c r="E118" i="6"/>
  <c r="F118" i="6"/>
  <c r="E119" i="6"/>
  <c r="F119" i="6"/>
  <c r="E120" i="6"/>
  <c r="F120" i="6"/>
  <c r="E121" i="6"/>
  <c r="F121" i="6"/>
  <c r="E122" i="6"/>
  <c r="F122" i="6"/>
  <c r="E123" i="6"/>
  <c r="F123" i="6"/>
  <c r="E124" i="6"/>
  <c r="F124" i="6"/>
  <c r="E125" i="6"/>
  <c r="F125" i="6"/>
  <c r="E126" i="6"/>
  <c r="F126" i="6"/>
  <c r="E127" i="6"/>
  <c r="F127" i="6"/>
  <c r="E128" i="6"/>
  <c r="F128" i="6"/>
  <c r="E129" i="6"/>
  <c r="F129" i="6"/>
  <c r="E130" i="6"/>
  <c r="F130" i="6"/>
  <c r="E131" i="6"/>
  <c r="F131" i="6"/>
  <c r="E132" i="6"/>
  <c r="F132" i="6"/>
  <c r="E133" i="6"/>
  <c r="F133" i="6"/>
  <c r="E134" i="6"/>
  <c r="F134" i="6"/>
  <c r="E135" i="6"/>
  <c r="F135" i="6"/>
  <c r="E136" i="6"/>
  <c r="F136" i="6"/>
  <c r="E137" i="6"/>
  <c r="F137" i="6"/>
  <c r="E138" i="6"/>
  <c r="F138" i="6"/>
  <c r="E139" i="6"/>
  <c r="F139" i="6"/>
  <c r="E140" i="6"/>
  <c r="F140" i="6"/>
  <c r="E141" i="6"/>
  <c r="F141" i="6"/>
  <c r="E142" i="6"/>
  <c r="F142" i="6"/>
  <c r="E143" i="6"/>
  <c r="F143" i="6"/>
  <c r="E144" i="6"/>
  <c r="F144" i="6"/>
  <c r="E145" i="6"/>
  <c r="F145" i="6"/>
  <c r="E146" i="6"/>
  <c r="F146" i="6"/>
  <c r="E147" i="6"/>
  <c r="F147" i="6"/>
  <c r="E148" i="6"/>
  <c r="F148" i="6"/>
  <c r="E149" i="6"/>
  <c r="F149" i="6"/>
  <c r="E150" i="6"/>
  <c r="F150" i="6"/>
  <c r="E151" i="6"/>
  <c r="F151" i="6"/>
  <c r="E152" i="6"/>
  <c r="F152" i="6"/>
  <c r="E153" i="6"/>
  <c r="F153" i="6"/>
  <c r="E154" i="6"/>
  <c r="F154" i="6"/>
  <c r="E155" i="6"/>
  <c r="F155" i="6"/>
  <c r="E156" i="6"/>
  <c r="F156" i="6"/>
  <c r="E157" i="6"/>
  <c r="F157" i="6"/>
  <c r="E158" i="6"/>
  <c r="F158" i="6"/>
  <c r="E159" i="6"/>
  <c r="F159" i="6"/>
  <c r="E160" i="6"/>
  <c r="F160" i="6"/>
  <c r="E161" i="6"/>
  <c r="F161" i="6"/>
  <c r="E162" i="6"/>
  <c r="F162" i="6"/>
  <c r="E163" i="6"/>
  <c r="F163" i="6"/>
  <c r="E164" i="6"/>
  <c r="F164" i="6"/>
  <c r="E165" i="6"/>
  <c r="F165" i="6"/>
  <c r="E166" i="6"/>
  <c r="F166" i="6"/>
  <c r="E167" i="6"/>
  <c r="F167" i="6"/>
  <c r="E168" i="6"/>
  <c r="F168" i="6"/>
  <c r="E169" i="6"/>
  <c r="F169" i="6"/>
  <c r="E170" i="6"/>
  <c r="F170" i="6"/>
  <c r="E171" i="6"/>
  <c r="F171" i="6"/>
  <c r="E172" i="6"/>
  <c r="F172" i="6"/>
  <c r="E173" i="6"/>
  <c r="F173" i="6"/>
  <c r="E174" i="6"/>
  <c r="F174" i="6"/>
  <c r="E175" i="6"/>
  <c r="F175" i="6"/>
  <c r="E176" i="6"/>
  <c r="F176" i="6"/>
  <c r="E177" i="6"/>
  <c r="F177" i="6"/>
  <c r="E178" i="6"/>
  <c r="F178" i="6"/>
  <c r="E179" i="6"/>
  <c r="F179" i="6"/>
  <c r="E180" i="6"/>
  <c r="F180" i="6"/>
  <c r="E181" i="6"/>
  <c r="F181" i="6"/>
  <c r="E182" i="6"/>
  <c r="F182" i="6"/>
  <c r="E183" i="6"/>
  <c r="F183" i="6"/>
  <c r="E184" i="6"/>
  <c r="F184" i="6"/>
  <c r="E185" i="6"/>
  <c r="F185" i="6"/>
  <c r="E186" i="6"/>
  <c r="F186" i="6"/>
  <c r="E187" i="6"/>
  <c r="F187" i="6"/>
  <c r="E188" i="6"/>
  <c r="F188" i="6"/>
  <c r="E189" i="6"/>
  <c r="F189" i="6"/>
  <c r="E190" i="6"/>
  <c r="F190" i="6"/>
  <c r="E191" i="6"/>
  <c r="F191" i="6"/>
  <c r="E192" i="6"/>
  <c r="F192" i="6"/>
  <c r="E193" i="6"/>
  <c r="F193" i="6"/>
  <c r="E194" i="6"/>
  <c r="F194" i="6"/>
  <c r="E195" i="6"/>
  <c r="F195" i="6"/>
  <c r="E196" i="6"/>
  <c r="F196" i="6"/>
  <c r="E197" i="6"/>
  <c r="F197" i="6"/>
  <c r="E198" i="6"/>
  <c r="F198" i="6"/>
  <c r="E199" i="6"/>
  <c r="F199" i="6"/>
  <c r="E200" i="6"/>
  <c r="F200" i="6"/>
  <c r="E201" i="6"/>
  <c r="F201" i="6"/>
  <c r="E202" i="6"/>
  <c r="F202" i="6"/>
  <c r="E203" i="6"/>
  <c r="F203" i="6"/>
  <c r="E204" i="6"/>
  <c r="F204" i="6"/>
  <c r="E205" i="6"/>
  <c r="F205" i="6"/>
  <c r="E206" i="6"/>
  <c r="F206" i="6"/>
  <c r="E207" i="6"/>
  <c r="F207" i="6"/>
  <c r="E208" i="6"/>
  <c r="F208" i="6"/>
  <c r="E209" i="6"/>
  <c r="F209" i="6"/>
  <c r="E210" i="6"/>
  <c r="F210" i="6"/>
  <c r="E211" i="6"/>
  <c r="F211" i="6"/>
  <c r="E212" i="6"/>
  <c r="F212" i="6"/>
  <c r="E213" i="6"/>
  <c r="F213" i="6"/>
  <c r="E214" i="6"/>
  <c r="F214" i="6"/>
  <c r="E215" i="6"/>
  <c r="F215" i="6"/>
  <c r="E216" i="6"/>
  <c r="F216" i="6"/>
  <c r="E217" i="6"/>
  <c r="F217" i="6"/>
  <c r="E218" i="6"/>
  <c r="F218" i="6"/>
  <c r="E219" i="6"/>
  <c r="F219" i="6"/>
  <c r="E220" i="6"/>
  <c r="F220" i="6"/>
  <c r="E221" i="6"/>
  <c r="F221" i="6"/>
  <c r="E222" i="6"/>
  <c r="F222" i="6"/>
  <c r="E223" i="6"/>
  <c r="F223" i="6"/>
  <c r="E224" i="6"/>
  <c r="F224" i="6"/>
  <c r="E225" i="6"/>
  <c r="F225" i="6"/>
  <c r="E226" i="6"/>
  <c r="F226" i="6"/>
  <c r="E227" i="6"/>
  <c r="F227" i="6"/>
  <c r="E228" i="6"/>
  <c r="F228" i="6"/>
  <c r="E229" i="6"/>
  <c r="F229" i="6"/>
  <c r="E230" i="6"/>
  <c r="F230" i="6"/>
  <c r="E231" i="6"/>
  <c r="F231" i="6"/>
  <c r="E232" i="6"/>
  <c r="F232" i="6"/>
  <c r="E233" i="6"/>
  <c r="F233" i="6"/>
  <c r="E234" i="6"/>
  <c r="F234" i="6"/>
  <c r="E235" i="6"/>
  <c r="F235" i="6"/>
  <c r="E236" i="6"/>
  <c r="F236" i="6"/>
  <c r="E237" i="6"/>
  <c r="F237" i="6"/>
  <c r="E238" i="6"/>
  <c r="F238" i="6"/>
  <c r="E239" i="6"/>
  <c r="F239" i="6"/>
  <c r="E240" i="6"/>
  <c r="F240" i="6"/>
  <c r="E241" i="6"/>
  <c r="F241" i="6"/>
  <c r="E242" i="6"/>
  <c r="F242" i="6"/>
  <c r="E243" i="6"/>
  <c r="F243" i="6"/>
  <c r="E244" i="6"/>
  <c r="F244" i="6"/>
  <c r="E245" i="6"/>
  <c r="F245" i="6"/>
  <c r="E246" i="6"/>
  <c r="F246" i="6"/>
  <c r="E247" i="6"/>
  <c r="F247" i="6"/>
  <c r="E248" i="6"/>
  <c r="F248" i="6"/>
  <c r="E249" i="6"/>
  <c r="F249" i="6"/>
  <c r="E250" i="6"/>
  <c r="F250" i="6"/>
  <c r="E251" i="6"/>
  <c r="F251" i="6"/>
  <c r="E252" i="6"/>
  <c r="F252" i="6"/>
  <c r="E253" i="6"/>
  <c r="F253" i="6"/>
  <c r="E254" i="6"/>
  <c r="F254" i="6"/>
  <c r="E255" i="6"/>
  <c r="F255" i="6"/>
  <c r="E256" i="6"/>
  <c r="F256" i="6"/>
  <c r="E257" i="6"/>
  <c r="F257" i="6"/>
  <c r="E258" i="6"/>
  <c r="F258" i="6"/>
  <c r="E259" i="6"/>
  <c r="F259" i="6"/>
  <c r="E260" i="6"/>
  <c r="F260" i="6"/>
  <c r="E261" i="6"/>
  <c r="F261" i="6"/>
  <c r="E262" i="6"/>
  <c r="F262" i="6"/>
  <c r="E263" i="6"/>
  <c r="F263" i="6"/>
  <c r="E264" i="6"/>
  <c r="F264" i="6"/>
  <c r="E265" i="6"/>
  <c r="F265" i="6"/>
  <c r="E266" i="6"/>
  <c r="F266" i="6"/>
  <c r="E267" i="6"/>
  <c r="F267" i="6"/>
  <c r="E268" i="6"/>
  <c r="F268" i="6"/>
  <c r="E269" i="6"/>
  <c r="F269" i="6"/>
  <c r="E270" i="6"/>
  <c r="F270" i="6"/>
  <c r="E271" i="6"/>
  <c r="F271" i="6"/>
  <c r="E272" i="6"/>
  <c r="F272" i="6"/>
  <c r="E273" i="6"/>
  <c r="F273" i="6"/>
  <c r="E274" i="6"/>
  <c r="F274" i="6"/>
  <c r="E275" i="6"/>
  <c r="F275" i="6"/>
  <c r="E276" i="6"/>
  <c r="F276" i="6"/>
  <c r="E277" i="6"/>
  <c r="F277" i="6"/>
  <c r="E278" i="6"/>
  <c r="F278" i="6"/>
  <c r="E279" i="6"/>
  <c r="F279" i="6"/>
  <c r="E280" i="6"/>
  <c r="F280" i="6"/>
  <c r="E281" i="6"/>
  <c r="F281" i="6"/>
  <c r="E282" i="6"/>
  <c r="F282" i="6"/>
  <c r="E283" i="6"/>
  <c r="F283" i="6"/>
  <c r="E284" i="6"/>
  <c r="F284" i="6"/>
  <c r="E285" i="6"/>
  <c r="F285" i="6"/>
  <c r="E286" i="6"/>
  <c r="F286" i="6"/>
  <c r="E287" i="6"/>
  <c r="F287" i="6"/>
  <c r="E288" i="6"/>
  <c r="F288" i="6"/>
  <c r="E289" i="6"/>
  <c r="F289" i="6"/>
  <c r="E290" i="6"/>
  <c r="F290" i="6"/>
  <c r="E291" i="6"/>
  <c r="F291" i="6"/>
  <c r="E292" i="6"/>
  <c r="F292" i="6"/>
  <c r="E293" i="6"/>
  <c r="F293" i="6"/>
  <c r="E294" i="6"/>
  <c r="F294" i="6"/>
  <c r="E295" i="6"/>
  <c r="F295" i="6"/>
  <c r="E296" i="6"/>
  <c r="F296" i="6"/>
  <c r="E297" i="6"/>
  <c r="F297" i="6"/>
  <c r="E298" i="6"/>
  <c r="F298" i="6"/>
  <c r="E299" i="6"/>
  <c r="F299" i="6"/>
  <c r="E300" i="6"/>
  <c r="F300" i="6"/>
  <c r="E301" i="6"/>
  <c r="F301" i="6"/>
  <c r="E302" i="6"/>
  <c r="F302" i="6"/>
  <c r="E303" i="6"/>
  <c r="F303" i="6"/>
  <c r="E304" i="6"/>
  <c r="F304" i="6"/>
  <c r="E305" i="6"/>
  <c r="F305" i="6"/>
  <c r="E306" i="6"/>
  <c r="F306" i="6"/>
  <c r="E307" i="6"/>
  <c r="F307" i="6"/>
  <c r="E308" i="6"/>
  <c r="F308" i="6"/>
  <c r="E309" i="6"/>
  <c r="F309" i="6"/>
  <c r="E310" i="6"/>
  <c r="F310" i="6"/>
  <c r="E311" i="6"/>
  <c r="F311" i="6"/>
  <c r="E312" i="6"/>
  <c r="F312" i="6"/>
  <c r="E313" i="6"/>
  <c r="F313" i="6"/>
  <c r="E314" i="6"/>
  <c r="F314" i="6"/>
  <c r="E315" i="6"/>
  <c r="F315" i="6"/>
  <c r="E316" i="6"/>
  <c r="F316" i="6"/>
  <c r="E317" i="6"/>
  <c r="F317" i="6"/>
  <c r="E318" i="6"/>
  <c r="F318" i="6"/>
  <c r="E319" i="6"/>
  <c r="F319" i="6"/>
  <c r="E320" i="6"/>
  <c r="F320" i="6"/>
  <c r="E321" i="6"/>
  <c r="F321" i="6"/>
  <c r="E322" i="6"/>
  <c r="F322" i="6"/>
  <c r="E323" i="6"/>
  <c r="F323" i="6"/>
  <c r="E324" i="6"/>
  <c r="F324" i="6"/>
  <c r="E325" i="6"/>
  <c r="F325" i="6"/>
  <c r="E326" i="6"/>
  <c r="F326" i="6"/>
  <c r="E327" i="6"/>
  <c r="F327" i="6"/>
  <c r="E328" i="6"/>
  <c r="F328" i="6"/>
  <c r="E329" i="6"/>
  <c r="F329" i="6"/>
  <c r="E330" i="6"/>
  <c r="F330" i="6"/>
  <c r="E331" i="6"/>
  <c r="F331" i="6"/>
  <c r="E332" i="6"/>
  <c r="F332" i="6"/>
  <c r="E333" i="6"/>
  <c r="F333" i="6"/>
  <c r="E334" i="6"/>
  <c r="F334" i="6"/>
  <c r="E335" i="6"/>
  <c r="F335" i="6"/>
  <c r="E336" i="6"/>
  <c r="F336" i="6"/>
  <c r="E337" i="6"/>
  <c r="F337" i="6"/>
  <c r="E338" i="6"/>
  <c r="F338" i="6"/>
  <c r="E339" i="6"/>
  <c r="F339" i="6"/>
  <c r="E340" i="6"/>
  <c r="F340" i="6"/>
  <c r="E341" i="6"/>
  <c r="F341" i="6"/>
  <c r="E342" i="6"/>
  <c r="F342" i="6"/>
  <c r="E343" i="6"/>
  <c r="F343" i="6"/>
  <c r="E344" i="6"/>
  <c r="F344" i="6"/>
  <c r="E345" i="6"/>
  <c r="F345" i="6"/>
  <c r="E346" i="6"/>
  <c r="F346" i="6"/>
  <c r="E347" i="6"/>
  <c r="F347" i="6"/>
  <c r="E348" i="6"/>
  <c r="F348" i="6"/>
  <c r="E349" i="6"/>
  <c r="F349" i="6"/>
  <c r="E350" i="6"/>
  <c r="F350" i="6"/>
  <c r="E351" i="6"/>
  <c r="F351" i="6"/>
  <c r="E352" i="6"/>
  <c r="F352" i="6"/>
  <c r="E353" i="6"/>
  <c r="F353" i="6"/>
  <c r="E354" i="6"/>
  <c r="F354" i="6"/>
  <c r="E355" i="6"/>
  <c r="F355" i="6"/>
  <c r="E356" i="6"/>
  <c r="F356" i="6"/>
  <c r="E357" i="6"/>
  <c r="F357" i="6"/>
  <c r="E358" i="6"/>
  <c r="F358" i="6"/>
  <c r="E359" i="6"/>
  <c r="F359" i="6"/>
  <c r="E360" i="6"/>
  <c r="F360" i="6"/>
  <c r="E361" i="6"/>
  <c r="F361" i="6"/>
  <c r="E362" i="6"/>
  <c r="F362" i="6"/>
  <c r="E363" i="6"/>
  <c r="F363" i="6"/>
  <c r="E364" i="6"/>
  <c r="F364" i="6"/>
  <c r="E365" i="6"/>
  <c r="F365" i="6"/>
  <c r="E366" i="6"/>
  <c r="F366" i="6"/>
  <c r="E367" i="6"/>
  <c r="F367" i="6"/>
  <c r="E368" i="6"/>
  <c r="F368" i="6"/>
  <c r="E369" i="6"/>
  <c r="F369" i="6"/>
  <c r="E370" i="6"/>
  <c r="F370" i="6"/>
  <c r="E371" i="6"/>
  <c r="F371" i="6"/>
  <c r="E372" i="6"/>
  <c r="F372" i="6"/>
  <c r="E373" i="6"/>
  <c r="F373" i="6"/>
  <c r="E374" i="6"/>
  <c r="F374" i="6"/>
  <c r="E375" i="6"/>
  <c r="F375" i="6"/>
  <c r="E376" i="6"/>
  <c r="F376" i="6"/>
  <c r="E377" i="6"/>
  <c r="F377" i="6"/>
  <c r="E378" i="6"/>
  <c r="F378" i="6"/>
  <c r="E379" i="6"/>
  <c r="F379" i="6"/>
  <c r="E380" i="6"/>
  <c r="F380" i="6"/>
  <c r="E381" i="6"/>
  <c r="F381" i="6"/>
  <c r="E382" i="6"/>
  <c r="F382" i="6"/>
  <c r="E383" i="6"/>
  <c r="F383" i="6"/>
  <c r="E384" i="6"/>
  <c r="F384" i="6"/>
  <c r="E385" i="6"/>
  <c r="F385" i="6"/>
  <c r="E386" i="6"/>
  <c r="F386" i="6"/>
  <c r="E387" i="6"/>
  <c r="F387" i="6"/>
  <c r="E388" i="6"/>
  <c r="F388" i="6"/>
  <c r="E389" i="6"/>
  <c r="F389" i="6"/>
  <c r="E390" i="6"/>
  <c r="F390" i="6"/>
  <c r="E391" i="6"/>
  <c r="F391" i="6"/>
  <c r="E392" i="6"/>
  <c r="F392" i="6"/>
  <c r="E393" i="6"/>
  <c r="F393" i="6"/>
  <c r="E394" i="6"/>
  <c r="F394" i="6"/>
  <c r="E395" i="6"/>
  <c r="F395" i="6"/>
  <c r="E396" i="6"/>
  <c r="F396" i="6"/>
  <c r="E397" i="6"/>
  <c r="F397" i="6"/>
  <c r="E398" i="6"/>
  <c r="F398" i="6"/>
  <c r="E399" i="6"/>
  <c r="F399" i="6"/>
  <c r="E400" i="6"/>
  <c r="F400" i="6"/>
  <c r="E401" i="6"/>
  <c r="F401" i="6"/>
  <c r="E402" i="6"/>
  <c r="F402" i="6"/>
  <c r="E403" i="6"/>
  <c r="F403" i="6"/>
  <c r="E404" i="6"/>
  <c r="F404" i="6"/>
  <c r="E405" i="6"/>
  <c r="F405" i="6"/>
  <c r="E406" i="6"/>
  <c r="F406" i="6"/>
  <c r="E407" i="6"/>
  <c r="F407" i="6"/>
  <c r="E408" i="6"/>
  <c r="F408" i="6"/>
  <c r="E409" i="6"/>
  <c r="F409" i="6"/>
  <c r="E410" i="6"/>
  <c r="F410" i="6"/>
  <c r="E411" i="6"/>
  <c r="F411" i="6"/>
  <c r="E412" i="6"/>
  <c r="F412" i="6"/>
  <c r="E413" i="6"/>
  <c r="F413" i="6"/>
  <c r="E414" i="6"/>
  <c r="F414" i="6"/>
  <c r="E415" i="6"/>
  <c r="F415" i="6"/>
  <c r="E416" i="6"/>
  <c r="F416" i="6"/>
  <c r="E417" i="6"/>
  <c r="F417" i="6"/>
  <c r="E418" i="6"/>
  <c r="F418" i="6"/>
  <c r="E419" i="6"/>
  <c r="F419" i="6"/>
  <c r="E420" i="6"/>
  <c r="F420" i="6"/>
  <c r="E421" i="6"/>
  <c r="F421" i="6"/>
  <c r="E422" i="6"/>
  <c r="F422" i="6"/>
  <c r="E423" i="6"/>
  <c r="F423" i="6"/>
  <c r="E424" i="6"/>
  <c r="F424" i="6"/>
  <c r="E425" i="6"/>
  <c r="F425" i="6"/>
  <c r="E426" i="6"/>
  <c r="F426" i="6"/>
  <c r="E427" i="6"/>
  <c r="F427" i="6"/>
  <c r="E428" i="6"/>
  <c r="F428" i="6"/>
  <c r="E429" i="6"/>
  <c r="F429" i="6"/>
  <c r="E430" i="6"/>
  <c r="F430" i="6"/>
  <c r="E431" i="6"/>
  <c r="F431" i="6"/>
  <c r="E432" i="6"/>
  <c r="F432" i="6"/>
  <c r="E433" i="6"/>
  <c r="F433" i="6"/>
  <c r="E434" i="6"/>
  <c r="F434" i="6"/>
  <c r="E435" i="6"/>
  <c r="F435" i="6"/>
  <c r="E436" i="6"/>
  <c r="F436" i="6"/>
  <c r="E437" i="6"/>
  <c r="F437" i="6"/>
  <c r="E438" i="6"/>
  <c r="F438" i="6"/>
  <c r="E439" i="6"/>
  <c r="F439" i="6"/>
  <c r="E440" i="6"/>
  <c r="F440" i="6"/>
  <c r="E441" i="6"/>
  <c r="F441" i="6"/>
  <c r="E442" i="6"/>
  <c r="F442" i="6"/>
  <c r="E443" i="6"/>
  <c r="F443" i="6"/>
  <c r="E444" i="6"/>
  <c r="F444" i="6"/>
  <c r="E445" i="6"/>
  <c r="F445" i="6"/>
  <c r="E446" i="6"/>
  <c r="F446" i="6"/>
  <c r="E447" i="6"/>
  <c r="F447" i="6"/>
  <c r="E448" i="6"/>
  <c r="F448" i="6"/>
  <c r="E449" i="6"/>
  <c r="F449" i="6"/>
  <c r="E450" i="6"/>
  <c r="F450" i="6"/>
  <c r="E451" i="6"/>
  <c r="F451" i="6"/>
  <c r="E452" i="6"/>
  <c r="F452" i="6"/>
  <c r="E453" i="6"/>
  <c r="F453" i="6"/>
  <c r="E454" i="6"/>
  <c r="F454" i="6"/>
  <c r="E455" i="6"/>
  <c r="F455" i="6"/>
  <c r="E456" i="6"/>
  <c r="F456" i="6"/>
  <c r="E457" i="6"/>
  <c r="F457" i="6"/>
  <c r="E458" i="6"/>
  <c r="F458" i="6"/>
  <c r="E459" i="6"/>
  <c r="F459" i="6"/>
  <c r="E460" i="6"/>
  <c r="F460" i="6"/>
  <c r="E461" i="6"/>
  <c r="F461" i="6"/>
  <c r="E462" i="6"/>
  <c r="F462" i="6"/>
  <c r="E463" i="6"/>
  <c r="F463" i="6"/>
  <c r="E464" i="6"/>
  <c r="F464" i="6"/>
  <c r="E465" i="6"/>
  <c r="F465" i="6"/>
  <c r="E466" i="6"/>
  <c r="F466" i="6"/>
  <c r="E467" i="6"/>
  <c r="F467" i="6"/>
  <c r="E468" i="6"/>
  <c r="F468" i="6"/>
  <c r="E469" i="6"/>
  <c r="F469" i="6"/>
  <c r="E470" i="6"/>
  <c r="F470" i="6"/>
  <c r="E471" i="6"/>
  <c r="F471" i="6"/>
  <c r="E472" i="6"/>
  <c r="F472" i="6"/>
  <c r="E473" i="6"/>
  <c r="F473" i="6"/>
  <c r="E474" i="6"/>
  <c r="F474" i="6"/>
  <c r="E475" i="6"/>
  <c r="F475" i="6"/>
  <c r="E476" i="6"/>
  <c r="F476" i="6"/>
  <c r="E477" i="6"/>
  <c r="F477" i="6"/>
  <c r="E478" i="6"/>
  <c r="F478" i="6"/>
  <c r="E479" i="6"/>
  <c r="F479" i="6"/>
  <c r="E480" i="6"/>
  <c r="F480" i="6"/>
  <c r="E481" i="6"/>
  <c r="F481" i="6"/>
  <c r="E482" i="6"/>
  <c r="F482" i="6"/>
  <c r="E483" i="6"/>
  <c r="F483" i="6"/>
  <c r="E484" i="6"/>
  <c r="F484" i="6"/>
  <c r="E485" i="6"/>
  <c r="F485" i="6"/>
  <c r="E486" i="6"/>
  <c r="F486" i="6"/>
  <c r="E487" i="6"/>
  <c r="F487" i="6"/>
  <c r="E488" i="6"/>
  <c r="F488" i="6"/>
  <c r="E489" i="6"/>
  <c r="F489" i="6"/>
  <c r="E490" i="6"/>
  <c r="F490" i="6"/>
  <c r="E491" i="6"/>
  <c r="F491" i="6"/>
  <c r="E492" i="6"/>
  <c r="F492" i="6"/>
  <c r="E493" i="6"/>
  <c r="F493" i="6"/>
  <c r="E494" i="6"/>
  <c r="F494" i="6"/>
  <c r="E495" i="6"/>
  <c r="F495" i="6"/>
  <c r="E496" i="6"/>
  <c r="F496" i="6"/>
  <c r="E497" i="6"/>
  <c r="F497" i="6"/>
  <c r="E498" i="6"/>
  <c r="F498" i="6"/>
  <c r="E499" i="6"/>
  <c r="F499" i="6"/>
  <c r="E500" i="6"/>
  <c r="F500" i="6"/>
  <c r="E501" i="6"/>
  <c r="F501" i="6"/>
  <c r="E502" i="6"/>
  <c r="F502" i="6"/>
  <c r="E503" i="6"/>
  <c r="F503" i="6"/>
  <c r="E504" i="6"/>
  <c r="F504" i="6"/>
  <c r="E505" i="6"/>
  <c r="F505" i="6"/>
  <c r="E506" i="6"/>
  <c r="F506" i="6"/>
  <c r="E507" i="6"/>
  <c r="F507" i="6"/>
  <c r="E508" i="6"/>
  <c r="F508" i="6"/>
  <c r="E509" i="6"/>
  <c r="F509" i="6"/>
  <c r="E510" i="6"/>
  <c r="F510" i="6"/>
  <c r="E511" i="6"/>
  <c r="F511" i="6"/>
  <c r="E512" i="6"/>
  <c r="F512" i="6"/>
  <c r="E513" i="6"/>
  <c r="F513" i="6"/>
  <c r="E514" i="6"/>
  <c r="F514" i="6"/>
  <c r="E515" i="6"/>
  <c r="F515" i="6"/>
  <c r="E516" i="6"/>
  <c r="F516" i="6"/>
  <c r="E517" i="6"/>
  <c r="F517" i="6"/>
  <c r="E518" i="6"/>
  <c r="F518" i="6"/>
  <c r="E519" i="6"/>
  <c r="F519" i="6"/>
  <c r="E520" i="6"/>
  <c r="F520" i="6"/>
  <c r="E521" i="6"/>
  <c r="F521" i="6"/>
  <c r="E522" i="6"/>
  <c r="F522" i="6"/>
  <c r="E523" i="6"/>
  <c r="F523" i="6"/>
  <c r="E524" i="6"/>
  <c r="F524" i="6"/>
  <c r="E525" i="6"/>
  <c r="F525" i="6"/>
  <c r="E526" i="6"/>
  <c r="F526" i="6"/>
  <c r="E527" i="6"/>
  <c r="F527" i="6"/>
  <c r="E528" i="6"/>
  <c r="F528" i="6"/>
  <c r="E529" i="6"/>
  <c r="F529" i="6"/>
  <c r="E530" i="6"/>
  <c r="F530" i="6"/>
  <c r="E531" i="6"/>
  <c r="F531" i="6"/>
  <c r="E532" i="6"/>
  <c r="F532" i="6"/>
  <c r="E533" i="6"/>
  <c r="F533" i="6"/>
  <c r="E534" i="6"/>
  <c r="F534" i="6"/>
  <c r="E535" i="6"/>
  <c r="F535" i="6"/>
  <c r="E536" i="6"/>
  <c r="F536" i="6"/>
  <c r="E537" i="6"/>
  <c r="F537" i="6"/>
  <c r="E538" i="6"/>
  <c r="F538" i="6"/>
  <c r="E539" i="6"/>
  <c r="F539" i="6"/>
  <c r="E540" i="6"/>
  <c r="F540" i="6"/>
  <c r="E541" i="6"/>
  <c r="F541" i="6"/>
  <c r="E542" i="6"/>
  <c r="F542" i="6"/>
  <c r="E543" i="6"/>
  <c r="F543" i="6"/>
  <c r="E544" i="6"/>
  <c r="F544" i="6"/>
  <c r="E545" i="6"/>
  <c r="F545" i="6"/>
  <c r="E546" i="6"/>
  <c r="F546" i="6"/>
  <c r="E547" i="6"/>
  <c r="F547" i="6"/>
  <c r="E548" i="6"/>
  <c r="F548" i="6"/>
  <c r="E549" i="6"/>
  <c r="F549" i="6"/>
  <c r="E550" i="6"/>
  <c r="F550" i="6"/>
  <c r="E551" i="6"/>
  <c r="F551" i="6"/>
  <c r="E552" i="6"/>
  <c r="F552" i="6"/>
  <c r="E553" i="6"/>
  <c r="F553" i="6"/>
  <c r="E554" i="6"/>
  <c r="F554" i="6"/>
  <c r="E555" i="6"/>
  <c r="F555" i="6"/>
  <c r="E556" i="6"/>
  <c r="F556" i="6"/>
  <c r="E557" i="6"/>
  <c r="F557" i="6"/>
  <c r="E558" i="6"/>
  <c r="F558" i="6"/>
  <c r="E559" i="6"/>
  <c r="F559" i="6"/>
  <c r="E560" i="6"/>
  <c r="F560" i="6"/>
  <c r="E561" i="6"/>
  <c r="F561" i="6"/>
  <c r="E562" i="6"/>
  <c r="F562" i="6"/>
  <c r="E563" i="6"/>
  <c r="F563" i="6"/>
  <c r="E564" i="6"/>
  <c r="F564" i="6"/>
  <c r="E565" i="6"/>
  <c r="F565" i="6"/>
  <c r="E566" i="6"/>
  <c r="F566" i="6"/>
  <c r="E567" i="6"/>
  <c r="F567" i="6"/>
  <c r="E568" i="6"/>
  <c r="F568" i="6"/>
  <c r="E569" i="6"/>
  <c r="F569" i="6"/>
  <c r="E570" i="6"/>
  <c r="F570" i="6"/>
  <c r="E571" i="6"/>
  <c r="F571" i="6"/>
  <c r="E572" i="6"/>
  <c r="F572" i="6"/>
  <c r="E573" i="6"/>
  <c r="F573" i="6"/>
  <c r="E574" i="6"/>
  <c r="F574" i="6"/>
  <c r="E575" i="6"/>
  <c r="F575" i="6"/>
  <c r="E576" i="6"/>
  <c r="F576" i="6"/>
  <c r="E577" i="6"/>
  <c r="F577" i="6"/>
  <c r="E578" i="6"/>
  <c r="F578" i="6"/>
  <c r="E579" i="6"/>
  <c r="F579" i="6"/>
  <c r="E580" i="6"/>
  <c r="F580" i="6"/>
  <c r="E581" i="6"/>
  <c r="F581" i="6"/>
  <c r="E582" i="6"/>
  <c r="F582" i="6"/>
  <c r="E583" i="6"/>
  <c r="F583" i="6"/>
  <c r="E584" i="6"/>
  <c r="F584" i="6"/>
  <c r="E585" i="6"/>
  <c r="F585" i="6"/>
  <c r="E586" i="6"/>
  <c r="F586" i="6"/>
  <c r="E587" i="6"/>
  <c r="F587" i="6"/>
  <c r="E588" i="6"/>
  <c r="F588" i="6"/>
  <c r="E589" i="6"/>
  <c r="F589" i="6"/>
  <c r="E590" i="6"/>
  <c r="F590" i="6"/>
  <c r="E591" i="6"/>
  <c r="F591" i="6"/>
  <c r="E592" i="6"/>
  <c r="F592" i="6"/>
  <c r="E593" i="6"/>
  <c r="F593" i="6"/>
  <c r="E594" i="6"/>
  <c r="F594" i="6"/>
  <c r="E595" i="6"/>
  <c r="F595" i="6"/>
  <c r="E596" i="6"/>
  <c r="F596" i="6"/>
  <c r="E597" i="6"/>
  <c r="F597" i="6"/>
  <c r="E598" i="6"/>
  <c r="F598" i="6"/>
  <c r="E599" i="6"/>
  <c r="F599" i="6"/>
  <c r="E600" i="6"/>
  <c r="F600" i="6"/>
  <c r="E601" i="6"/>
  <c r="F601" i="6"/>
  <c r="E602" i="6"/>
  <c r="F602" i="6"/>
  <c r="E603" i="6"/>
  <c r="F603" i="6"/>
  <c r="E604" i="6"/>
  <c r="F604" i="6"/>
  <c r="E605" i="6"/>
  <c r="F605" i="6"/>
  <c r="E606" i="6"/>
  <c r="F606" i="6"/>
  <c r="E607" i="6"/>
  <c r="F607" i="6"/>
  <c r="E608" i="6"/>
  <c r="F608" i="6"/>
  <c r="E609" i="6"/>
  <c r="F609" i="6"/>
  <c r="E610" i="6"/>
  <c r="F610" i="6"/>
  <c r="E611" i="6"/>
  <c r="F611" i="6"/>
  <c r="E612" i="6"/>
  <c r="F612" i="6"/>
  <c r="E613" i="6"/>
  <c r="F613" i="6"/>
  <c r="E614" i="6"/>
  <c r="F614" i="6"/>
  <c r="E615" i="6"/>
  <c r="F615" i="6"/>
  <c r="E616" i="6"/>
  <c r="F616" i="6"/>
  <c r="E617" i="6"/>
  <c r="F617" i="6"/>
  <c r="E618" i="6"/>
  <c r="F618" i="6"/>
  <c r="E619" i="6"/>
  <c r="F619" i="6"/>
  <c r="E620" i="6"/>
  <c r="F620" i="6"/>
  <c r="E621" i="6"/>
  <c r="F621" i="6"/>
  <c r="E622" i="6"/>
  <c r="F622" i="6"/>
  <c r="E623" i="6"/>
  <c r="F623" i="6"/>
  <c r="E624" i="6"/>
  <c r="F624" i="6"/>
  <c r="E625" i="6"/>
  <c r="F625" i="6"/>
  <c r="E626" i="6"/>
  <c r="F626" i="6"/>
  <c r="E627" i="6"/>
  <c r="F627" i="6"/>
  <c r="E628" i="6"/>
  <c r="F628" i="6"/>
  <c r="E629" i="6"/>
  <c r="F629" i="6"/>
  <c r="E630" i="6"/>
  <c r="F630" i="6"/>
  <c r="E631" i="6"/>
  <c r="F631" i="6"/>
  <c r="E632" i="6"/>
  <c r="F632" i="6"/>
  <c r="E633" i="6"/>
  <c r="F633" i="6"/>
  <c r="E634" i="6"/>
  <c r="F634" i="6"/>
  <c r="E635" i="6"/>
  <c r="F635" i="6"/>
  <c r="E636" i="6"/>
  <c r="F636" i="6"/>
  <c r="E637" i="6"/>
  <c r="F637" i="6"/>
  <c r="E638" i="6"/>
  <c r="F638" i="6"/>
  <c r="E639" i="6"/>
  <c r="F639" i="6"/>
  <c r="E640" i="6"/>
  <c r="F640" i="6"/>
  <c r="E641" i="6"/>
  <c r="F641" i="6"/>
  <c r="E642" i="6"/>
  <c r="F642" i="6"/>
  <c r="E643" i="6"/>
  <c r="F643" i="6"/>
  <c r="E644" i="6"/>
  <c r="F644" i="6"/>
  <c r="E645" i="6"/>
  <c r="F645" i="6"/>
  <c r="E646" i="6"/>
  <c r="F646" i="6"/>
  <c r="E647" i="6"/>
  <c r="F647" i="6"/>
  <c r="E648" i="6"/>
  <c r="F648" i="6"/>
  <c r="E649" i="6"/>
  <c r="F649" i="6"/>
  <c r="E650" i="6"/>
  <c r="F650" i="6"/>
  <c r="E651" i="6"/>
  <c r="F651" i="6"/>
  <c r="E652" i="6"/>
  <c r="F652" i="6"/>
  <c r="E653" i="6"/>
  <c r="F653" i="6"/>
  <c r="E654" i="6"/>
  <c r="F654" i="6"/>
  <c r="E655" i="6"/>
  <c r="F655" i="6"/>
  <c r="E656" i="6"/>
  <c r="F656" i="6"/>
  <c r="E657" i="6"/>
  <c r="F657" i="6"/>
  <c r="E658" i="6"/>
  <c r="F658" i="6"/>
  <c r="E659" i="6"/>
  <c r="F659" i="6"/>
  <c r="E660" i="6"/>
  <c r="F660" i="6"/>
  <c r="E661" i="6"/>
  <c r="F661" i="6"/>
  <c r="E662" i="6"/>
  <c r="F662" i="6"/>
  <c r="E663" i="6"/>
  <c r="F663" i="6"/>
  <c r="E664" i="6"/>
  <c r="F664" i="6"/>
  <c r="E665" i="6"/>
  <c r="F665" i="6"/>
  <c r="E666" i="6"/>
  <c r="F666" i="6"/>
  <c r="E667" i="6"/>
  <c r="F667" i="6"/>
  <c r="E668" i="6"/>
  <c r="F668" i="6"/>
  <c r="E669" i="6"/>
  <c r="F669" i="6"/>
  <c r="E670" i="6"/>
  <c r="F670" i="6"/>
  <c r="E671" i="6"/>
  <c r="F671" i="6"/>
  <c r="E672" i="6"/>
  <c r="F672" i="6"/>
  <c r="E673" i="6"/>
  <c r="F673" i="6"/>
  <c r="E674" i="6"/>
  <c r="F674" i="6"/>
  <c r="E675" i="6"/>
  <c r="F675" i="6"/>
  <c r="E676" i="6"/>
  <c r="F676" i="6"/>
  <c r="E677" i="6"/>
  <c r="F677" i="6"/>
  <c r="E678" i="6"/>
  <c r="F678" i="6"/>
  <c r="E679" i="6"/>
  <c r="F679" i="6"/>
  <c r="E680" i="6"/>
  <c r="F680" i="6"/>
  <c r="E681" i="6"/>
  <c r="F681" i="6"/>
  <c r="E682" i="6"/>
  <c r="F682" i="6"/>
  <c r="E683" i="6"/>
  <c r="F683" i="6"/>
  <c r="E684" i="6"/>
  <c r="F684" i="6"/>
  <c r="E685" i="6"/>
  <c r="F685" i="6"/>
  <c r="E686" i="6"/>
  <c r="F686" i="6"/>
  <c r="E687" i="6"/>
  <c r="F687" i="6"/>
  <c r="E688" i="6"/>
  <c r="F688" i="6"/>
  <c r="E689" i="6"/>
  <c r="F689" i="6"/>
  <c r="E690" i="6"/>
  <c r="F690" i="6"/>
  <c r="E691" i="6"/>
  <c r="F691" i="6"/>
  <c r="E692" i="6"/>
  <c r="F692" i="6"/>
  <c r="E693" i="6"/>
  <c r="F693" i="6"/>
  <c r="E694" i="6"/>
  <c r="F694" i="6"/>
  <c r="E695" i="6"/>
  <c r="F695" i="6"/>
  <c r="E696" i="6"/>
  <c r="F696" i="6"/>
  <c r="E697" i="6"/>
  <c r="F697" i="6"/>
  <c r="E698" i="6"/>
  <c r="F698" i="6"/>
  <c r="E699" i="6"/>
  <c r="F699" i="6"/>
  <c r="E700" i="6"/>
  <c r="F700" i="6"/>
  <c r="E701" i="6"/>
  <c r="F701" i="6"/>
  <c r="E702" i="6"/>
  <c r="F702" i="6"/>
  <c r="E703" i="6"/>
  <c r="F703" i="6"/>
  <c r="E704" i="6"/>
  <c r="F704" i="6"/>
  <c r="E705" i="6"/>
  <c r="F705" i="6"/>
  <c r="E706" i="6"/>
  <c r="F706" i="6"/>
  <c r="E707" i="6"/>
  <c r="F707" i="6"/>
  <c r="E708" i="6"/>
  <c r="F708" i="6"/>
  <c r="E709" i="6"/>
  <c r="F709" i="6"/>
  <c r="E710" i="6"/>
  <c r="F710" i="6"/>
  <c r="E711" i="6"/>
  <c r="F711" i="6"/>
  <c r="E712" i="6"/>
  <c r="F712" i="6"/>
  <c r="E713" i="6"/>
  <c r="F713" i="6"/>
  <c r="E714" i="6"/>
  <c r="F714" i="6"/>
  <c r="E715" i="6"/>
  <c r="F715" i="6"/>
  <c r="E716" i="6"/>
  <c r="F716" i="6"/>
  <c r="E717" i="6"/>
  <c r="F717" i="6"/>
  <c r="E718" i="6"/>
  <c r="F718" i="6"/>
  <c r="E719" i="6"/>
  <c r="F719" i="6"/>
  <c r="E720" i="6"/>
  <c r="F720" i="6"/>
  <c r="E721" i="6"/>
  <c r="F721" i="6"/>
  <c r="E722" i="6"/>
  <c r="F722" i="6"/>
  <c r="E723" i="6"/>
  <c r="F723" i="6"/>
  <c r="E724" i="6"/>
  <c r="F724" i="6"/>
  <c r="E725" i="6"/>
  <c r="F725" i="6"/>
  <c r="E726" i="6"/>
  <c r="F726" i="6"/>
  <c r="E727" i="6"/>
  <c r="F727" i="6"/>
  <c r="E728" i="6"/>
  <c r="F728" i="6"/>
  <c r="E729" i="6"/>
  <c r="F729" i="6"/>
  <c r="E730" i="6"/>
  <c r="F730" i="6"/>
  <c r="E731" i="6"/>
  <c r="F731" i="6"/>
  <c r="E732" i="6"/>
  <c r="F732" i="6"/>
  <c r="E733" i="6"/>
  <c r="F733" i="6"/>
  <c r="E734" i="6"/>
  <c r="F734" i="6"/>
  <c r="E735" i="6"/>
  <c r="F735" i="6"/>
  <c r="E736" i="6"/>
  <c r="F736" i="6"/>
  <c r="E737" i="6"/>
  <c r="F737" i="6"/>
  <c r="E738" i="6"/>
  <c r="F738" i="6"/>
  <c r="E739" i="6"/>
  <c r="F739" i="6"/>
  <c r="E740" i="6"/>
  <c r="F740" i="6"/>
  <c r="E741" i="6"/>
  <c r="F741" i="6"/>
  <c r="E742" i="6"/>
  <c r="F742" i="6"/>
  <c r="E743" i="6"/>
  <c r="F743" i="6"/>
  <c r="E744" i="6"/>
  <c r="F744" i="6"/>
  <c r="E745" i="6"/>
  <c r="F745" i="6"/>
  <c r="E746" i="6"/>
  <c r="F746" i="6"/>
  <c r="E747" i="6"/>
  <c r="F747" i="6"/>
  <c r="E748" i="6"/>
  <c r="F748" i="6"/>
  <c r="E749" i="6"/>
  <c r="F749" i="6"/>
  <c r="E750" i="6"/>
  <c r="F750" i="6"/>
  <c r="E751" i="6"/>
  <c r="F751" i="6"/>
  <c r="E752" i="6"/>
  <c r="F752" i="6"/>
  <c r="E753" i="6"/>
  <c r="F753" i="6"/>
  <c r="E754" i="6"/>
  <c r="F754" i="6"/>
  <c r="E755" i="6"/>
  <c r="F755" i="6"/>
  <c r="E756" i="6"/>
  <c r="F756" i="6"/>
  <c r="E757" i="6"/>
  <c r="F757" i="6"/>
  <c r="E758" i="6"/>
  <c r="F758" i="6"/>
  <c r="E759" i="6"/>
  <c r="F759" i="6"/>
  <c r="E760" i="6"/>
  <c r="F760" i="6"/>
  <c r="E761" i="6"/>
  <c r="F761" i="6"/>
  <c r="E762" i="6"/>
  <c r="F762" i="6"/>
  <c r="E763" i="6"/>
  <c r="F763" i="6"/>
  <c r="E764" i="6"/>
  <c r="F764" i="6"/>
  <c r="E765" i="6"/>
  <c r="F765" i="6"/>
  <c r="E766" i="6"/>
  <c r="F766" i="6"/>
  <c r="E767" i="6"/>
  <c r="F767" i="6"/>
  <c r="E768" i="6"/>
  <c r="F768" i="6"/>
  <c r="E769" i="6"/>
  <c r="F769" i="6"/>
  <c r="E770" i="6"/>
  <c r="F770" i="6"/>
  <c r="E771" i="6"/>
  <c r="F771" i="6"/>
  <c r="E772" i="6"/>
  <c r="F772" i="6"/>
  <c r="E773" i="6"/>
  <c r="F773" i="6"/>
  <c r="E774" i="6"/>
  <c r="F774" i="6"/>
  <c r="E775" i="6"/>
  <c r="F775" i="6"/>
  <c r="E776" i="6"/>
  <c r="F776" i="6"/>
  <c r="E777" i="6"/>
  <c r="F777" i="6"/>
  <c r="E778" i="6"/>
  <c r="F778" i="6"/>
  <c r="E779" i="6"/>
  <c r="F779" i="6"/>
  <c r="E780" i="6"/>
  <c r="F780" i="6"/>
  <c r="E781" i="6"/>
  <c r="F781" i="6"/>
  <c r="E782" i="6"/>
  <c r="F782" i="6"/>
  <c r="E783" i="6"/>
  <c r="F783" i="6"/>
  <c r="E784" i="6"/>
  <c r="F784" i="6"/>
  <c r="E785" i="6"/>
  <c r="F785" i="6"/>
  <c r="E786" i="6"/>
  <c r="F786" i="6"/>
  <c r="E787" i="6"/>
  <c r="F787" i="6"/>
  <c r="E788" i="6"/>
  <c r="F788" i="6"/>
  <c r="E789" i="6"/>
  <c r="F789" i="6"/>
  <c r="E790" i="6"/>
  <c r="F790" i="6"/>
  <c r="E791" i="6"/>
  <c r="F791" i="6"/>
  <c r="E792" i="6"/>
  <c r="F792" i="6"/>
  <c r="E793" i="6"/>
  <c r="F793" i="6"/>
  <c r="E794" i="6"/>
  <c r="F794" i="6"/>
  <c r="E795" i="6"/>
  <c r="F795" i="6"/>
  <c r="E796" i="6"/>
  <c r="F796" i="6"/>
  <c r="E797" i="6"/>
  <c r="F797" i="6"/>
  <c r="E798" i="6"/>
  <c r="F798" i="6"/>
  <c r="E799" i="6"/>
  <c r="F799" i="6"/>
  <c r="E800" i="6"/>
  <c r="F800" i="6"/>
  <c r="E801" i="6"/>
  <c r="F801" i="6"/>
  <c r="E802" i="6"/>
  <c r="F802" i="6"/>
  <c r="E803" i="6"/>
  <c r="F803" i="6"/>
  <c r="E804" i="6"/>
  <c r="F804" i="6"/>
  <c r="E805" i="6"/>
  <c r="F805" i="6"/>
  <c r="E806" i="6"/>
  <c r="F806" i="6"/>
  <c r="E807" i="6"/>
  <c r="F807" i="6"/>
  <c r="E808" i="6"/>
  <c r="F808" i="6"/>
  <c r="E809" i="6"/>
  <c r="F809" i="6"/>
  <c r="E810" i="6"/>
  <c r="F810" i="6"/>
  <c r="E811" i="6"/>
  <c r="F811" i="6"/>
  <c r="E812" i="6"/>
  <c r="F812" i="6"/>
  <c r="E813" i="6"/>
  <c r="F813" i="6"/>
  <c r="E814" i="6"/>
  <c r="F814" i="6"/>
  <c r="E815" i="6"/>
  <c r="F815" i="6"/>
  <c r="E816" i="6"/>
  <c r="F816" i="6"/>
  <c r="E817" i="6"/>
  <c r="F817" i="6"/>
  <c r="E818" i="6"/>
  <c r="F818" i="6"/>
  <c r="E819" i="6"/>
  <c r="F819" i="6"/>
  <c r="E820" i="6"/>
  <c r="F820" i="6"/>
  <c r="E821" i="6"/>
  <c r="F821" i="6"/>
  <c r="E822" i="6"/>
  <c r="F822" i="6"/>
  <c r="E823" i="6"/>
  <c r="F823" i="6"/>
  <c r="E824" i="6"/>
  <c r="F824" i="6"/>
  <c r="E825" i="6"/>
  <c r="F825" i="6"/>
  <c r="E826" i="6"/>
  <c r="F826" i="6"/>
  <c r="E827" i="6"/>
  <c r="F827" i="6"/>
  <c r="E828" i="6"/>
  <c r="F828" i="6"/>
  <c r="E829" i="6"/>
  <c r="F829" i="6"/>
  <c r="E830" i="6"/>
  <c r="F830" i="6"/>
  <c r="E831" i="6"/>
  <c r="F831" i="6"/>
  <c r="E832" i="6"/>
  <c r="F832" i="6"/>
  <c r="E833" i="6"/>
  <c r="F833" i="6"/>
  <c r="E834" i="6"/>
  <c r="F834" i="6"/>
  <c r="E835" i="6"/>
  <c r="F835" i="6"/>
  <c r="E836" i="6"/>
  <c r="F836" i="6"/>
  <c r="E837" i="6"/>
  <c r="F837" i="6"/>
  <c r="E838" i="6"/>
  <c r="F838" i="6"/>
  <c r="E839" i="6"/>
  <c r="F839" i="6"/>
  <c r="E840" i="6"/>
  <c r="F840" i="6"/>
  <c r="E841" i="6"/>
  <c r="F841" i="6"/>
  <c r="E842" i="6"/>
  <c r="F842" i="6"/>
  <c r="E843" i="6"/>
  <c r="F843" i="6"/>
  <c r="E844" i="6"/>
  <c r="F844" i="6"/>
  <c r="E845" i="6"/>
  <c r="F845" i="6"/>
  <c r="E846" i="6"/>
  <c r="F846" i="6"/>
  <c r="E847" i="6"/>
  <c r="F847" i="6"/>
  <c r="E848" i="6"/>
  <c r="F848" i="6"/>
  <c r="E849" i="6"/>
  <c r="F849" i="6"/>
  <c r="E850" i="6"/>
  <c r="F850" i="6"/>
  <c r="E851" i="6"/>
  <c r="F851" i="6"/>
  <c r="E852" i="6"/>
  <c r="F852" i="6"/>
  <c r="E853" i="6"/>
  <c r="F853" i="6"/>
  <c r="E854" i="6"/>
  <c r="F854" i="6"/>
  <c r="E855" i="6"/>
  <c r="F855" i="6"/>
  <c r="E856" i="6"/>
  <c r="F856" i="6"/>
  <c r="E857" i="6"/>
  <c r="F857" i="6"/>
  <c r="E858" i="6"/>
  <c r="F858" i="6"/>
  <c r="E859" i="6"/>
  <c r="F859" i="6"/>
  <c r="E860" i="6"/>
  <c r="F860" i="6"/>
  <c r="E861" i="6"/>
  <c r="F861" i="6"/>
  <c r="E862" i="6"/>
  <c r="F862" i="6"/>
  <c r="E863" i="6"/>
  <c r="F863" i="6"/>
  <c r="E864" i="6"/>
  <c r="F864" i="6"/>
  <c r="E865" i="6"/>
  <c r="F865" i="6"/>
  <c r="E866" i="6"/>
  <c r="F866" i="6"/>
  <c r="E867" i="6"/>
  <c r="F867" i="6"/>
  <c r="E868" i="6"/>
  <c r="F868" i="6"/>
  <c r="E869" i="6"/>
  <c r="F869" i="6"/>
  <c r="E870" i="6"/>
  <c r="F870" i="6"/>
  <c r="E871" i="6"/>
  <c r="F871" i="6"/>
  <c r="E872" i="6"/>
  <c r="F872" i="6"/>
  <c r="E873" i="6"/>
  <c r="F873" i="6"/>
  <c r="E874" i="6"/>
  <c r="F874" i="6"/>
  <c r="E875" i="6"/>
  <c r="F875" i="6"/>
  <c r="E876" i="6"/>
  <c r="F876" i="6"/>
  <c r="E877" i="6"/>
  <c r="F877" i="6"/>
  <c r="E878" i="6"/>
  <c r="F878" i="6"/>
  <c r="E879" i="6"/>
  <c r="F879" i="6"/>
  <c r="E880" i="6"/>
  <c r="F880" i="6"/>
  <c r="E881" i="6"/>
  <c r="F881" i="6"/>
  <c r="E882" i="6"/>
  <c r="F882" i="6"/>
  <c r="E883" i="6"/>
  <c r="F883" i="6"/>
  <c r="E884" i="6"/>
  <c r="F884" i="6"/>
  <c r="E885" i="6"/>
  <c r="F885" i="6"/>
  <c r="E886" i="6"/>
  <c r="F886" i="6"/>
  <c r="E887" i="6"/>
  <c r="F887" i="6"/>
  <c r="E888" i="6"/>
  <c r="F888" i="6"/>
  <c r="E889" i="6"/>
  <c r="F889" i="6"/>
  <c r="E890" i="6"/>
  <c r="F890" i="6"/>
  <c r="E891" i="6"/>
  <c r="F891" i="6"/>
  <c r="E892" i="6"/>
  <c r="F892" i="6"/>
  <c r="E893" i="6"/>
  <c r="F893" i="6"/>
  <c r="E894" i="6"/>
  <c r="F894" i="6"/>
  <c r="E895" i="6"/>
  <c r="F895" i="6"/>
  <c r="E896" i="6"/>
  <c r="F896" i="6"/>
  <c r="E897" i="6"/>
  <c r="F897" i="6"/>
  <c r="E898" i="6"/>
  <c r="F898" i="6"/>
  <c r="E899" i="6"/>
  <c r="F899" i="6"/>
  <c r="E900" i="6"/>
  <c r="F900" i="6"/>
  <c r="E901" i="6"/>
  <c r="F901" i="6"/>
  <c r="E902" i="6"/>
  <c r="F902" i="6"/>
  <c r="E903" i="6"/>
  <c r="F903" i="6"/>
  <c r="E904" i="6"/>
  <c r="F904" i="6"/>
  <c r="E905" i="6"/>
  <c r="F905" i="6"/>
  <c r="E906" i="6"/>
  <c r="F906" i="6"/>
  <c r="E907" i="6"/>
  <c r="F907" i="6"/>
  <c r="E908" i="6"/>
  <c r="F908" i="6"/>
  <c r="E909" i="6"/>
  <c r="F909" i="6"/>
  <c r="E910" i="6"/>
  <c r="F910" i="6"/>
  <c r="E911" i="6"/>
  <c r="F911" i="6"/>
  <c r="E912" i="6"/>
  <c r="F912" i="6"/>
  <c r="E913" i="6"/>
  <c r="F913" i="6"/>
  <c r="E914" i="6"/>
  <c r="F914" i="6"/>
  <c r="E915" i="6"/>
  <c r="F915" i="6"/>
  <c r="E916" i="6"/>
  <c r="F916" i="6"/>
  <c r="E917" i="6"/>
  <c r="F917" i="6"/>
  <c r="E918" i="6"/>
  <c r="F918" i="6"/>
  <c r="E919" i="6"/>
  <c r="F919" i="6"/>
  <c r="E920" i="6"/>
  <c r="F920" i="6"/>
  <c r="E921" i="6"/>
  <c r="F921" i="6"/>
  <c r="E922" i="6"/>
  <c r="F922" i="6"/>
  <c r="E923" i="6"/>
  <c r="F923" i="6"/>
  <c r="E924" i="6"/>
  <c r="F924" i="6"/>
  <c r="E925" i="6"/>
  <c r="F925" i="6"/>
  <c r="E926" i="6"/>
  <c r="F926" i="6"/>
  <c r="E927" i="6"/>
  <c r="F927" i="6"/>
  <c r="E928" i="6"/>
  <c r="F928" i="6"/>
  <c r="E929" i="6"/>
  <c r="F929" i="6"/>
  <c r="E930" i="6"/>
  <c r="F930" i="6"/>
  <c r="E931" i="6"/>
  <c r="F931" i="6"/>
  <c r="E932" i="6"/>
  <c r="F932" i="6"/>
  <c r="E933" i="6"/>
  <c r="F933" i="6"/>
  <c r="E934" i="6"/>
  <c r="F934" i="6"/>
  <c r="E935" i="6"/>
  <c r="F935" i="6"/>
  <c r="E936" i="6"/>
  <c r="F936" i="6"/>
  <c r="E937" i="6"/>
  <c r="F937" i="6"/>
  <c r="E938" i="6"/>
  <c r="F938" i="6"/>
  <c r="E939" i="6"/>
  <c r="F939" i="6"/>
  <c r="E940" i="6"/>
  <c r="F940" i="6"/>
  <c r="E941" i="6"/>
  <c r="F941" i="6"/>
  <c r="E942" i="6"/>
  <c r="F942" i="6"/>
  <c r="E943" i="6"/>
  <c r="F943" i="6"/>
  <c r="E944" i="6"/>
  <c r="F944" i="6"/>
  <c r="E945" i="6"/>
  <c r="F945" i="6"/>
  <c r="E946" i="6"/>
  <c r="F946" i="6"/>
  <c r="E947" i="6"/>
  <c r="F947" i="6"/>
  <c r="E948" i="6"/>
  <c r="F948" i="6"/>
  <c r="E949" i="6"/>
  <c r="F949" i="6"/>
  <c r="E950" i="6"/>
  <c r="F950" i="6"/>
  <c r="E951" i="6"/>
  <c r="F951" i="6"/>
  <c r="E952" i="6"/>
  <c r="F952" i="6"/>
  <c r="E953" i="6"/>
  <c r="F953" i="6"/>
  <c r="E954" i="6"/>
  <c r="F954" i="6"/>
  <c r="E955" i="6"/>
  <c r="F955" i="6"/>
  <c r="E956" i="6"/>
  <c r="F956" i="6"/>
  <c r="E957" i="6"/>
  <c r="F957" i="6"/>
  <c r="E958" i="6"/>
  <c r="F958" i="6"/>
  <c r="E959" i="6"/>
  <c r="F959" i="6"/>
  <c r="E960" i="6"/>
  <c r="F960" i="6"/>
  <c r="E961" i="6"/>
  <c r="F961" i="6"/>
  <c r="E962" i="6"/>
  <c r="F962" i="6"/>
  <c r="E963" i="6"/>
  <c r="F963" i="6"/>
  <c r="E964" i="6"/>
  <c r="F964" i="6"/>
  <c r="E965" i="6"/>
  <c r="F965" i="6"/>
  <c r="E966" i="6"/>
  <c r="F966" i="6"/>
  <c r="E967" i="6"/>
  <c r="F967" i="6"/>
  <c r="E968" i="6"/>
  <c r="F968" i="6"/>
  <c r="E969" i="6"/>
  <c r="F969" i="6"/>
  <c r="E970" i="6"/>
  <c r="F970" i="6"/>
  <c r="E971" i="6"/>
  <c r="F971" i="6"/>
  <c r="E972" i="6"/>
  <c r="F972" i="6"/>
  <c r="E973" i="6"/>
  <c r="F973" i="6"/>
  <c r="E974" i="6"/>
  <c r="F974" i="6"/>
  <c r="E975" i="6"/>
  <c r="F975" i="6"/>
  <c r="E976" i="6"/>
  <c r="F976" i="6"/>
  <c r="E977" i="6"/>
  <c r="F977" i="6"/>
  <c r="E978" i="6"/>
  <c r="F978" i="6"/>
  <c r="E979" i="6"/>
  <c r="F979" i="6"/>
  <c r="E980" i="6"/>
  <c r="F980" i="6"/>
  <c r="E981" i="6"/>
  <c r="F981" i="6"/>
  <c r="E982" i="6"/>
  <c r="F982" i="6"/>
  <c r="E983" i="6"/>
  <c r="F983" i="6"/>
  <c r="E984" i="6"/>
  <c r="F984" i="6"/>
  <c r="E985" i="6"/>
  <c r="F985" i="6"/>
  <c r="E986" i="6"/>
  <c r="F986" i="6"/>
  <c r="E987" i="6"/>
  <c r="F987" i="6"/>
  <c r="E988" i="6"/>
  <c r="F988" i="6"/>
  <c r="E989" i="6"/>
  <c r="F989" i="6"/>
  <c r="E990" i="6"/>
  <c r="F990" i="6"/>
  <c r="E991" i="6"/>
  <c r="F991" i="6"/>
  <c r="E992" i="6"/>
  <c r="F992" i="6"/>
  <c r="E993" i="6"/>
  <c r="F993" i="6"/>
  <c r="E994" i="6"/>
  <c r="F994" i="6"/>
  <c r="E995" i="6"/>
  <c r="F995" i="6"/>
  <c r="E996" i="6"/>
  <c r="F996" i="6"/>
  <c r="E997" i="6"/>
  <c r="F997" i="6"/>
  <c r="E998" i="6"/>
  <c r="F998" i="6"/>
  <c r="E999" i="6"/>
  <c r="F999" i="6"/>
  <c r="E1000" i="6"/>
  <c r="F1000" i="6"/>
  <c r="E1001" i="6"/>
  <c r="F1001" i="6"/>
  <c r="E1002" i="6"/>
  <c r="F1002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C5" i="5"/>
  <c r="B8" i="4"/>
  <c r="D9" i="4"/>
  <c r="G8" i="3"/>
  <c r="B8" i="3"/>
  <c r="G4" i="3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C2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5" i="2"/>
  <c r="G4" i="1"/>
  <c r="D4" i="1"/>
  <c r="B13" i="4" l="1"/>
  <c r="M23" i="6"/>
  <c r="L23" i="6"/>
  <c r="M17" i="6" a="1"/>
  <c r="M8" i="6"/>
  <c r="L17" i="6" a="1"/>
  <c r="L8" i="6"/>
  <c r="C6" i="5"/>
  <c r="M20" i="6"/>
  <c r="M12" i="6"/>
  <c r="L12" i="6"/>
  <c r="L11" i="6"/>
  <c r="B9" i="4"/>
  <c r="M24" i="6" l="1"/>
  <c r="L24" i="6"/>
  <c r="M17" i="6"/>
  <c r="M18" i="6" s="1"/>
  <c r="L17" i="6"/>
  <c r="L18" i="6" s="1"/>
  <c r="M13" i="6"/>
  <c r="L13" i="6"/>
  <c r="E9" i="4"/>
  <c r="H9" i="4" s="1"/>
  <c r="I9" i="4" s="1"/>
  <c r="H954" i="6" l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2" i="6"/>
  <c r="H33" i="6"/>
  <c r="H34" i="6"/>
  <c r="H35" i="6"/>
  <c r="H36" i="6"/>
  <c r="H37" i="6"/>
  <c r="H38" i="6"/>
  <c r="H39" i="6"/>
  <c r="H41" i="6"/>
  <c r="H42" i="6"/>
  <c r="H43" i="6"/>
  <c r="H44" i="6"/>
  <c r="H45" i="6"/>
  <c r="H47" i="6"/>
  <c r="H50" i="6"/>
  <c r="H52" i="6"/>
  <c r="H55" i="6"/>
  <c r="H59" i="6"/>
  <c r="H61" i="6"/>
  <c r="H62" i="6"/>
  <c r="H65" i="6"/>
  <c r="H67" i="6"/>
  <c r="H69" i="6"/>
  <c r="H71" i="6"/>
  <c r="H74" i="6"/>
  <c r="H80" i="6"/>
  <c r="H82" i="6"/>
  <c r="H85" i="6"/>
  <c r="H89" i="6"/>
  <c r="H92" i="6"/>
  <c r="H94" i="6"/>
  <c r="H96" i="6"/>
  <c r="H98" i="6"/>
  <c r="H102" i="6"/>
  <c r="H105" i="6"/>
  <c r="H107" i="6"/>
  <c r="H110" i="6"/>
  <c r="H111" i="6"/>
  <c r="H115" i="6"/>
  <c r="H117" i="6"/>
  <c r="H119" i="6"/>
  <c r="H122" i="6"/>
  <c r="H126" i="6"/>
  <c r="H128" i="6"/>
  <c r="H130" i="6"/>
  <c r="H132" i="6"/>
  <c r="H135" i="6"/>
  <c r="H137" i="6"/>
  <c r="H141" i="6"/>
  <c r="H143" i="6"/>
  <c r="H146" i="6"/>
  <c r="H148" i="6"/>
  <c r="H152" i="6"/>
  <c r="H153" i="6"/>
  <c r="H165" i="6"/>
  <c r="H170" i="6"/>
  <c r="H249" i="6"/>
  <c r="H251" i="6"/>
  <c r="H253" i="6"/>
  <c r="H256" i="6"/>
  <c r="H258" i="6"/>
  <c r="H263" i="6"/>
  <c r="H267" i="6"/>
  <c r="H273" i="6"/>
  <c r="H275" i="6"/>
  <c r="H279" i="6"/>
  <c r="H281" i="6"/>
  <c r="H286" i="6"/>
  <c r="H288" i="6"/>
  <c r="H295" i="6"/>
  <c r="H296" i="6"/>
  <c r="H302" i="6"/>
  <c r="H303" i="6"/>
  <c r="H307" i="6"/>
  <c r="H312" i="6"/>
  <c r="H314" i="6"/>
  <c r="H325" i="6"/>
  <c r="H329" i="6"/>
  <c r="H330" i="6"/>
  <c r="H334" i="6"/>
  <c r="H339" i="6"/>
  <c r="H347" i="6"/>
  <c r="H350" i="6"/>
  <c r="H355" i="6"/>
  <c r="H364" i="6"/>
  <c r="H371" i="6"/>
  <c r="H392" i="6"/>
  <c r="H403" i="6"/>
  <c r="H417" i="6"/>
  <c r="H419" i="6"/>
  <c r="H422" i="6"/>
  <c r="H426" i="6"/>
  <c r="H427" i="6"/>
  <c r="H428" i="6"/>
  <c r="H434" i="6"/>
  <c r="H451" i="6"/>
  <c r="H456" i="6"/>
  <c r="H466" i="6"/>
  <c r="H468" i="6"/>
  <c r="H474" i="6"/>
  <c r="H478" i="6"/>
  <c r="H481" i="6"/>
  <c r="H490" i="6"/>
  <c r="H491" i="6"/>
  <c r="H497" i="6"/>
  <c r="H503" i="6"/>
  <c r="H506" i="6"/>
  <c r="H514" i="6"/>
  <c r="H517" i="6"/>
  <c r="H519" i="6"/>
  <c r="H520" i="6"/>
  <c r="H522" i="6"/>
  <c r="H523" i="6"/>
  <c r="H531" i="6"/>
  <c r="H544" i="6"/>
  <c r="H548" i="6"/>
  <c r="H554" i="6"/>
  <c r="H557" i="6"/>
  <c r="H567" i="6"/>
  <c r="H579" i="6"/>
  <c r="H580" i="6"/>
  <c r="H587" i="6"/>
  <c r="H593" i="6"/>
  <c r="H597" i="6"/>
  <c r="H604" i="6"/>
  <c r="H607" i="6"/>
  <c r="H609" i="6"/>
  <c r="H610" i="6"/>
  <c r="H617" i="6"/>
  <c r="H619" i="6"/>
  <c r="H634" i="6"/>
  <c r="H633" i="6"/>
  <c r="H616" i="6"/>
  <c r="H611" i="6"/>
  <c r="H608" i="6"/>
  <c r="H602" i="6"/>
  <c r="H591" i="6"/>
  <c r="H586" i="6"/>
  <c r="H576" i="6"/>
  <c r="H573" i="6"/>
  <c r="H571" i="6"/>
  <c r="H562" i="6"/>
  <c r="H560" i="6"/>
  <c r="H551" i="6"/>
  <c r="H546" i="6"/>
  <c r="H535" i="6"/>
  <c r="H524" i="6"/>
  <c r="H521" i="6"/>
  <c r="H513" i="6"/>
  <c r="H507" i="6"/>
  <c r="H492" i="6"/>
  <c r="H488" i="6"/>
  <c r="H482" i="6"/>
  <c r="H475" i="6"/>
  <c r="H471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461" i="6"/>
  <c r="H458" i="6"/>
  <c r="H446" i="6"/>
  <c r="H435" i="6"/>
  <c r="H432" i="6"/>
  <c r="H429" i="6"/>
  <c r="H425" i="6"/>
  <c r="H423" i="6"/>
  <c r="H418" i="6"/>
  <c r="H414" i="6"/>
  <c r="H395" i="6"/>
  <c r="H376" i="6"/>
  <c r="H367" i="6"/>
  <c r="H363" i="6"/>
  <c r="H358" i="6"/>
  <c r="H348" i="6"/>
  <c r="H338" i="6"/>
  <c r="H322" i="6"/>
  <c r="H320" i="6"/>
  <c r="H316" i="6"/>
  <c r="H311" i="6"/>
  <c r="H308" i="6"/>
  <c r="H305" i="6"/>
  <c r="H298" i="6"/>
  <c r="H294" i="6"/>
  <c r="H292" i="6"/>
  <c r="H291" i="6"/>
  <c r="H290" i="6"/>
  <c r="H284" i="6"/>
  <c r="H283" i="6"/>
  <c r="H282" i="6"/>
  <c r="H272" i="6"/>
  <c r="H271" i="6"/>
  <c r="H269" i="6"/>
  <c r="H262" i="6"/>
  <c r="H261" i="6"/>
  <c r="H255" i="6"/>
  <c r="H248" i="6"/>
  <c r="H246" i="6"/>
  <c r="H245" i="6"/>
  <c r="H242" i="6"/>
  <c r="H240" i="6"/>
  <c r="H229" i="6"/>
  <c r="H227" i="6"/>
  <c r="H225" i="6"/>
  <c r="H223" i="6"/>
  <c r="H221" i="6"/>
  <c r="H219" i="6"/>
  <c r="H217" i="6"/>
  <c r="H212" i="6"/>
  <c r="H210" i="6"/>
  <c r="H208" i="6"/>
  <c r="H207" i="6"/>
  <c r="H206" i="6"/>
  <c r="H205" i="6"/>
  <c r="H202" i="6"/>
  <c r="H199" i="6"/>
  <c r="H198" i="6"/>
  <c r="H197" i="6"/>
  <c r="H196" i="6"/>
  <c r="H194" i="6"/>
  <c r="H193" i="6"/>
  <c r="H191" i="6"/>
  <c r="H190" i="6"/>
  <c r="H187" i="6"/>
  <c r="H186" i="6"/>
  <c r="H185" i="6"/>
  <c r="H183" i="6"/>
  <c r="H181" i="6"/>
  <c r="H179" i="6"/>
  <c r="H177" i="6"/>
  <c r="H176" i="6"/>
  <c r="H175" i="6"/>
  <c r="H174" i="6"/>
  <c r="H172" i="6"/>
  <c r="H169" i="6"/>
  <c r="H168" i="6"/>
  <c r="H166" i="6"/>
  <c r="H163" i="6"/>
  <c r="H162" i="6"/>
  <c r="H161" i="6"/>
  <c r="H160" i="6"/>
  <c r="H156" i="6"/>
  <c r="H155" i="6"/>
  <c r="H154" i="6"/>
  <c r="H151" i="6"/>
  <c r="H149" i="6"/>
  <c r="H145" i="6"/>
  <c r="H144" i="6"/>
  <c r="H140" i="6"/>
  <c r="H138" i="6"/>
  <c r="H134" i="6"/>
  <c r="H131" i="6"/>
  <c r="H129" i="6"/>
  <c r="H125" i="6"/>
  <c r="H123" i="6"/>
  <c r="H120" i="6"/>
  <c r="H116" i="6"/>
  <c r="H114" i="6"/>
  <c r="H112" i="6"/>
  <c r="H108" i="6"/>
  <c r="H106" i="6"/>
  <c r="H103" i="6"/>
  <c r="H101" i="6"/>
  <c r="H99" i="6"/>
  <c r="H97" i="6"/>
  <c r="H93" i="6"/>
  <c r="H90" i="6"/>
  <c r="H87" i="6"/>
  <c r="H86" i="6"/>
  <c r="H83" i="6"/>
  <c r="H81" i="6"/>
  <c r="H78" i="6"/>
  <c r="H77" i="6"/>
  <c r="H75" i="6"/>
  <c r="H73" i="6"/>
  <c r="H70" i="6"/>
  <c r="H66" i="6"/>
  <c r="H63" i="6"/>
  <c r="H58" i="6"/>
  <c r="H57" i="6"/>
  <c r="H54" i="6"/>
  <c r="H53" i="6"/>
  <c r="H49" i="6"/>
  <c r="H48" i="6"/>
  <c r="H40" i="6"/>
  <c r="H31" i="6"/>
  <c r="H630" i="6"/>
  <c r="H626" i="6"/>
  <c r="H623" i="6"/>
  <c r="H614" i="6"/>
  <c r="H605" i="6"/>
  <c r="H599" i="6"/>
  <c r="H594" i="6"/>
  <c r="H589" i="6"/>
  <c r="H583" i="6"/>
  <c r="H578" i="6"/>
  <c r="H575" i="6"/>
  <c r="H572" i="6"/>
  <c r="H569" i="6"/>
  <c r="H565" i="6"/>
  <c r="H561" i="6"/>
  <c r="H559" i="6"/>
  <c r="H556" i="6"/>
  <c r="H553" i="6"/>
  <c r="H549" i="6"/>
  <c r="H545" i="6"/>
  <c r="H542" i="6"/>
  <c r="H540" i="6"/>
  <c r="H537" i="6"/>
  <c r="H533" i="6"/>
  <c r="H530" i="6"/>
  <c r="H525" i="6"/>
  <c r="H516" i="6"/>
  <c r="H511" i="6"/>
  <c r="H508" i="6"/>
  <c r="H504" i="6"/>
  <c r="H501" i="6"/>
  <c r="H495" i="6"/>
  <c r="H493" i="6"/>
  <c r="H487" i="6"/>
  <c r="H484" i="6"/>
  <c r="H480" i="6"/>
  <c r="H477" i="6"/>
  <c r="H470" i="6"/>
  <c r="H467" i="6"/>
  <c r="H463" i="6"/>
  <c r="H459" i="6"/>
  <c r="H454" i="6"/>
  <c r="H450" i="6"/>
  <c r="H444" i="6"/>
  <c r="H441" i="6"/>
  <c r="H437" i="6"/>
  <c r="H420" i="6"/>
  <c r="H415" i="6"/>
  <c r="H412" i="6"/>
  <c r="H408" i="6"/>
  <c r="H406" i="6"/>
  <c r="H404" i="6"/>
  <c r="H401" i="6"/>
  <c r="H397" i="6"/>
  <c r="H386" i="6"/>
  <c r="H382" i="6"/>
  <c r="H379" i="6"/>
  <c r="H373" i="6"/>
  <c r="H361" i="6"/>
  <c r="H352" i="6"/>
  <c r="H631" i="6"/>
  <c r="H628" i="6"/>
  <c r="H624" i="6"/>
  <c r="H621" i="6"/>
  <c r="H613" i="6"/>
  <c r="H603" i="6"/>
  <c r="H601" i="6"/>
  <c r="H596" i="6"/>
  <c r="H592" i="6"/>
  <c r="H585" i="6"/>
  <c r="H582" i="6"/>
  <c r="H577" i="6"/>
  <c r="H570" i="6"/>
  <c r="H568" i="6"/>
  <c r="H564" i="6"/>
  <c r="H558" i="6"/>
  <c r="H555" i="6"/>
  <c r="H552" i="6"/>
  <c r="H547" i="6"/>
  <c r="H541" i="6"/>
  <c r="H538" i="6"/>
  <c r="H536" i="6"/>
  <c r="H534" i="6"/>
  <c r="H529" i="6"/>
  <c r="H528" i="6"/>
  <c r="H526" i="6"/>
  <c r="H518" i="6"/>
  <c r="H512" i="6"/>
  <c r="H509" i="6"/>
  <c r="H505" i="6"/>
  <c r="H502" i="6"/>
  <c r="H499" i="6"/>
  <c r="H496" i="6"/>
  <c r="H486" i="6"/>
  <c r="H483" i="6"/>
  <c r="H479" i="6"/>
  <c r="H476" i="6"/>
  <c r="H473" i="6"/>
  <c r="H469" i="6"/>
  <c r="H464" i="6"/>
  <c r="H462" i="6"/>
  <c r="H460" i="6"/>
  <c r="H455" i="6"/>
  <c r="H448" i="6"/>
  <c r="H445" i="6"/>
  <c r="H442" i="6"/>
  <c r="H439" i="6"/>
  <c r="H431" i="6"/>
  <c r="H416" i="6"/>
  <c r="H410" i="6"/>
  <c r="H407" i="6"/>
  <c r="H398" i="6"/>
  <c r="H396" i="6"/>
  <c r="H391" i="6"/>
  <c r="H387" i="6"/>
  <c r="H385" i="6"/>
  <c r="H381" i="6"/>
  <c r="H378" i="6"/>
  <c r="H375" i="6"/>
  <c r="H372" i="6"/>
  <c r="H369" i="6"/>
  <c r="H366" i="6"/>
  <c r="H360" i="6"/>
  <c r="H354" i="6"/>
  <c r="H351" i="6"/>
  <c r="H345" i="6"/>
  <c r="H342" i="6"/>
  <c r="H336" i="6"/>
  <c r="H632" i="6"/>
  <c r="H627" i="6"/>
  <c r="H625" i="6"/>
  <c r="H622" i="6"/>
  <c r="H620" i="6"/>
  <c r="H615" i="6"/>
  <c r="H612" i="6"/>
  <c r="H600" i="6"/>
  <c r="H598" i="6"/>
  <c r="H595" i="6"/>
  <c r="H590" i="6"/>
  <c r="H588" i="6"/>
  <c r="H581" i="6"/>
  <c r="H472" i="6"/>
  <c r="H465" i="6"/>
  <c r="H453" i="6"/>
  <c r="H449" i="6"/>
  <c r="H447" i="6"/>
  <c r="H443" i="6"/>
  <c r="H440" i="6"/>
  <c r="H438" i="6"/>
  <c r="H436" i="6"/>
  <c r="H433" i="6"/>
  <c r="H421" i="6"/>
  <c r="H413" i="6"/>
  <c r="H411" i="6"/>
  <c r="H409" i="6"/>
  <c r="H405" i="6"/>
  <c r="H399" i="6"/>
  <c r="H393" i="6"/>
  <c r="H390" i="6"/>
  <c r="H388" i="6"/>
  <c r="H384" i="6"/>
  <c r="H380" i="6"/>
  <c r="H377" i="6"/>
  <c r="H374" i="6"/>
  <c r="H368" i="6"/>
  <c r="H362" i="6"/>
  <c r="H359" i="6"/>
  <c r="H353" i="6"/>
  <c r="H344" i="6"/>
  <c r="H341" i="6"/>
  <c r="H337" i="6"/>
  <c r="H335" i="6"/>
  <c r="H332" i="6"/>
  <c r="H327" i="6"/>
  <c r="H324" i="6"/>
  <c r="H321" i="6"/>
  <c r="H318" i="6"/>
  <c r="H315" i="6"/>
  <c r="H313" i="6"/>
  <c r="H310" i="6"/>
  <c r="H304" i="6"/>
  <c r="H301" i="6"/>
  <c r="H297" i="6"/>
  <c r="H293" i="6"/>
  <c r="H289" i="6"/>
  <c r="H285" i="6"/>
  <c r="H280" i="6"/>
  <c r="H277" i="6"/>
  <c r="H274" i="6"/>
  <c r="H270" i="6"/>
  <c r="H266" i="6"/>
  <c r="H260" i="6"/>
  <c r="H257" i="6"/>
  <c r="H252" i="6"/>
  <c r="H247" i="6"/>
  <c r="H244" i="6"/>
  <c r="H238" i="6"/>
  <c r="H159" i="6"/>
  <c r="H157" i="6"/>
  <c r="H150" i="6"/>
  <c r="H147" i="6"/>
  <c r="H142" i="6"/>
  <c r="H139" i="6"/>
  <c r="H136" i="6"/>
  <c r="H133" i="6"/>
  <c r="H127" i="6"/>
  <c r="H124" i="6"/>
  <c r="H121" i="6"/>
  <c r="H118" i="6"/>
  <c r="H113" i="6"/>
  <c r="H109" i="6"/>
  <c r="H104" i="6"/>
  <c r="H100" i="6"/>
  <c r="H95" i="6"/>
  <c r="H91" i="6"/>
  <c r="H88" i="6"/>
  <c r="H84" i="6"/>
  <c r="H79" i="6"/>
  <c r="H76" i="6"/>
  <c r="H72" i="6"/>
  <c r="H68" i="6"/>
  <c r="H64" i="6"/>
  <c r="H60" i="6"/>
  <c r="H56" i="6"/>
  <c r="H51" i="6"/>
  <c r="H46" i="6"/>
  <c r="H3" i="6"/>
  <c r="H635" i="6"/>
  <c r="H629" i="6"/>
  <c r="H618" i="6"/>
  <c r="H606" i="6"/>
  <c r="H584" i="6"/>
  <c r="H574" i="6"/>
  <c r="H566" i="6"/>
  <c r="H563" i="6"/>
  <c r="H550" i="6"/>
  <c r="H543" i="6"/>
  <c r="H539" i="6"/>
  <c r="H532" i="6"/>
  <c r="H527" i="6"/>
  <c r="H515" i="6"/>
  <c r="H510" i="6"/>
  <c r="H500" i="6"/>
  <c r="H498" i="6"/>
  <c r="H494" i="6"/>
  <c r="H489" i="6"/>
  <c r="H485" i="6"/>
  <c r="H457" i="6"/>
  <c r="H452" i="6"/>
  <c r="H430" i="6"/>
  <c r="H424" i="6"/>
  <c r="H402" i="6"/>
  <c r="H400" i="6"/>
  <c r="H394" i="6"/>
  <c r="H389" i="6"/>
  <c r="H383" i="6"/>
  <c r="H370" i="6"/>
  <c r="H365" i="6"/>
  <c r="H357" i="6"/>
  <c r="H356" i="6"/>
  <c r="H349" i="6"/>
  <c r="H346" i="6"/>
  <c r="H343" i="6"/>
  <c r="H340" i="6"/>
  <c r="H333" i="6"/>
  <c r="H331" i="6"/>
  <c r="H328" i="6"/>
  <c r="H326" i="6"/>
  <c r="H323" i="6"/>
  <c r="H319" i="6"/>
  <c r="H317" i="6"/>
  <c r="H309" i="6"/>
  <c r="H306" i="6"/>
  <c r="H300" i="6"/>
  <c r="H299" i="6"/>
  <c r="H287" i="6"/>
  <c r="H278" i="6"/>
  <c r="H276" i="6"/>
  <c r="H268" i="6"/>
  <c r="H265" i="6"/>
  <c r="H264" i="6"/>
  <c r="H259" i="6"/>
  <c r="H254" i="6"/>
  <c r="H250" i="6"/>
  <c r="H243" i="6"/>
  <c r="H241" i="6"/>
  <c r="H239" i="6"/>
  <c r="H237" i="6"/>
  <c r="H236" i="6"/>
  <c r="H235" i="6"/>
  <c r="H234" i="6"/>
  <c r="H233" i="6"/>
  <c r="H232" i="6"/>
  <c r="H231" i="6"/>
  <c r="H230" i="6"/>
  <c r="H228" i="6"/>
  <c r="H226" i="6"/>
  <c r="H224" i="6"/>
  <c r="H222" i="6"/>
  <c r="H220" i="6"/>
  <c r="H218" i="6"/>
  <c r="H216" i="6"/>
  <c r="H215" i="6"/>
  <c r="H214" i="6"/>
  <c r="H213" i="6"/>
  <c r="H211" i="6"/>
  <c r="H209" i="6"/>
  <c r="H204" i="6"/>
  <c r="H203" i="6"/>
  <c r="H201" i="6"/>
  <c r="H200" i="6"/>
  <c r="H195" i="6"/>
  <c r="H192" i="6"/>
  <c r="H189" i="6"/>
  <c r="H188" i="6"/>
  <c r="H184" i="6"/>
  <c r="H182" i="6"/>
  <c r="H180" i="6"/>
  <c r="H178" i="6"/>
  <c r="H173" i="6"/>
  <c r="H171" i="6"/>
  <c r="H167" i="6"/>
  <c r="H164" i="6"/>
  <c r="H158" i="6"/>
  <c r="G855" i="6"/>
  <c r="G914" i="6"/>
  <c r="G872" i="6"/>
  <c r="G899" i="6"/>
  <c r="G913" i="6"/>
  <c r="G91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67" i="6"/>
  <c r="G471" i="6"/>
  <c r="G473" i="6"/>
  <c r="G475" i="6"/>
  <c r="G477" i="6"/>
  <c r="G479" i="6"/>
  <c r="G481" i="6"/>
  <c r="G482" i="6"/>
  <c r="G484" i="6"/>
  <c r="G486" i="6"/>
  <c r="G488" i="6"/>
  <c r="G490" i="6"/>
  <c r="G491" i="6"/>
  <c r="G493" i="6"/>
  <c r="G495" i="6"/>
  <c r="G497" i="6"/>
  <c r="G500" i="6"/>
  <c r="G504" i="6"/>
  <c r="G506" i="6"/>
  <c r="G509" i="6"/>
  <c r="G510" i="6"/>
  <c r="G511" i="6"/>
  <c r="G512" i="6"/>
  <c r="G513" i="6"/>
  <c r="G514" i="6"/>
  <c r="G515" i="6"/>
  <c r="G516" i="6"/>
  <c r="G517" i="6"/>
  <c r="G518" i="6"/>
  <c r="G519" i="6"/>
  <c r="G521" i="6"/>
  <c r="G524" i="6"/>
  <c r="G526" i="6"/>
  <c r="G528" i="6"/>
  <c r="G530" i="6"/>
  <c r="G532" i="6"/>
  <c r="G535" i="6"/>
  <c r="G537" i="6"/>
  <c r="G539" i="6"/>
  <c r="G541" i="6"/>
  <c r="G543" i="6"/>
  <c r="G545" i="6"/>
  <c r="G547" i="6"/>
  <c r="G549" i="6"/>
  <c r="G551" i="6"/>
  <c r="G553" i="6"/>
  <c r="G555" i="6"/>
  <c r="G559" i="6"/>
  <c r="G562" i="6"/>
  <c r="G564" i="6"/>
  <c r="G567" i="6"/>
  <c r="G569" i="6"/>
  <c r="G571" i="6"/>
  <c r="G573" i="6"/>
  <c r="G575" i="6"/>
  <c r="G576" i="6"/>
  <c r="G578" i="6"/>
  <c r="G582" i="6"/>
  <c r="G584" i="6"/>
  <c r="G587" i="6"/>
  <c r="G591" i="6"/>
  <c r="G594" i="6"/>
  <c r="G596" i="6"/>
  <c r="G598" i="6"/>
  <c r="G600" i="6"/>
  <c r="G603" i="6"/>
  <c r="G607" i="6"/>
  <c r="G610" i="6"/>
  <c r="G614" i="6"/>
  <c r="G616" i="6"/>
  <c r="G620" i="6"/>
  <c r="G624" i="6"/>
  <c r="G626" i="6"/>
  <c r="G629" i="6"/>
  <c r="G631" i="6"/>
  <c r="G634" i="6"/>
  <c r="G638" i="6"/>
  <c r="G640" i="6"/>
  <c r="G644" i="6"/>
  <c r="G646" i="6"/>
  <c r="G650" i="6"/>
  <c r="G652" i="6"/>
  <c r="G654" i="6"/>
  <c r="G656" i="6"/>
  <c r="G660" i="6"/>
  <c r="G664" i="6"/>
  <c r="G668" i="6"/>
  <c r="G671" i="6"/>
  <c r="G673" i="6"/>
  <c r="G675" i="6"/>
  <c r="G677" i="6"/>
  <c r="G679" i="6"/>
  <c r="G681" i="6"/>
  <c r="G683" i="6"/>
  <c r="G685" i="6"/>
  <c r="G687" i="6"/>
  <c r="G689" i="6"/>
  <c r="G691" i="6"/>
  <c r="G693" i="6"/>
  <c r="G697" i="6"/>
  <c r="G699" i="6"/>
  <c r="G701" i="6"/>
  <c r="G703" i="6"/>
  <c r="G705" i="6"/>
  <c r="G707" i="6"/>
  <c r="G710" i="6"/>
  <c r="G712" i="6"/>
  <c r="G715" i="6"/>
  <c r="G717" i="6"/>
  <c r="G720" i="6"/>
  <c r="G722" i="6"/>
  <c r="G724" i="6"/>
  <c r="G726" i="6"/>
  <c r="G728" i="6"/>
  <c r="G730" i="6"/>
  <c r="G732" i="6"/>
  <c r="G736" i="6"/>
  <c r="G739" i="6"/>
  <c r="G743" i="6"/>
  <c r="G751" i="6"/>
  <c r="G758" i="6"/>
  <c r="G764" i="6"/>
  <c r="G769" i="6"/>
  <c r="G775" i="6"/>
  <c r="G778" i="6"/>
  <c r="G781" i="6"/>
  <c r="G787" i="6"/>
  <c r="G793" i="6"/>
  <c r="G800" i="6"/>
  <c r="G806" i="6"/>
  <c r="G810" i="6"/>
  <c r="G818" i="6"/>
  <c r="G821" i="6"/>
  <c r="G830" i="6"/>
  <c r="G834" i="6"/>
  <c r="G846" i="6"/>
  <c r="G849" i="6"/>
  <c r="G852" i="6"/>
  <c r="G854" i="6"/>
  <c r="G862" i="6"/>
  <c r="G864" i="6"/>
  <c r="G868" i="6"/>
  <c r="G871" i="6"/>
  <c r="G873" i="6"/>
  <c r="G875" i="6"/>
  <c r="G882" i="6"/>
  <c r="G888" i="6"/>
  <c r="G891" i="6"/>
  <c r="G893" i="6"/>
  <c r="G896" i="6"/>
  <c r="G900" i="6"/>
  <c r="G904" i="6"/>
  <c r="G906" i="6"/>
  <c r="G908" i="6"/>
  <c r="G911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844" i="6"/>
  <c r="G828" i="6"/>
  <c r="G816" i="6"/>
  <c r="G815" i="6"/>
  <c r="G754" i="6"/>
  <c r="G752" i="6"/>
  <c r="G735" i="6"/>
  <c r="G734" i="6"/>
  <c r="G731" i="6"/>
  <c r="G729" i="6"/>
  <c r="G727" i="6"/>
  <c r="G725" i="6"/>
  <c r="G723" i="6"/>
  <c r="G721" i="6"/>
  <c r="G719" i="6"/>
  <c r="G718" i="6"/>
  <c r="G716" i="6"/>
  <c r="G714" i="6"/>
  <c r="G713" i="6"/>
  <c r="G711" i="6"/>
  <c r="G709" i="6"/>
  <c r="G708" i="6"/>
  <c r="G706" i="6"/>
  <c r="G704" i="6"/>
  <c r="G702" i="6"/>
  <c r="G700" i="6"/>
  <c r="G698" i="6"/>
  <c r="G696" i="6"/>
  <c r="G695" i="6"/>
  <c r="G694" i="6"/>
  <c r="G692" i="6"/>
  <c r="G690" i="6"/>
  <c r="G688" i="6"/>
  <c r="G686" i="6"/>
  <c r="G684" i="6"/>
  <c r="G682" i="6"/>
  <c r="G680" i="6"/>
  <c r="G678" i="6"/>
  <c r="G676" i="6"/>
  <c r="G674" i="6"/>
  <c r="G672" i="6"/>
  <c r="G670" i="6"/>
  <c r="G669" i="6"/>
  <c r="G667" i="6"/>
  <c r="G666" i="6"/>
  <c r="G665" i="6"/>
  <c r="G663" i="6"/>
  <c r="G662" i="6"/>
  <c r="G661" i="6"/>
  <c r="G659" i="6"/>
  <c r="G658" i="6"/>
  <c r="G657" i="6"/>
  <c r="G655" i="6"/>
  <c r="G653" i="6"/>
  <c r="G651" i="6"/>
  <c r="G649" i="6"/>
  <c r="G648" i="6"/>
  <c r="G647" i="6"/>
  <c r="G645" i="6"/>
  <c r="G643" i="6"/>
  <c r="G642" i="6"/>
  <c r="G641" i="6"/>
  <c r="G639" i="6"/>
  <c r="G637" i="6"/>
  <c r="G636" i="6"/>
  <c r="G635" i="6"/>
  <c r="G633" i="6"/>
  <c r="G632" i="6"/>
  <c r="G630" i="6"/>
  <c r="G628" i="6"/>
  <c r="G627" i="6"/>
  <c r="G625" i="6"/>
  <c r="G623" i="6"/>
  <c r="G622" i="6"/>
  <c r="G621" i="6"/>
  <c r="G619" i="6"/>
  <c r="G618" i="6"/>
  <c r="G617" i="6"/>
  <c r="G615" i="6"/>
  <c r="G613" i="6"/>
  <c r="G612" i="6"/>
  <c r="G857" i="6"/>
  <c r="G609" i="6"/>
  <c r="G608" i="6"/>
  <c r="G606" i="6"/>
  <c r="G605" i="6"/>
  <c r="G604" i="6"/>
  <c r="G602" i="6"/>
  <c r="G601" i="6"/>
  <c r="G599" i="6"/>
  <c r="G597" i="6"/>
  <c r="G595" i="6"/>
  <c r="G593" i="6"/>
  <c r="G592" i="6"/>
  <c r="G590" i="6"/>
  <c r="G589" i="6"/>
  <c r="G588" i="6"/>
  <c r="G744" i="6"/>
  <c r="G746" i="6"/>
  <c r="G756" i="6"/>
  <c r="G765" i="6"/>
  <c r="G766" i="6"/>
  <c r="G772" i="6"/>
  <c r="G795" i="6"/>
  <c r="G798" i="6"/>
  <c r="G807" i="6"/>
  <c r="G809" i="6"/>
  <c r="G813" i="6"/>
  <c r="G825" i="6"/>
  <c r="G829" i="6"/>
  <c r="G843" i="6"/>
  <c r="G860" i="6"/>
  <c r="G586" i="6"/>
  <c r="G585" i="6"/>
  <c r="G583" i="6"/>
  <c r="G581" i="6"/>
  <c r="G580" i="6"/>
  <c r="G579" i="6"/>
  <c r="G577" i="6"/>
  <c r="G574" i="6"/>
  <c r="G572" i="6"/>
  <c r="G570" i="6"/>
  <c r="G568" i="6"/>
  <c r="G566" i="6"/>
  <c r="G565" i="6"/>
  <c r="G563" i="6"/>
  <c r="G561" i="6"/>
  <c r="G560" i="6"/>
  <c r="G558" i="6"/>
  <c r="G557" i="6"/>
  <c r="G556" i="6"/>
  <c r="G554" i="6"/>
  <c r="G552" i="6"/>
  <c r="G550" i="6"/>
  <c r="G548" i="6"/>
  <c r="G546" i="6"/>
  <c r="G544" i="6"/>
  <c r="G542" i="6"/>
  <c r="G540" i="6"/>
  <c r="G538" i="6"/>
  <c r="G536" i="6"/>
  <c r="G534" i="6"/>
  <c r="G533" i="6"/>
  <c r="G531" i="6"/>
  <c r="G529" i="6"/>
  <c r="G527" i="6"/>
  <c r="G525" i="6"/>
  <c r="G523" i="6"/>
  <c r="G522" i="6"/>
  <c r="G520" i="6"/>
  <c r="G508" i="6"/>
  <c r="G507" i="6"/>
  <c r="G505" i="6"/>
  <c r="G503" i="6"/>
  <c r="G502" i="6"/>
  <c r="G501" i="6"/>
  <c r="G499" i="6"/>
  <c r="G498" i="6"/>
  <c r="G496" i="6"/>
  <c r="G494" i="6"/>
  <c r="G492" i="6"/>
  <c r="G489" i="6"/>
  <c r="G487" i="6"/>
  <c r="G485" i="6"/>
  <c r="G483" i="6"/>
  <c r="G480" i="6"/>
  <c r="G478" i="6"/>
  <c r="G476" i="6"/>
  <c r="G474" i="6"/>
  <c r="G472" i="6"/>
  <c r="G470" i="6"/>
  <c r="G469" i="6"/>
  <c r="G468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733" i="6"/>
  <c r="G741" i="6"/>
  <c r="G745" i="6"/>
  <c r="G750" i="6"/>
  <c r="G762" i="6"/>
  <c r="G768" i="6"/>
  <c r="G774" i="6"/>
  <c r="G777" i="6"/>
  <c r="G782" i="6"/>
  <c r="G785" i="6"/>
  <c r="G788" i="6"/>
  <c r="G791" i="6"/>
  <c r="G812" i="6"/>
  <c r="G822" i="6"/>
  <c r="G826" i="6"/>
  <c r="G833" i="6"/>
  <c r="G838" i="6"/>
  <c r="G845" i="6"/>
  <c r="G848" i="6"/>
  <c r="G861" i="6"/>
  <c r="G867" i="6"/>
  <c r="G869" i="6"/>
  <c r="G874" i="6"/>
  <c r="G880" i="6"/>
  <c r="G885" i="6"/>
  <c r="G887" i="6"/>
  <c r="G889" i="6"/>
  <c r="G892" i="6"/>
  <c r="G897" i="6"/>
  <c r="G901" i="6"/>
  <c r="G905" i="6"/>
  <c r="G907" i="6"/>
  <c r="G912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748" i="6"/>
  <c r="G753" i="6"/>
  <c r="G761" i="6"/>
  <c r="G771" i="6"/>
  <c r="G773" i="6"/>
  <c r="G780" i="6"/>
  <c r="G783" i="6"/>
  <c r="G790" i="6"/>
  <c r="G792" i="6"/>
  <c r="G808" i="6"/>
  <c r="G817" i="6"/>
  <c r="G824" i="6"/>
  <c r="G831" i="6"/>
  <c r="G842" i="6"/>
  <c r="G847" i="6"/>
  <c r="G850" i="6"/>
  <c r="G858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737" i="6"/>
  <c r="G749" i="6"/>
  <c r="G763" i="6"/>
  <c r="G770" i="6"/>
  <c r="G776" i="6"/>
  <c r="G779" i="6"/>
  <c r="G784" i="6"/>
  <c r="G786" i="6"/>
  <c r="G789" i="6"/>
  <c r="G797" i="6"/>
  <c r="G805" i="6"/>
  <c r="G811" i="6"/>
  <c r="G814" i="6"/>
  <c r="G819" i="6"/>
  <c r="G827" i="6"/>
  <c r="G832" i="6"/>
  <c r="G835" i="6"/>
  <c r="G851" i="6"/>
  <c r="G856" i="6"/>
  <c r="G863" i="6"/>
  <c r="G865" i="6"/>
  <c r="G866" i="6"/>
  <c r="G870" i="6"/>
  <c r="G878" i="6"/>
  <c r="G883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910" i="6"/>
  <c r="G902" i="6"/>
  <c r="G894" i="6"/>
  <c r="G884" i="6"/>
  <c r="G881" i="6"/>
  <c r="G877" i="6"/>
  <c r="G876" i="6"/>
  <c r="G853" i="6"/>
  <c r="G841" i="6"/>
  <c r="G840" i="6"/>
  <c r="G839" i="6"/>
  <c r="G837" i="6"/>
  <c r="G836" i="6"/>
  <c r="G820" i="6"/>
  <c r="G804" i="6"/>
  <c r="G803" i="6"/>
  <c r="G801" i="6"/>
  <c r="G799" i="6"/>
  <c r="G767" i="6"/>
  <c r="G759" i="6"/>
  <c r="G757" i="6"/>
  <c r="G755" i="6"/>
  <c r="G742" i="6"/>
  <c r="G738" i="6"/>
  <c r="G740" i="6"/>
  <c r="G747" i="6"/>
  <c r="G760" i="6"/>
  <c r="G794" i="6"/>
  <c r="G796" i="6"/>
  <c r="G802" i="6"/>
  <c r="G823" i="6"/>
  <c r="G859" i="6"/>
  <c r="G879" i="6"/>
  <c r="G886" i="6"/>
  <c r="G890" i="6"/>
  <c r="G895" i="6"/>
  <c r="G898" i="6"/>
  <c r="G903" i="6"/>
  <c r="G909" i="6"/>
  <c r="G611" i="6"/>
  <c r="M27" i="6" l="1" a="1"/>
  <c r="M27" i="6" s="1"/>
  <c r="M26" i="6"/>
  <c r="L27" i="6" a="1"/>
  <c r="L27" i="6" s="1"/>
  <c r="L26" i="6"/>
  <c r="M28" i="6" l="1"/>
  <c r="L2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Олег  Бурдуков</author>
  </authors>
  <commentList>
    <comment ref="E25" authorId="0" shapeId="0" xr:uid="{C37C2E3E-5A73-0544-994C-9A4CEC4994B3}">
      <text>
        <r>
          <rPr>
            <b/>
            <sz val="10"/>
            <color rgb="FF000000"/>
            <rFont val="Tahoma"/>
            <family val="2"/>
          </rPr>
          <t>If the scenario of losing everything was certain, an investor would require an infinite interest rate on her invetment!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Олег  Бурдуков</author>
  </authors>
  <commentList>
    <comment ref="K28" authorId="0" shapeId="0" xr:uid="{A766AB65-F66F-4540-B7E4-437AEA12958F}">
      <text>
        <r>
          <rPr>
            <b/>
            <sz val="10"/>
            <color rgb="FF000000"/>
            <rFont val="Tahoma"/>
            <family val="2"/>
          </rPr>
          <t>Systematic RORAC adjusts RORAC to systematic risk. Hence, it's equal for any asset on the market, as the factors affecting the market are equal for all assets.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BC9832-568C-A24E-AC59-FD97F29EBDC5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FCC10959-A7CC-AE43-8FCA-BA61E28DE8C6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<sst xmlns="http://schemas.openxmlformats.org/spreadsheetml/2006/main" count="124" uniqueCount="80">
  <si>
    <t>Mini-case 2.2</t>
  </si>
  <si>
    <t>Mini-case 2.1</t>
  </si>
  <si>
    <t>Mini-case 2.3</t>
  </si>
  <si>
    <t>Mini-case 2.4</t>
  </si>
  <si>
    <t>Mini-case 2.5</t>
  </si>
  <si>
    <t>Mini-case 2.6</t>
  </si>
  <si>
    <t>Assumptions</t>
  </si>
  <si>
    <t>PD</t>
  </si>
  <si>
    <t>LGD</t>
  </si>
  <si>
    <t>TASK 1</t>
  </si>
  <si>
    <t>TASK 2</t>
  </si>
  <si>
    <t>TASK 3</t>
  </si>
  <si>
    <t>No, he'd require a higher premium</t>
  </si>
  <si>
    <r>
      <rPr>
        <b/>
        <sz val="16"/>
        <color rgb="FF3F3F3F"/>
        <rFont val="Aptos Narrow (Body)"/>
      </rPr>
      <t>r</t>
    </r>
    <r>
      <rPr>
        <b/>
        <sz val="8"/>
        <color rgb="FF3F3F3F"/>
        <rFont val="Aptos Narrow (Body)"/>
      </rPr>
      <t>f</t>
    </r>
  </si>
  <si>
    <r>
      <rPr>
        <b/>
        <sz val="16"/>
        <color rgb="FF3F3F3F"/>
        <rFont val="Aptos Narrow (Body)"/>
      </rPr>
      <t>r</t>
    </r>
    <r>
      <rPr>
        <b/>
        <sz val="8"/>
        <color rgb="FF3F3F3F"/>
        <rFont val="Aptos Narrow (Body)"/>
      </rPr>
      <t>B</t>
    </r>
    <r>
      <rPr>
        <b/>
        <sz val="12"/>
        <color rgb="FF3F3F3F"/>
        <rFont val="Aptos Narrow"/>
        <family val="2"/>
        <scheme val="minor"/>
      </rPr>
      <t>(nom.)</t>
    </r>
  </si>
  <si>
    <r>
      <t>LGD</t>
    </r>
    <r>
      <rPr>
        <b/>
        <sz val="8"/>
        <color rgb="FF3F3F3F"/>
        <rFont val="Aptos Narrow (Body)"/>
      </rPr>
      <t>new</t>
    </r>
  </si>
  <si>
    <r>
      <rPr>
        <b/>
        <sz val="16"/>
        <color rgb="FF3F3F3F"/>
        <rFont val="Aptos Narrow (Body)"/>
      </rPr>
      <t>r</t>
    </r>
    <r>
      <rPr>
        <b/>
        <sz val="8"/>
        <color rgb="FF3F3F3F"/>
        <rFont val="Aptos Narrow (Body)"/>
      </rPr>
      <t>B</t>
    </r>
    <r>
      <rPr>
        <b/>
        <sz val="12"/>
        <color rgb="FF3F3F3F"/>
        <rFont val="Aptos Narrow"/>
        <family val="2"/>
        <scheme val="minor"/>
      </rPr>
      <t>(nom)</t>
    </r>
    <r>
      <rPr>
        <b/>
        <sz val="8"/>
        <color rgb="FF3F3F3F"/>
        <rFont val="Aptos Narrow (Body)"/>
      </rPr>
      <t>new</t>
    </r>
  </si>
  <si>
    <t>PDs</t>
  </si>
  <si>
    <t>LGD table</t>
  </si>
  <si>
    <t>Bond 1</t>
  </si>
  <si>
    <t>Bond 2</t>
  </si>
  <si>
    <t>Bond 3</t>
  </si>
  <si>
    <t>Table of interest rate lower bounds</t>
  </si>
  <si>
    <t>∞</t>
  </si>
  <si>
    <t>V(A)</t>
  </si>
  <si>
    <t xml:space="preserve">Target rating </t>
  </si>
  <si>
    <t>BBB</t>
  </si>
  <si>
    <t>1Y PD for BBB</t>
  </si>
  <si>
    <t>E</t>
  </si>
  <si>
    <t>1Y PD</t>
  </si>
  <si>
    <t>Rating assigned</t>
  </si>
  <si>
    <r>
      <t>σ</t>
    </r>
    <r>
      <rPr>
        <b/>
        <sz val="8"/>
        <color rgb="FF3F3F3F"/>
        <rFont val="Aptos Narrow (Body)"/>
      </rPr>
      <t>A</t>
    </r>
  </si>
  <si>
    <t>A</t>
  </si>
  <si>
    <t>Asset</t>
  </si>
  <si>
    <t>σ</t>
  </si>
  <si>
    <t>B</t>
  </si>
  <si>
    <t>E[R]=µ</t>
  </si>
  <si>
    <t>ρ</t>
  </si>
  <si>
    <t>α</t>
  </si>
  <si>
    <t>V(F)</t>
  </si>
  <si>
    <t>RORAC</t>
  </si>
  <si>
    <r>
      <t>w</t>
    </r>
    <r>
      <rPr>
        <b/>
        <sz val="8"/>
        <color rgb="FF3F3F3F"/>
        <rFont val="Aptos Narrow (Body)"/>
      </rPr>
      <t>A</t>
    </r>
  </si>
  <si>
    <r>
      <t>w</t>
    </r>
    <r>
      <rPr>
        <b/>
        <sz val="8"/>
        <color rgb="FF3F3F3F"/>
        <rFont val="Aptos Narrow (Body)"/>
      </rPr>
      <t>B</t>
    </r>
  </si>
  <si>
    <r>
      <t>σ</t>
    </r>
    <r>
      <rPr>
        <b/>
        <sz val="8"/>
        <color rgb="FF3F3F3F"/>
        <rFont val="Aptos Narrow (Body)"/>
      </rPr>
      <t>F</t>
    </r>
  </si>
  <si>
    <r>
      <t>E[R]</t>
    </r>
    <r>
      <rPr>
        <b/>
        <sz val="8"/>
        <color rgb="FF3F3F3F"/>
        <rFont val="Aptos Narrow (Body)"/>
      </rPr>
      <t>F</t>
    </r>
  </si>
  <si>
    <r>
      <t>VaR</t>
    </r>
    <r>
      <rPr>
        <b/>
        <sz val="8"/>
        <color rgb="FF3F3F3F"/>
        <rFont val="Aptos Narrow (Body)"/>
      </rPr>
      <t>F</t>
    </r>
  </si>
  <si>
    <r>
      <t>RORAC</t>
    </r>
    <r>
      <rPr>
        <b/>
        <sz val="8"/>
        <color rgb="FF3F3F3F"/>
        <rFont val="Aptos Narrow (Body)"/>
      </rPr>
      <t>F</t>
    </r>
  </si>
  <si>
    <t>Target rating PD</t>
  </si>
  <si>
    <t>RORAC hurdle</t>
  </si>
  <si>
    <t>VaR</t>
  </si>
  <si>
    <t>E[R]</t>
  </si>
  <si>
    <t>No, it's not. In the real markets, there are enough frictions that differ them from the perfect market. Information assymetry, for example, is one of the factors that make a difference</t>
  </si>
  <si>
    <r>
      <t>E[R]</t>
    </r>
    <r>
      <rPr>
        <b/>
        <sz val="8"/>
        <color rgb="FF3F3F3F"/>
        <rFont val="Aptos Narrow (Body)"/>
      </rPr>
      <t>min</t>
    </r>
  </si>
  <si>
    <t>Project_1</t>
  </si>
  <si>
    <t>Project_2</t>
  </si>
  <si>
    <t>Market</t>
  </si>
  <si>
    <t>Initial investment</t>
  </si>
  <si>
    <t>Project 1</t>
  </si>
  <si>
    <t>Project 2</t>
  </si>
  <si>
    <t>V(M)</t>
  </si>
  <si>
    <t>E[V]</t>
  </si>
  <si>
    <t>ROI</t>
  </si>
  <si>
    <t>Cov(Proj.,M)</t>
  </si>
  <si>
    <t>ß</t>
  </si>
  <si>
    <t>Sharpe ratio</t>
  </si>
  <si>
    <t>VaR(α)</t>
  </si>
  <si>
    <t>TASK 4</t>
  </si>
  <si>
    <t>Return Proj.1</t>
  </si>
  <si>
    <t>Return Proj.2</t>
  </si>
  <si>
    <t>Return Market</t>
  </si>
  <si>
    <t>ROI method</t>
  </si>
  <si>
    <t>SR-method</t>
  </si>
  <si>
    <t>by RORAC</t>
  </si>
  <si>
    <t>Respective quantile (proj.1)</t>
  </si>
  <si>
    <t>Respective quantile (proj.2)</t>
  </si>
  <si>
    <r>
      <t>by RORAC</t>
    </r>
    <r>
      <rPr>
        <sz val="8"/>
        <color theme="1"/>
        <rFont val="Aptos Narrow (Body)"/>
      </rPr>
      <t>SYS</t>
    </r>
  </si>
  <si>
    <r>
      <t>RORAC</t>
    </r>
    <r>
      <rPr>
        <b/>
        <sz val="8"/>
        <color rgb="FF3F3F3F"/>
        <rFont val="Aptos Narrow (Body)"/>
      </rPr>
      <t>SYS</t>
    </r>
  </si>
  <si>
    <r>
      <t>E[R</t>
    </r>
    <r>
      <rPr>
        <b/>
        <sz val="8"/>
        <color rgb="FF3F3F3F"/>
        <rFont val="Aptos Narrow (Body)"/>
      </rPr>
      <t>M</t>
    </r>
    <r>
      <rPr>
        <b/>
        <sz val="12"/>
        <color rgb="FF3F3F3F"/>
        <rFont val="Aptos Narrow"/>
        <family val="2"/>
        <scheme val="minor"/>
      </rPr>
      <t>]</t>
    </r>
  </si>
  <si>
    <r>
      <t>σ²</t>
    </r>
    <r>
      <rPr>
        <b/>
        <sz val="8"/>
        <color rgb="FF3F3F3F"/>
        <rFont val="Aptos Narrow (Body)"/>
      </rPr>
      <t>M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</si>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</sst>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0%"/>
    <numFmt numFmtId="166" formatCode="0.0000%"/>
    <numFmt numFmtId="167" formatCode="0.000"/>
    <numFmt numFmtId="168" formatCode="0.0000"/>
    <numFmt numFmtId="169" formatCode="0.00000%"/>
  </numFmts>
  <fonts count="1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3F3F3F"/>
      <name val="Aptos Narrow (Body)"/>
    </font>
    <font>
      <b/>
      <sz val="16"/>
      <color rgb="FF3F3F3F"/>
      <name val="Aptos Narrow (Body)"/>
    </font>
    <font>
      <b/>
      <sz val="12"/>
      <color rgb="FF3F3F3F"/>
      <name val="Aptos Narrow (Body)"/>
    </font>
    <font>
      <sz val="8"/>
      <name val="Aptos Narrow"/>
      <family val="2"/>
      <scheme val="minor"/>
    </font>
    <font>
      <sz val="14"/>
      <color theme="0"/>
      <name val="-webkit-standard"/>
    </font>
    <font>
      <sz val="12"/>
      <color rgb="FF0061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 (Body)"/>
    </font>
    <font>
      <b/>
      <sz val="12"/>
      <color theme="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1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0" fillId="8" borderId="0" applyNumberFormat="0" applyBorder="0" applyAlignment="0" applyProtection="0"/>
    <xf numFmtId="0" fontId="1" fillId="9" borderId="0" applyNumberFormat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7" fillId="2" borderId="2" xfId="1" applyFont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9" fontId="9" fillId="7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4" borderId="2" xfId="3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1" fillId="4" borderId="2" xfId="3" applyNumberFormat="1" applyBorder="1" applyAlignment="1">
      <alignment horizontal="center" vertical="center"/>
    </xf>
    <xf numFmtId="10" fontId="1" fillId="4" borderId="2" xfId="3" applyNumberFormat="1" applyBorder="1" applyAlignment="1">
      <alignment horizontal="center" vertical="center"/>
    </xf>
    <xf numFmtId="10" fontId="10" fillId="8" borderId="2" xfId="4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9" borderId="2" xfId="5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9" fontId="0" fillId="11" borderId="14" xfId="0" applyNumberFormat="1" applyFill="1" applyBorder="1" applyAlignment="1">
      <alignment horizontal="center" vertical="center"/>
    </xf>
    <xf numFmtId="9" fontId="0" fillId="11" borderId="15" xfId="0" applyNumberFormat="1" applyFill="1" applyBorder="1" applyAlignment="1">
      <alignment horizontal="center" vertical="center"/>
    </xf>
    <xf numFmtId="9" fontId="0" fillId="12" borderId="14" xfId="0" applyNumberFormat="1" applyFill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0" fontId="0" fillId="9" borderId="2" xfId="5" applyFont="1" applyBorder="1" applyAlignment="1">
      <alignment horizontal="center" vertical="center"/>
    </xf>
    <xf numFmtId="169" fontId="1" fillId="4" borderId="2" xfId="3" applyNumberForma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7" fillId="2" borderId="2" xfId="1" applyFont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</cellXfs>
  <cellStyles count="6">
    <cellStyle name="40% - Accent4" xfId="3" builtinId="43"/>
    <cellStyle name="40% - Accent5" xfId="5" builtinId="47"/>
    <cellStyle name="Accent4" xfId="2" builtinId="41"/>
    <cellStyle name="Good" xfId="4" builtinId="26"/>
    <cellStyle name="Normal" xfId="0" builtinId="0"/>
    <cellStyle name="Output" xfId="1" builtinId="21"/>
  </cellStyles>
  <dxfs count="10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0.000%"/>
      <alignment horizontal="center" vertical="center" textRotation="0" wrapText="0" indent="0" justifyLastLine="0" shrinkToFit="0" readingOrder="0"/>
    </dxf>
    <dxf>
      <numFmt numFmtId="165" formatCode="0.000%"/>
      <alignment horizontal="center" vertical="center" textRotation="0" wrapText="0" indent="0" justifyLastLine="0" shrinkToFit="0" readingOrder="0"/>
    </dxf>
    <dxf>
      <numFmt numFmtId="165" formatCode="0.0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B9398"/>
      <color rgb="FFE86D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 i="0" u="none"/>
              <a:t>Interest rate lower bounds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Bond 1</c:v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'M.C.2.2'!$A$5:$A$25</c:f>
              <c:numCache>
                <c:formatCode>0%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</c:numCache>
            </c:numRef>
          </c:xVal>
          <c:yVal>
            <c:numRef>
              <c:f>'M.C.2.2'!$C$5:$C$25</c:f>
              <c:numCache>
                <c:formatCode>0.00%</c:formatCode>
                <c:ptCount val="21"/>
                <c:pt idx="0">
                  <c:v>2.5000000000000001E-2</c:v>
                </c:pt>
                <c:pt idx="1">
                  <c:v>5.1282051282051287E-2</c:v>
                </c:pt>
                <c:pt idx="2">
                  <c:v>7.8947368421052641E-2</c:v>
                </c:pt>
                <c:pt idx="3">
                  <c:v>0.10810810810810811</c:v>
                </c:pt>
                <c:pt idx="4">
                  <c:v>0.1388888888888889</c:v>
                </c:pt>
                <c:pt idx="5">
                  <c:v>0.17142857142857143</c:v>
                </c:pt>
                <c:pt idx="6">
                  <c:v>0.20588235294117649</c:v>
                </c:pt>
                <c:pt idx="7">
                  <c:v>0.24242424242424246</c:v>
                </c:pt>
                <c:pt idx="8">
                  <c:v>0.28125</c:v>
                </c:pt>
                <c:pt idx="9">
                  <c:v>0.32258064516129031</c:v>
                </c:pt>
                <c:pt idx="10">
                  <c:v>0.3666666666666667</c:v>
                </c:pt>
                <c:pt idx="11">
                  <c:v>0.41379310344827591</c:v>
                </c:pt>
                <c:pt idx="12">
                  <c:v>0.46428571428571441</c:v>
                </c:pt>
                <c:pt idx="13">
                  <c:v>0.51851851851851849</c:v>
                </c:pt>
                <c:pt idx="14">
                  <c:v>0.57692307692307709</c:v>
                </c:pt>
                <c:pt idx="15">
                  <c:v>0.64</c:v>
                </c:pt>
                <c:pt idx="16">
                  <c:v>0.70833333333333348</c:v>
                </c:pt>
                <c:pt idx="17">
                  <c:v>0.78260869565217406</c:v>
                </c:pt>
                <c:pt idx="18">
                  <c:v>0.86363636363636365</c:v>
                </c:pt>
                <c:pt idx="19">
                  <c:v>0.95238095238095255</c:v>
                </c:pt>
                <c:pt idx="20">
                  <c:v>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C3-F74A-8846-7328B23B40A1}"/>
            </c:ext>
          </c:extLst>
        </c:ser>
        <c:ser>
          <c:idx val="1"/>
          <c:order val="1"/>
          <c:tx>
            <c:v>Bond 2</c:v>
          </c:tx>
          <c:spPr>
            <a:ln w="28575">
              <a:solidFill>
                <a:schemeClr val="accent2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'M.C.2.2'!$A$5:$A$25</c:f>
              <c:numCache>
                <c:formatCode>0%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</c:numCache>
            </c:numRef>
          </c:xVal>
          <c:yVal>
            <c:numRef>
              <c:f>'M.C.2.2'!$D$5:$D$25</c:f>
              <c:numCache>
                <c:formatCode>0.00%</c:formatCode>
                <c:ptCount val="21"/>
                <c:pt idx="0">
                  <c:v>2.5000000000000001E-2</c:v>
                </c:pt>
                <c:pt idx="1">
                  <c:v>6.4935064935064929E-2</c:v>
                </c:pt>
                <c:pt idx="2">
                  <c:v>0.10810810810810811</c:v>
                </c:pt>
                <c:pt idx="3">
                  <c:v>0.15492957746478875</c:v>
                </c:pt>
                <c:pt idx="4">
                  <c:v>0.20588235294117649</c:v>
                </c:pt>
                <c:pt idx="5">
                  <c:v>0.26153846153846155</c:v>
                </c:pt>
                <c:pt idx="6">
                  <c:v>0.32258064516129042</c:v>
                </c:pt>
                <c:pt idx="7">
                  <c:v>0.38983050847457629</c:v>
                </c:pt>
                <c:pt idx="8">
                  <c:v>0.46428571428571441</c:v>
                </c:pt>
                <c:pt idx="9">
                  <c:v>0.54716981132075482</c:v>
                </c:pt>
                <c:pt idx="10">
                  <c:v>0.64</c:v>
                </c:pt>
                <c:pt idx="11">
                  <c:v>0.74468085106382997</c:v>
                </c:pt>
                <c:pt idx="12">
                  <c:v>0.86363636363636387</c:v>
                </c:pt>
                <c:pt idx="13">
                  <c:v>1.0000000000000002</c:v>
                </c:pt>
                <c:pt idx="14">
                  <c:v>1.1578947368421053</c:v>
                </c:pt>
                <c:pt idx="15">
                  <c:v>1.342857142857143</c:v>
                </c:pt>
                <c:pt idx="16">
                  <c:v>1.5625000000000007</c:v>
                </c:pt>
                <c:pt idx="17">
                  <c:v>1.8275862068965523</c:v>
                </c:pt>
                <c:pt idx="18">
                  <c:v>2.1538461538461542</c:v>
                </c:pt>
                <c:pt idx="19">
                  <c:v>2.5652173913043481</c:v>
                </c:pt>
                <c:pt idx="20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C3-F74A-8846-7328B23B40A1}"/>
            </c:ext>
          </c:extLst>
        </c:ser>
        <c:ser>
          <c:idx val="2"/>
          <c:order val="2"/>
          <c:tx>
            <c:v>Bond 3</c:v>
          </c:tx>
          <c:spPr>
            <a:ln w="28575">
              <a:solidFill>
                <a:schemeClr val="accent3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'M.C.2.2'!$A$5:$A$25</c:f>
              <c:numCache>
                <c:formatCode>0%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</c:numCache>
            </c:numRef>
          </c:xVal>
          <c:yVal>
            <c:numRef>
              <c:f>'M.C.2.2'!$E$5:$E$24</c:f>
              <c:numCache>
                <c:formatCode>0.00%</c:formatCode>
                <c:ptCount val="20"/>
                <c:pt idx="0">
                  <c:v>2.5000000000000001E-2</c:v>
                </c:pt>
                <c:pt idx="1">
                  <c:v>7.8947368421052641E-2</c:v>
                </c:pt>
                <c:pt idx="2">
                  <c:v>0.1388888888888889</c:v>
                </c:pt>
                <c:pt idx="3">
                  <c:v>0.20588235294117649</c:v>
                </c:pt>
                <c:pt idx="4">
                  <c:v>0.28125</c:v>
                </c:pt>
                <c:pt idx="5">
                  <c:v>0.3666666666666667</c:v>
                </c:pt>
                <c:pt idx="6">
                  <c:v>0.46428571428571441</c:v>
                </c:pt>
                <c:pt idx="7">
                  <c:v>0.57692307692307709</c:v>
                </c:pt>
                <c:pt idx="8">
                  <c:v>0.70833333333333348</c:v>
                </c:pt>
                <c:pt idx="9">
                  <c:v>0.86363636363636365</c:v>
                </c:pt>
                <c:pt idx="10">
                  <c:v>1.05</c:v>
                </c:pt>
                <c:pt idx="11">
                  <c:v>1.2777777777777781</c:v>
                </c:pt>
                <c:pt idx="12">
                  <c:v>1.5625000000000007</c:v>
                </c:pt>
                <c:pt idx="13">
                  <c:v>1.9285714285714288</c:v>
                </c:pt>
                <c:pt idx="14">
                  <c:v>2.4166666666666674</c:v>
                </c:pt>
                <c:pt idx="15">
                  <c:v>3.1</c:v>
                </c:pt>
                <c:pt idx="16">
                  <c:v>4.1250000000000009</c:v>
                </c:pt>
                <c:pt idx="17">
                  <c:v>5.8333333333333375</c:v>
                </c:pt>
                <c:pt idx="18">
                  <c:v>9.2500000000000018</c:v>
                </c:pt>
                <c:pt idx="19">
                  <c:v>19.500000000000028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C3-F74A-8846-7328B23B4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94143"/>
        <c:axId val="726830319"/>
      </c:scatterChart>
      <c:valAx>
        <c:axId val="1064941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Probability</a:t>
                </a:r>
                <a:r>
                  <a:rPr lang="en-GB" baseline="0"/>
                  <a:t> of default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726830319"/>
        <c:crosses val="autoZero"/>
        <c:crossBetween val="midCat"/>
      </c:valAx>
      <c:valAx>
        <c:axId val="726830319"/>
        <c:scaling>
          <c:orientation val="minMax"/>
          <c:max val="19.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Interest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06494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11104</xdr:colOff>
      <xdr:row>7</xdr:row>
      <xdr:rowOff>9437</xdr:rowOff>
    </xdr:from>
    <xdr:to>
      <xdr:col>9</xdr:col>
      <xdr:colOff>818907</xdr:colOff>
      <xdr:row>24</xdr:row>
      <xdr:rowOff>222076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F2ECF0-1836-C939-D0BE-C01678345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3C7D8AE-611A-1B43-BAB4-ECD56387AE86}" autoFormatId="16" applyNumberFormats="0" applyBorderFormats="0" applyFontFormats="0" applyPatternFormats="0" applyAlignmentFormats="0" applyWidthHeightFormats="0">
  <queryTableRefresh nextId="12" unboundColumnsRight="5">
    <queryTableFields count="8">
      <queryTableField id="1" name="Project_1" tableColumnId="1"/>
      <queryTableField id="2" name="Project_2" tableColumnId="2"/>
      <queryTableField id="3" name="Market" tableColumnId="3"/>
      <queryTableField id="7" dataBound="0" tableColumnId="7"/>
      <queryTableField id="8" dataBound="0" tableColumnId="8"/>
      <queryTableField id="9" dataBound="0" tableColumnId="9"/>
      <queryTableField id="10" dataBound="0" tableColumnId="4"/>
      <queryTableField id="11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215E15-E532-4B48-ABB9-973C024D13E9}" name="Data__2" displayName="Data__2" ref="A2:H1002" tableType="queryTable" totalsRowShown="0" headerRowDxfId="9" dataDxfId="8">
  <autoFilter ref="A2:H1002" xr:uid="{05215E15-E532-4B48-ABB9-973C024D13E9}"/>
  <tableColumns count="8">
    <tableColumn id="1" xr3:uid="{C0805DF6-9BAE-5A49-AAD0-6EEE86733E77}" uniqueName="1" name="Project_1" queryTableFieldId="1" dataDxfId="7"/>
    <tableColumn id="2" xr3:uid="{59CCD9BA-E034-A147-ABE6-58B5C6D21C69}" uniqueName="2" name="Project_2" queryTableFieldId="2" dataDxfId="6"/>
    <tableColumn id="3" xr3:uid="{3C05A059-951C-BA49-B59A-3C23B59AAB7C}" uniqueName="3" name="Market" queryTableFieldId="3" dataDxfId="5"/>
    <tableColumn id="7" xr3:uid="{3E5C1F23-5809-124B-9A7D-114386F3DD47}" uniqueName="7" name="Return Proj.1" queryTableFieldId="7" dataDxfId="4">
      <calculatedColumnFormula>Data__2[[#This Row],[Project_1]]/J$4</calculatedColumnFormula>
    </tableColumn>
    <tableColumn id="8" xr3:uid="{EF065746-9F14-4D40-B328-BC52CA9CCF94}" uniqueName="8" name="Return Proj.2" queryTableFieldId="8" dataDxfId="3">
      <calculatedColumnFormula>Data__2[[#This Row],[Project_2]]/K$4</calculatedColumnFormula>
    </tableColumn>
    <tableColumn id="9" xr3:uid="{EC5A0B8D-9C90-554F-9EF5-3BB886CC7FE3}" uniqueName="9" name="Return Market" queryTableFieldId="9" dataDxfId="2">
      <calculatedColumnFormula>Data__2[[#This Row],[Market]]/L$4</calculatedColumnFormula>
    </tableColumn>
    <tableColumn id="4" xr3:uid="{BD96E0BE-C6A7-6C4C-90DA-1B8DD03E6552}" uniqueName="4" name="Respective quantile (proj.1)" queryTableFieldId="10" dataDxfId="1">
      <calculatedColumnFormula>L$24*Data__2[[#This Row],[Return Market]]*J$4</calculatedColumnFormula>
    </tableColumn>
    <tableColumn id="5" xr3:uid="{E715EBAD-C2B4-0843-90CF-06D5D350CC78}" uniqueName="5" name="Respective quantile (proj.2)" queryTableFieldId="11" dataDxfId="0">
      <calculatedColumnFormula>M$24*Data__2[[#This Row],[Return Market]]*K$4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1858-F204-7448-9303-85523DF2A344}">
  <sheetPr>
    <tabColor theme="3" tint="0.749992370372631"/>
  </sheetPr>
  <dimension ref="A1:G4"/>
  <sheetViews>
    <sheetView zoomScale="159" zoomScaleNormal="159" workbookViewId="0">
      <pane ySplit="1" topLeftCell="A2" activePane="bottomLeft" state="frozen"/>
      <selection pane="bottomLeft" activeCell="C10" sqref="C10"/>
    </sheetView>
  </sheetViews>
  <sheetFormatPr baseColWidth="10" defaultRowHeight="16"/>
  <sheetData>
    <row r="1" spans="1:7">
      <c r="A1" s="35" t="s">
        <v>1</v>
      </c>
      <c r="B1" s="35"/>
      <c r="C1" s="35"/>
      <c r="D1" s="35"/>
      <c r="E1" s="35"/>
      <c r="F1" s="35"/>
      <c r="G1" s="35"/>
    </row>
    <row r="2" spans="1:7">
      <c r="A2" s="34" t="s">
        <v>6</v>
      </c>
      <c r="B2" s="34"/>
      <c r="C2" s="34"/>
      <c r="D2" s="2" t="s">
        <v>9</v>
      </c>
      <c r="E2" s="2" t="s">
        <v>10</v>
      </c>
      <c r="F2" s="33" t="s">
        <v>11</v>
      </c>
      <c r="G2" s="33"/>
    </row>
    <row r="3" spans="1:7" ht="16" customHeight="1">
      <c r="A3" s="3" t="s">
        <v>13</v>
      </c>
      <c r="B3" s="4" t="s">
        <v>7</v>
      </c>
      <c r="C3" s="4" t="s">
        <v>8</v>
      </c>
      <c r="D3" s="4" t="s">
        <v>14</v>
      </c>
      <c r="E3" s="36" t="s">
        <v>12</v>
      </c>
      <c r="F3" s="4" t="s">
        <v>15</v>
      </c>
      <c r="G3" s="4" t="s">
        <v>16</v>
      </c>
    </row>
    <row r="4" spans="1:7">
      <c r="A4" s="6">
        <v>0.03</v>
      </c>
      <c r="B4" s="6">
        <v>0.15</v>
      </c>
      <c r="C4" s="6">
        <v>0.65</v>
      </c>
      <c r="D4" s="9">
        <f>(A4+B4*C4)/(1-B4*C4)</f>
        <v>0.14127423822714683</v>
      </c>
      <c r="E4" s="36"/>
      <c r="F4" s="6">
        <v>0.55000000000000004</v>
      </c>
      <c r="G4" s="9">
        <f>(A4+B4*F4)/(1-B4*F4)</f>
        <v>0.1226158038147139</v>
      </c>
    </row>
  </sheetData>
  <mergeCells count="4">
    <mergeCell ref="F2:G2"/>
    <mergeCell ref="A2:C2"/>
    <mergeCell ref="A1:G1"/>
    <mergeCell ref="E3:E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D794E90-DEE2-F949-AFD0-C574E967CE5E}">
            <x14:iconSet iconSet="3Triangles">
              <x14:cfvo type="percent">
                <xm:f>0</xm:f>
              </x14:cfvo>
              <x14:cfvo type="num">
                <xm:f>19</xm:f>
              </x14:cfvo>
              <x14:cfvo type="num">
                <xm:f>20</xm:f>
              </x14:cfvo>
            </x14:iconSet>
          </x14:cfRule>
          <xm:sqref>G4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5099-A07E-1B48-A38B-DBF8524BAC76}">
  <sheetPr>
    <tabColor theme="5" tint="0.59999389629810485"/>
  </sheetPr>
  <dimension ref="A1:J29"/>
  <sheetViews>
    <sheetView zoomScale="145" zoomScaleNormal="145" workbookViewId="0">
      <pane ySplit="1" topLeftCell="A2" activePane="bottomLeft" state="frozen"/>
      <selection pane="bottomLeft" activeCell="E25" sqref="E25"/>
    </sheetView>
  </sheetViews>
  <sheetFormatPr baseColWidth="10" defaultRowHeight="16"/>
  <sheetData>
    <row r="1" spans="1:10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42" t="s">
        <v>17</v>
      </c>
      <c r="C2" s="33" t="s">
        <v>9</v>
      </c>
      <c r="D2" s="33"/>
      <c r="E2" s="33"/>
      <c r="G2" s="34" t="s">
        <v>6</v>
      </c>
      <c r="H2" s="34"/>
      <c r="I2" s="34"/>
      <c r="J2" s="34"/>
    </row>
    <row r="3" spans="1:10">
      <c r="A3" s="43"/>
      <c r="C3" s="34" t="s">
        <v>22</v>
      </c>
      <c r="D3" s="34"/>
      <c r="E3" s="34"/>
      <c r="G3" s="39" t="s">
        <v>13</v>
      </c>
      <c r="H3" s="41" t="s">
        <v>18</v>
      </c>
      <c r="I3" s="41"/>
      <c r="J3" s="41"/>
    </row>
    <row r="4" spans="1:10" ht="17" thickBot="1">
      <c r="A4" s="44"/>
      <c r="C4" s="4" t="s">
        <v>19</v>
      </c>
      <c r="D4" s="4" t="s">
        <v>20</v>
      </c>
      <c r="E4" s="4" t="s">
        <v>21</v>
      </c>
      <c r="G4" s="40"/>
      <c r="H4" s="4" t="s">
        <v>19</v>
      </c>
      <c r="I4" s="4" t="s">
        <v>20</v>
      </c>
      <c r="J4" s="4" t="s">
        <v>21</v>
      </c>
    </row>
    <row r="5" spans="1:10" ht="17" thickTop="1">
      <c r="A5" s="28">
        <v>0</v>
      </c>
      <c r="C5" s="8">
        <f t="shared" ref="C5:C24" si="0">($G$5+$A5*H$5)/(1-$A5*H$5)</f>
        <v>2.5000000000000001E-2</v>
      </c>
      <c r="D5" s="8">
        <f t="shared" ref="D5:D24" si="1">($G$5+$A5*I$5)/(1-$A5*I$5)</f>
        <v>2.5000000000000001E-2</v>
      </c>
      <c r="E5" s="8">
        <f t="shared" ref="E5:E24" si="2">($G$5+$A5*J$5)/(1-$A5*J$5)</f>
        <v>2.5000000000000001E-2</v>
      </c>
      <c r="G5" s="7">
        <v>2.5000000000000001E-2</v>
      </c>
      <c r="H5" s="6">
        <v>0.5</v>
      </c>
      <c r="I5" s="6">
        <v>0.75</v>
      </c>
      <c r="J5" s="6">
        <v>1</v>
      </c>
    </row>
    <row r="6" spans="1:10">
      <c r="A6" s="29">
        <v>0.05</v>
      </c>
      <c r="C6" s="8">
        <f t="shared" si="0"/>
        <v>5.1282051282051287E-2</v>
      </c>
      <c r="D6" s="8">
        <f t="shared" si="1"/>
        <v>6.4935064935064929E-2</v>
      </c>
      <c r="E6" s="8">
        <f t="shared" si="2"/>
        <v>7.8947368421052641E-2</v>
      </c>
    </row>
    <row r="7" spans="1:10">
      <c r="A7" s="27">
        <v>0.1</v>
      </c>
      <c r="C7" s="8">
        <f t="shared" si="0"/>
        <v>7.8947368421052641E-2</v>
      </c>
      <c r="D7" s="8">
        <f t="shared" si="1"/>
        <v>0.10810810810810811</v>
      </c>
      <c r="E7" s="8">
        <f t="shared" si="2"/>
        <v>0.1388888888888889</v>
      </c>
      <c r="G7" s="38" t="s">
        <v>10</v>
      </c>
      <c r="H7" s="38"/>
      <c r="I7" s="38"/>
      <c r="J7" s="38"/>
    </row>
    <row r="8" spans="1:10">
      <c r="A8" s="29">
        <v>0.15000000000000002</v>
      </c>
      <c r="C8" s="8">
        <f t="shared" si="0"/>
        <v>0.10810810810810811</v>
      </c>
      <c r="D8" s="8">
        <f t="shared" si="1"/>
        <v>0.15492957746478875</v>
      </c>
      <c r="E8" s="8">
        <f t="shared" si="2"/>
        <v>0.20588235294117649</v>
      </c>
      <c r="G8" s="11"/>
      <c r="H8" s="12"/>
      <c r="I8" s="12"/>
      <c r="J8" s="13"/>
    </row>
    <row r="9" spans="1:10">
      <c r="A9" s="27">
        <v>0.2</v>
      </c>
      <c r="C9" s="8">
        <f t="shared" si="0"/>
        <v>0.1388888888888889</v>
      </c>
      <c r="D9" s="8">
        <f t="shared" si="1"/>
        <v>0.20588235294117649</v>
      </c>
      <c r="E9" s="8">
        <f t="shared" si="2"/>
        <v>0.28125</v>
      </c>
      <c r="G9" s="14"/>
      <c r="J9" s="15"/>
    </row>
    <row r="10" spans="1:10">
      <c r="A10" s="29">
        <v>0.25</v>
      </c>
      <c r="C10" s="8">
        <f t="shared" si="0"/>
        <v>0.17142857142857143</v>
      </c>
      <c r="D10" s="8">
        <f t="shared" si="1"/>
        <v>0.26153846153846155</v>
      </c>
      <c r="E10" s="8">
        <f t="shared" si="2"/>
        <v>0.3666666666666667</v>
      </c>
      <c r="G10" s="14"/>
      <c r="J10" s="15"/>
    </row>
    <row r="11" spans="1:10">
      <c r="A11" s="27">
        <v>0.30000000000000004</v>
      </c>
      <c r="C11" s="8">
        <f t="shared" si="0"/>
        <v>0.20588235294117649</v>
      </c>
      <c r="D11" s="8">
        <f t="shared" si="1"/>
        <v>0.32258064516129042</v>
      </c>
      <c r="E11" s="8">
        <f t="shared" si="2"/>
        <v>0.46428571428571441</v>
      </c>
      <c r="G11" s="14"/>
      <c r="J11" s="15"/>
    </row>
    <row r="12" spans="1:10">
      <c r="A12" s="29">
        <v>0.35000000000000003</v>
      </c>
      <c r="C12" s="8">
        <f t="shared" si="0"/>
        <v>0.24242424242424246</v>
      </c>
      <c r="D12" s="8">
        <f t="shared" si="1"/>
        <v>0.38983050847457629</v>
      </c>
      <c r="E12" s="8">
        <f t="shared" si="2"/>
        <v>0.57692307692307709</v>
      </c>
      <c r="G12" s="14"/>
      <c r="J12" s="15"/>
    </row>
    <row r="13" spans="1:10">
      <c r="A13" s="27">
        <v>0.4</v>
      </c>
      <c r="C13" s="8">
        <f t="shared" si="0"/>
        <v>0.28125</v>
      </c>
      <c r="D13" s="8">
        <f t="shared" si="1"/>
        <v>0.46428571428571441</v>
      </c>
      <c r="E13" s="8">
        <f t="shared" si="2"/>
        <v>0.70833333333333348</v>
      </c>
      <c r="G13" s="14"/>
      <c r="J13" s="15"/>
    </row>
    <row r="14" spans="1:10">
      <c r="A14" s="29">
        <v>0.45</v>
      </c>
      <c r="C14" s="8">
        <f t="shared" si="0"/>
        <v>0.32258064516129031</v>
      </c>
      <c r="D14" s="8">
        <f t="shared" si="1"/>
        <v>0.54716981132075482</v>
      </c>
      <c r="E14" s="8">
        <f t="shared" si="2"/>
        <v>0.86363636363636365</v>
      </c>
      <c r="G14" s="14"/>
      <c r="J14" s="15"/>
    </row>
    <row r="15" spans="1:10">
      <c r="A15" s="27">
        <v>0.5</v>
      </c>
      <c r="C15" s="8">
        <f t="shared" si="0"/>
        <v>0.3666666666666667</v>
      </c>
      <c r="D15" s="8">
        <f t="shared" si="1"/>
        <v>0.64</v>
      </c>
      <c r="E15" s="8">
        <f t="shared" si="2"/>
        <v>1.05</v>
      </c>
      <c r="G15" s="14"/>
      <c r="J15" s="15"/>
    </row>
    <row r="16" spans="1:10">
      <c r="A16" s="29">
        <v>0.55000000000000004</v>
      </c>
      <c r="C16" s="8">
        <f t="shared" si="0"/>
        <v>0.41379310344827591</v>
      </c>
      <c r="D16" s="8">
        <f t="shared" si="1"/>
        <v>0.74468085106382997</v>
      </c>
      <c r="E16" s="8">
        <f t="shared" si="2"/>
        <v>1.2777777777777781</v>
      </c>
      <c r="G16" s="14"/>
      <c r="J16" s="15"/>
    </row>
    <row r="17" spans="1:10">
      <c r="A17" s="27">
        <v>0.60000000000000009</v>
      </c>
      <c r="C17" s="8">
        <f t="shared" si="0"/>
        <v>0.46428571428571441</v>
      </c>
      <c r="D17" s="8">
        <f t="shared" si="1"/>
        <v>0.86363636363636387</v>
      </c>
      <c r="E17" s="8">
        <f t="shared" si="2"/>
        <v>1.5625000000000007</v>
      </c>
      <c r="G17" s="14"/>
      <c r="J17" s="15"/>
    </row>
    <row r="18" spans="1:10">
      <c r="A18" s="29">
        <v>0.65</v>
      </c>
      <c r="C18" s="8">
        <f t="shared" si="0"/>
        <v>0.51851851851851849</v>
      </c>
      <c r="D18" s="8">
        <f t="shared" si="1"/>
        <v>1.0000000000000002</v>
      </c>
      <c r="E18" s="8">
        <f t="shared" si="2"/>
        <v>1.9285714285714288</v>
      </c>
      <c r="G18" s="14"/>
      <c r="J18" s="15"/>
    </row>
    <row r="19" spans="1:10">
      <c r="A19" s="27">
        <v>0.70000000000000007</v>
      </c>
      <c r="C19" s="8">
        <f t="shared" si="0"/>
        <v>0.57692307692307709</v>
      </c>
      <c r="D19" s="8">
        <f t="shared" si="1"/>
        <v>1.1578947368421053</v>
      </c>
      <c r="E19" s="8">
        <f t="shared" si="2"/>
        <v>2.4166666666666674</v>
      </c>
      <c r="G19" s="14"/>
      <c r="J19" s="15"/>
    </row>
    <row r="20" spans="1:10">
      <c r="A20" s="29">
        <v>0.75</v>
      </c>
      <c r="C20" s="8">
        <f t="shared" si="0"/>
        <v>0.64</v>
      </c>
      <c r="D20" s="8">
        <f t="shared" si="1"/>
        <v>1.342857142857143</v>
      </c>
      <c r="E20" s="8">
        <f t="shared" si="2"/>
        <v>3.1</v>
      </c>
      <c r="G20" s="14"/>
      <c r="J20" s="15"/>
    </row>
    <row r="21" spans="1:10">
      <c r="A21" s="27">
        <v>0.8</v>
      </c>
      <c r="C21" s="8">
        <f t="shared" si="0"/>
        <v>0.70833333333333348</v>
      </c>
      <c r="D21" s="8">
        <f t="shared" si="1"/>
        <v>1.5625000000000007</v>
      </c>
      <c r="E21" s="8">
        <f t="shared" si="2"/>
        <v>4.1250000000000009</v>
      </c>
      <c r="G21" s="14"/>
      <c r="J21" s="15"/>
    </row>
    <row r="22" spans="1:10">
      <c r="A22" s="29">
        <v>0.85000000000000009</v>
      </c>
      <c r="C22" s="8">
        <f t="shared" si="0"/>
        <v>0.78260869565217406</v>
      </c>
      <c r="D22" s="8">
        <f t="shared" si="1"/>
        <v>1.8275862068965523</v>
      </c>
      <c r="E22" s="8">
        <f t="shared" si="2"/>
        <v>5.8333333333333375</v>
      </c>
      <c r="G22" s="14"/>
      <c r="J22" s="15"/>
    </row>
    <row r="23" spans="1:10">
      <c r="A23" s="27">
        <v>0.9</v>
      </c>
      <c r="C23" s="8">
        <f t="shared" si="0"/>
        <v>0.86363636363636365</v>
      </c>
      <c r="D23" s="8">
        <f t="shared" si="1"/>
        <v>2.1538461538461542</v>
      </c>
      <c r="E23" s="8">
        <f t="shared" si="2"/>
        <v>9.2500000000000018</v>
      </c>
      <c r="G23" s="14"/>
      <c r="J23" s="15"/>
    </row>
    <row r="24" spans="1:10">
      <c r="A24" s="29">
        <v>0.95000000000000007</v>
      </c>
      <c r="C24" s="8">
        <f t="shared" si="0"/>
        <v>0.95238095238095255</v>
      </c>
      <c r="D24" s="8">
        <f t="shared" si="1"/>
        <v>2.5652173913043481</v>
      </c>
      <c r="E24" s="8">
        <f t="shared" si="2"/>
        <v>19.500000000000028</v>
      </c>
      <c r="G24" s="14"/>
      <c r="J24" s="15"/>
    </row>
    <row r="25" spans="1:10" ht="18">
      <c r="A25" s="27">
        <v>1</v>
      </c>
      <c r="C25" s="8">
        <f>($G$5+$A25*H$5)/(1-$A25*H$5)</f>
        <v>1.05</v>
      </c>
      <c r="D25" s="8">
        <f>($G$5+$A25*I$5)/(1-$A25*I$5)</f>
        <v>3.1</v>
      </c>
      <c r="E25" s="10" t="s">
        <v>23</v>
      </c>
      <c r="G25" s="16"/>
      <c r="H25" s="17"/>
      <c r="I25" s="17"/>
      <c r="J25" s="18"/>
    </row>
    <row r="29" spans="1:10" ht="16" customHeight="1"/>
  </sheetData>
  <mergeCells count="8">
    <mergeCell ref="A1:J1"/>
    <mergeCell ref="C3:E3"/>
    <mergeCell ref="G7:J7"/>
    <mergeCell ref="C2:E2"/>
    <mergeCell ref="G3:G4"/>
    <mergeCell ref="H3:J3"/>
    <mergeCell ref="G2:J2"/>
    <mergeCell ref="A2:A4"/>
  </mergeCells>
  <phoneticPr fontId="8" type="noConversion"/>
  <conditionalFormatting sqref="C5:E2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max"/>
        <color rgb="FF63BE7B"/>
        <color rgb="FFFFEF9C"/>
      </colorScale>
    </cfRule>
  </conditionalFormatting>
  <conditionalFormatting sqref="H5:J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{1651A8B6-CA5C-3240-9FFA-7650BA351149}</x14:id>
        </ext>
      </extLst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51A8B6-CA5C-3240-9FFA-7650BA3511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H5:J5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5EF5-DDB9-E747-9CEC-590112D25222}">
  <sheetPr>
    <tabColor theme="6" tint="0.59999389629810485"/>
  </sheetPr>
  <dimension ref="A1:G8"/>
  <sheetViews>
    <sheetView zoomScale="274" zoomScaleNormal="274" workbookViewId="0">
      <pane ySplit="1" topLeftCell="A2" activePane="bottomLeft" state="frozen"/>
      <selection pane="bottomLeft" activeCell="F10" sqref="F10"/>
    </sheetView>
  </sheetViews>
  <sheetFormatPr baseColWidth="10" defaultRowHeight="16"/>
  <cols>
    <col min="3" max="3" width="14.33203125" bestFit="1" customWidth="1"/>
    <col min="4" max="4" width="12.5" bestFit="1" customWidth="1"/>
  </cols>
  <sheetData>
    <row r="1" spans="1:7">
      <c r="A1" s="35" t="s">
        <v>2</v>
      </c>
      <c r="B1" s="35"/>
      <c r="C1" s="35"/>
      <c r="D1" s="35"/>
      <c r="E1" s="35"/>
      <c r="F1" s="35"/>
      <c r="G1" s="35"/>
    </row>
    <row r="2" spans="1:7">
      <c r="A2" s="34" t="s">
        <v>6</v>
      </c>
      <c r="B2" s="34"/>
      <c r="C2" s="34"/>
      <c r="D2" s="34"/>
      <c r="E2" s="1"/>
      <c r="F2" s="1"/>
      <c r="G2" s="2" t="s">
        <v>9</v>
      </c>
    </row>
    <row r="3" spans="1:7">
      <c r="A3" s="4" t="s">
        <v>24</v>
      </c>
      <c r="B3" s="4" t="s">
        <v>31</v>
      </c>
      <c r="C3" s="4" t="s">
        <v>25</v>
      </c>
      <c r="D3" s="4" t="s">
        <v>27</v>
      </c>
      <c r="E3" s="1"/>
      <c r="F3" s="1"/>
      <c r="G3" s="4" t="s">
        <v>28</v>
      </c>
    </row>
    <row r="4" spans="1:7">
      <c r="A4" s="5">
        <v>300</v>
      </c>
      <c r="B4" s="6">
        <v>0.04</v>
      </c>
      <c r="C4" s="5" t="s">
        <v>26</v>
      </c>
      <c r="D4" s="8">
        <v>1.1599999999999999E-2</v>
      </c>
      <c r="E4" s="1"/>
      <c r="F4" s="1"/>
      <c r="G4" s="5">
        <f>-A4*B4*_xlfn.NORM.S.INV(D4)</f>
        <v>27.241499976246274</v>
      </c>
    </row>
    <row r="5" spans="1:7">
      <c r="A5" s="1"/>
      <c r="B5" s="1"/>
      <c r="C5" s="1"/>
      <c r="D5" s="1"/>
      <c r="E5" s="1"/>
      <c r="F5" s="1"/>
      <c r="G5" s="1"/>
    </row>
    <row r="6" spans="1:7">
      <c r="A6" s="33" t="s">
        <v>10</v>
      </c>
      <c r="B6" s="33"/>
      <c r="C6" s="33"/>
      <c r="D6" s="1"/>
      <c r="E6" s="33" t="s">
        <v>11</v>
      </c>
      <c r="F6" s="33"/>
      <c r="G6" s="33"/>
    </row>
    <row r="7" spans="1:7">
      <c r="A7" s="4" t="s">
        <v>28</v>
      </c>
      <c r="B7" s="4" t="s">
        <v>29</v>
      </c>
      <c r="C7" s="4" t="s">
        <v>30</v>
      </c>
      <c r="D7" s="1"/>
      <c r="E7" s="4" t="s">
        <v>28</v>
      </c>
      <c r="F7" s="4" t="s">
        <v>31</v>
      </c>
      <c r="G7" s="4" t="s">
        <v>29</v>
      </c>
    </row>
    <row r="8" spans="1:7">
      <c r="A8" s="5">
        <v>33.24</v>
      </c>
      <c r="B8" s="8">
        <f>_xlfn.NORM.S.DIST(A8/(-A4*B4),TRUE)</f>
        <v>2.8028146327650242E-3</v>
      </c>
      <c r="C8" s="19" t="s">
        <v>32</v>
      </c>
      <c r="D8" s="1"/>
      <c r="E8" s="5">
        <v>33.24</v>
      </c>
      <c r="F8" s="8">
        <v>6.4799999999999996E-2</v>
      </c>
      <c r="G8" s="22">
        <f>_xlfn.NORM.S.DIST(E8/(-A4*F8),TRUE)</f>
        <v>4.3644352436800211E-2</v>
      </c>
    </row>
  </sheetData>
  <mergeCells count="4">
    <mergeCell ref="A1:G1"/>
    <mergeCell ref="E6:G6"/>
    <mergeCell ref="A6:C6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E5C0-454D-EA46-9842-2AAA60E26ECB}">
  <sheetPr>
    <tabColor theme="8" tint="0.59999389629810485"/>
  </sheetPr>
  <dimension ref="A1:I14"/>
  <sheetViews>
    <sheetView zoomScale="222" zoomScaleNormal="222" workbookViewId="0">
      <pane ySplit="1" topLeftCell="A2" activePane="bottomLeft" state="frozen"/>
      <selection pane="bottomLeft" activeCell="H9" sqref="H9"/>
    </sheetView>
  </sheetViews>
  <sheetFormatPr baseColWidth="10" defaultRowHeight="16"/>
  <sheetData>
    <row r="1" spans="1:9">
      <c r="A1" s="37" t="s">
        <v>3</v>
      </c>
      <c r="B1" s="37"/>
      <c r="C1" s="37"/>
      <c r="D1" s="37"/>
      <c r="E1" s="37"/>
      <c r="F1" s="37"/>
      <c r="G1" s="37"/>
      <c r="H1" s="37"/>
      <c r="I1" s="37"/>
    </row>
    <row r="2" spans="1:9">
      <c r="A2" s="34" t="s">
        <v>6</v>
      </c>
      <c r="B2" s="34"/>
      <c r="C2" s="34"/>
      <c r="D2" s="34"/>
      <c r="E2" s="34"/>
    </row>
    <row r="3" spans="1:9">
      <c r="A3" s="4" t="s">
        <v>33</v>
      </c>
      <c r="B3" s="4" t="s">
        <v>24</v>
      </c>
      <c r="C3" s="4" t="s">
        <v>34</v>
      </c>
      <c r="D3" s="4" t="s">
        <v>36</v>
      </c>
      <c r="E3" s="4" t="s">
        <v>37</v>
      </c>
    </row>
    <row r="4" spans="1:9">
      <c r="A4" s="5" t="s">
        <v>32</v>
      </c>
      <c r="B4" s="5">
        <v>150</v>
      </c>
      <c r="C4" s="6">
        <v>0.1</v>
      </c>
      <c r="D4" s="5">
        <v>7.5</v>
      </c>
      <c r="E4" s="45">
        <v>0</v>
      </c>
    </row>
    <row r="5" spans="1:9">
      <c r="A5" s="5" t="s">
        <v>35</v>
      </c>
      <c r="B5" s="5">
        <v>100</v>
      </c>
      <c r="C5" s="6">
        <v>0.15</v>
      </c>
      <c r="D5" s="5">
        <v>2.5</v>
      </c>
      <c r="E5" s="46"/>
    </row>
    <row r="7" spans="1:9">
      <c r="A7" s="33" t="s">
        <v>9</v>
      </c>
      <c r="B7" s="33"/>
      <c r="C7" s="33"/>
      <c r="D7" s="33"/>
      <c r="E7" s="33"/>
      <c r="F7" s="33"/>
      <c r="G7" s="33"/>
      <c r="H7" s="33"/>
      <c r="I7" s="33"/>
    </row>
    <row r="8" spans="1:9">
      <c r="A8" s="4" t="s">
        <v>41</v>
      </c>
      <c r="B8" s="6">
        <f>B4/D9</f>
        <v>0.6</v>
      </c>
      <c r="D8" s="4" t="s">
        <v>39</v>
      </c>
      <c r="E8" s="4" t="s">
        <v>43</v>
      </c>
      <c r="F8" s="4" t="s">
        <v>44</v>
      </c>
      <c r="G8" s="4" t="s">
        <v>38</v>
      </c>
      <c r="H8" s="4" t="s">
        <v>45</v>
      </c>
      <c r="I8" s="4" t="s">
        <v>46</v>
      </c>
    </row>
    <row r="9" spans="1:9">
      <c r="A9" s="4" t="s">
        <v>42</v>
      </c>
      <c r="B9" s="6">
        <f>1-B8</f>
        <v>0.4</v>
      </c>
      <c r="D9" s="5">
        <f>SUM(B4:B5)</f>
        <v>250</v>
      </c>
      <c r="E9" s="20">
        <f>SQRT(B8^2*C4^2+B9^2*C5^2+2*B8*B9*C4*C5*E4)</f>
        <v>8.4852813742385708E-2</v>
      </c>
      <c r="F9" s="5">
        <f>SUM(D4:D5)</f>
        <v>10</v>
      </c>
      <c r="G9" s="7">
        <v>2.5000000000000001E-2</v>
      </c>
      <c r="H9" s="5">
        <f>-D9*E9*_xlfn.NORM.S.INV(G9)</f>
        <v>41.577114730490329</v>
      </c>
      <c r="I9" s="21">
        <f>F9/H9</f>
        <v>0.2405169301627022</v>
      </c>
    </row>
    <row r="11" spans="1:9">
      <c r="A11" s="33" t="s">
        <v>10</v>
      </c>
      <c r="B11" s="33"/>
    </row>
    <row r="12" spans="1:9">
      <c r="A12" s="4" t="s">
        <v>40</v>
      </c>
      <c r="B12" s="4" t="s">
        <v>37</v>
      </c>
    </row>
    <row r="13" spans="1:9">
      <c r="A13" s="7">
        <v>0.25</v>
      </c>
      <c r="B13" s="19">
        <f>((F9/(A13*-D9*_xlfn.NORM.S.INV(G9)))^2-B8^2*C4^2-B9^2*C5^2)/(2*C4*C5*B8*B9)</f>
        <v>-7.4425700881757512E-2</v>
      </c>
    </row>
    <row r="14" spans="1:9">
      <c r="G14" t="s">
        <v>79</v>
      </c>
    </row>
  </sheetData>
  <mergeCells count="5">
    <mergeCell ref="A1:I1"/>
    <mergeCell ref="A2:E2"/>
    <mergeCell ref="A11:B11"/>
    <mergeCell ref="A7:I7"/>
    <mergeCell ref="E4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0923-A0C2-C741-91ED-2644D7276D2D}">
  <sheetPr>
    <tabColor theme="2" tint="-0.249977111117893"/>
  </sheetPr>
  <dimension ref="A1:C14"/>
  <sheetViews>
    <sheetView zoomScale="262" zoomScaleNormal="262" workbookViewId="0">
      <selection activeCell="C8" sqref="C8"/>
    </sheetView>
  </sheetViews>
  <sheetFormatPr baseColWidth="10" defaultRowHeight="16"/>
  <cols>
    <col min="2" max="2" width="13.83203125" bestFit="1" customWidth="1"/>
  </cols>
  <sheetData>
    <row r="1" spans="1:3">
      <c r="A1" s="35" t="s">
        <v>4</v>
      </c>
      <c r="B1" s="35"/>
      <c r="C1" s="35"/>
    </row>
    <row r="2" spans="1:3">
      <c r="A2" s="33" t="s">
        <v>9</v>
      </c>
      <c r="B2" s="4" t="s">
        <v>47</v>
      </c>
      <c r="C2" s="8">
        <v>4.3499999999999997E-2</v>
      </c>
    </row>
    <row r="3" spans="1:3">
      <c r="A3" s="33"/>
      <c r="B3" s="4" t="s">
        <v>34</v>
      </c>
      <c r="C3" s="6">
        <v>0.25</v>
      </c>
    </row>
    <row r="4" spans="1:3">
      <c r="A4" s="33"/>
      <c r="B4" s="4" t="s">
        <v>48</v>
      </c>
      <c r="C4" s="6">
        <v>0.1</v>
      </c>
    </row>
    <row r="5" spans="1:3">
      <c r="A5" s="33"/>
      <c r="B5" s="4" t="s">
        <v>49</v>
      </c>
      <c r="C5" s="8">
        <f>-C3*_xlfn.NORM.S.INV(C2)</f>
        <v>0.42785988942733943</v>
      </c>
    </row>
    <row r="6" spans="1:3">
      <c r="A6" s="33"/>
      <c r="B6" s="4" t="s">
        <v>52</v>
      </c>
      <c r="C6" s="23">
        <f>C4*C5</f>
        <v>4.2785988942733943E-2</v>
      </c>
    </row>
    <row r="7" spans="1:3">
      <c r="A7" s="33" t="s">
        <v>10</v>
      </c>
      <c r="B7" s="4" t="s">
        <v>7</v>
      </c>
      <c r="C7" s="8">
        <v>1.1599999999999999E-2</v>
      </c>
    </row>
    <row r="8" spans="1:3">
      <c r="A8" s="33"/>
      <c r="B8" s="4" t="s">
        <v>52</v>
      </c>
      <c r="C8" s="23">
        <f>C4*(-C3)*_xlfn.NORM.S.INV(C7)</f>
        <v>5.6753124950513073E-2</v>
      </c>
    </row>
    <row r="9" spans="1:3">
      <c r="A9" s="33" t="s">
        <v>11</v>
      </c>
      <c r="B9" s="47" t="s">
        <v>51</v>
      </c>
      <c r="C9" s="47"/>
    </row>
    <row r="10" spans="1:3">
      <c r="A10" s="33"/>
      <c r="B10" s="47"/>
      <c r="C10" s="47"/>
    </row>
    <row r="11" spans="1:3">
      <c r="A11" s="33"/>
      <c r="B11" s="47"/>
      <c r="C11" s="47"/>
    </row>
    <row r="12" spans="1:3">
      <c r="A12" s="33"/>
      <c r="B12" s="47"/>
      <c r="C12" s="47"/>
    </row>
    <row r="13" spans="1:3">
      <c r="A13" s="33"/>
      <c r="B13" s="47"/>
      <c r="C13" s="47"/>
    </row>
    <row r="14" spans="1:3">
      <c r="A14" s="33"/>
      <c r="B14" s="47"/>
      <c r="C14" s="47"/>
    </row>
  </sheetData>
  <mergeCells count="5">
    <mergeCell ref="B9:C14"/>
    <mergeCell ref="A9:A14"/>
    <mergeCell ref="A7:A8"/>
    <mergeCell ref="A2:A6"/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E980-A454-564E-BB4C-B91F87C5D651}">
  <sheetPr>
    <tabColor rgb="FFEB9398"/>
  </sheetPr>
  <dimension ref="A1:M1002"/>
  <sheetViews>
    <sheetView tabSelected="1" zoomScale="111" zoomScaleNormal="111" workbookViewId="0">
      <pane ySplit="1" topLeftCell="A2" activePane="bottomLeft" state="frozen"/>
      <selection activeCell="C1" sqref="C1"/>
      <selection pane="bottomLeft" activeCell="K34" sqref="K34"/>
    </sheetView>
  </sheetViews>
  <sheetFormatPr baseColWidth="10" defaultRowHeight="16"/>
  <cols>
    <col min="1" max="1" width="13.1640625" customWidth="1"/>
    <col min="2" max="2" width="13" customWidth="1"/>
    <col min="3" max="3" width="12.33203125" customWidth="1"/>
    <col min="4" max="4" width="16.6640625" customWidth="1"/>
    <col min="5" max="5" width="16.5" customWidth="1"/>
    <col min="6" max="6" width="17.6640625" customWidth="1"/>
    <col min="7" max="7" width="28.1640625" customWidth="1"/>
    <col min="8" max="8" width="29.33203125" customWidth="1"/>
    <col min="11" max="11" width="10.83203125" customWidth="1"/>
    <col min="12" max="13" width="12.83203125" customWidth="1"/>
  </cols>
  <sheetData>
    <row r="1" spans="1:13">
      <c r="A1" s="35" t="s">
        <v>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>
      <c r="A2" s="1" t="s">
        <v>53</v>
      </c>
      <c r="B2" s="1" t="s">
        <v>54</v>
      </c>
      <c r="C2" s="1" t="s">
        <v>55</v>
      </c>
      <c r="D2" s="1" t="s">
        <v>67</v>
      </c>
      <c r="E2" s="1" t="s">
        <v>68</v>
      </c>
      <c r="F2" s="1" t="s">
        <v>69</v>
      </c>
      <c r="G2" s="1" t="s">
        <v>73</v>
      </c>
      <c r="H2" s="1" t="s">
        <v>74</v>
      </c>
      <c r="I2" s="1"/>
      <c r="J2" s="34" t="s">
        <v>56</v>
      </c>
      <c r="K2" s="34"/>
      <c r="L2" s="34"/>
      <c r="M2" s="34"/>
    </row>
    <row r="3" spans="1:13" ht="16" customHeight="1">
      <c r="A3" s="1">
        <v>1.1569749546905808</v>
      </c>
      <c r="B3" s="1">
        <v>27.107964641275366</v>
      </c>
      <c r="C3" s="1">
        <v>65.63290131015907</v>
      </c>
      <c r="D3" s="24">
        <f>Data__2[[#This Row],[Project_1]]/J$4</f>
        <v>7.7131663646038719E-3</v>
      </c>
      <c r="E3" s="24">
        <f>Data__2[[#This Row],[Project_2]]/K$4</f>
        <v>0.18071976427516911</v>
      </c>
      <c r="F3" s="24">
        <f>Data__2[[#This Row],[Market]]/L$4</f>
        <v>6.5632901310159072E-2</v>
      </c>
      <c r="G3" s="1">
        <f>L$24*Data__2[[#This Row],[Return Market]]*J$4</f>
        <v>3.6462722950088415</v>
      </c>
      <c r="H3" s="1">
        <f>M$24*Data__2[[#This Row],[Return Market]]*K$4</f>
        <v>3.8285859097592843</v>
      </c>
      <c r="I3" s="1"/>
      <c r="J3" s="4" t="s">
        <v>57</v>
      </c>
      <c r="K3" s="4" t="s">
        <v>58</v>
      </c>
      <c r="L3" s="4" t="s">
        <v>59</v>
      </c>
      <c r="M3" s="3" t="s">
        <v>13</v>
      </c>
    </row>
    <row r="4" spans="1:13">
      <c r="A4" s="1">
        <v>10.596416040789588</v>
      </c>
      <c r="B4" s="1">
        <v>-0.9261421533558174</v>
      </c>
      <c r="C4" s="1">
        <v>327.62678571430888</v>
      </c>
      <c r="D4" s="24">
        <f>Data__2[[#This Row],[Project_1]]/J$4</f>
        <v>7.0642773605263928E-2</v>
      </c>
      <c r="E4" s="24">
        <f>Data__2[[#This Row],[Project_2]]/K$4</f>
        <v>-6.1742810223721157E-3</v>
      </c>
      <c r="F4" s="24">
        <f>Data__2[[#This Row],[Market]]/L$4</f>
        <v>0.32762678571430887</v>
      </c>
      <c r="G4" s="1">
        <f>L$24*Data__2[[#This Row],[Return Market]]*J$4</f>
        <v>18.201488095239402</v>
      </c>
      <c r="H4" s="1">
        <f>M$24*Data__2[[#This Row],[Return Market]]*K$4</f>
        <v>19.111562500001373</v>
      </c>
      <c r="I4" s="1"/>
      <c r="J4" s="5">
        <v>150</v>
      </c>
      <c r="K4" s="5">
        <v>150</v>
      </c>
      <c r="L4" s="5">
        <v>1000</v>
      </c>
      <c r="M4" s="6">
        <v>0.04</v>
      </c>
    </row>
    <row r="5" spans="1:13">
      <c r="A5" s="1">
        <v>12.976252412443607</v>
      </c>
      <c r="B5" s="1">
        <v>18.00799897748427</v>
      </c>
      <c r="C5" s="1">
        <v>81.660126999755661</v>
      </c>
      <c r="D5" s="24">
        <f>Data__2[[#This Row],[Project_1]]/J$4</f>
        <v>8.6508349416290709E-2</v>
      </c>
      <c r="E5" s="24">
        <f>Data__2[[#This Row],[Project_2]]/K$4</f>
        <v>0.1200533265165618</v>
      </c>
      <c r="F5" s="24">
        <f>Data__2[[#This Row],[Market]]/L$4</f>
        <v>8.1660126999755667E-2</v>
      </c>
      <c r="G5" s="1">
        <f>L$24*Data__2[[#This Row],[Return Market]]*J$4</f>
        <v>4.5366737222086533</v>
      </c>
      <c r="H5" s="1">
        <f>M$24*Data__2[[#This Row],[Return Market]]*K$4</f>
        <v>4.7635074083190867</v>
      </c>
      <c r="I5" s="1"/>
      <c r="J5" s="1"/>
      <c r="K5" s="1"/>
      <c r="L5" s="1"/>
      <c r="M5" s="1"/>
    </row>
    <row r="6" spans="1:13">
      <c r="A6" s="1">
        <v>27.318714165333937</v>
      </c>
      <c r="B6" s="1">
        <v>24.40421524690051</v>
      </c>
      <c r="C6" s="1">
        <v>248.81687632442916</v>
      </c>
      <c r="D6" s="24">
        <f>Data__2[[#This Row],[Project_1]]/J$4</f>
        <v>0.18212476110222625</v>
      </c>
      <c r="E6" s="24">
        <f>Data__2[[#This Row],[Project_2]]/K$4</f>
        <v>0.16269476831267007</v>
      </c>
      <c r="F6" s="24">
        <f>Data__2[[#This Row],[Market]]/L$4</f>
        <v>0.24881687632442917</v>
      </c>
      <c r="G6" s="1">
        <f>L$24*Data__2[[#This Row],[Return Market]]*J$4</f>
        <v>13.823159795801637</v>
      </c>
      <c r="H6" s="1">
        <f>M$24*Data__2[[#This Row],[Return Market]]*K$4</f>
        <v>14.51431778559172</v>
      </c>
      <c r="I6" s="1"/>
      <c r="J6" s="33" t="s">
        <v>9</v>
      </c>
      <c r="K6" s="25" t="s">
        <v>70</v>
      </c>
      <c r="L6" s="4" t="s">
        <v>57</v>
      </c>
      <c r="M6" s="4" t="s">
        <v>58</v>
      </c>
    </row>
    <row r="7" spans="1:13">
      <c r="A7" s="1">
        <v>-25.71553481698863</v>
      </c>
      <c r="B7" s="1">
        <v>-26.679817572664142</v>
      </c>
      <c r="C7" s="1">
        <v>-105.26544017809596</v>
      </c>
      <c r="D7" s="24">
        <f>Data__2[[#This Row],[Project_1]]/J$4</f>
        <v>-0.17143689877992419</v>
      </c>
      <c r="E7" s="24">
        <f>Data__2[[#This Row],[Project_2]]/K$4</f>
        <v>-0.17786545048442762</v>
      </c>
      <c r="F7" s="24">
        <f>Data__2[[#This Row],[Market]]/L$4</f>
        <v>-0.10526544017809596</v>
      </c>
      <c r="G7" s="1">
        <f>L$24*Data__2[[#This Row],[Return Market]]*J$4</f>
        <v>-5.8480800098942263</v>
      </c>
      <c r="H7" s="1">
        <f>M$24*Data__2[[#This Row],[Return Market]]*K$4</f>
        <v>-6.1404840103889393</v>
      </c>
      <c r="I7" s="1"/>
      <c r="J7" s="33"/>
      <c r="K7" s="4" t="s">
        <v>60</v>
      </c>
      <c r="L7" s="5">
        <f>AVERAGE(Data__2[Project_1])</f>
        <v>10.999999999999996</v>
      </c>
      <c r="M7" s="5">
        <f>AVERAGE(Data__2[Project_2])</f>
        <v>9.9999999999999947</v>
      </c>
    </row>
    <row r="8" spans="1:13">
      <c r="A8" s="1">
        <v>21.978491022242142</v>
      </c>
      <c r="B8" s="1">
        <v>30.846622430133706</v>
      </c>
      <c r="C8" s="1">
        <v>442.91339043890832</v>
      </c>
      <c r="D8" s="24">
        <f>Data__2[[#This Row],[Project_1]]/J$4</f>
        <v>0.14652327348161429</v>
      </c>
      <c r="E8" s="24">
        <f>Data__2[[#This Row],[Project_2]]/K$4</f>
        <v>0.20564414953422472</v>
      </c>
      <c r="F8" s="24">
        <f>Data__2[[#This Row],[Market]]/L$4</f>
        <v>0.44291339043890832</v>
      </c>
      <c r="G8" s="1">
        <f>L$24*Data__2[[#This Row],[Return Market]]*J$4</f>
        <v>24.606299468828269</v>
      </c>
      <c r="H8" s="1">
        <f>M$24*Data__2[[#This Row],[Return Market]]*K$4</f>
        <v>25.836614442269685</v>
      </c>
      <c r="I8" s="1"/>
      <c r="J8" s="33"/>
      <c r="K8" s="4" t="s">
        <v>61</v>
      </c>
      <c r="L8" s="8">
        <f>L7/J4</f>
        <v>7.3333333333333306E-2</v>
      </c>
      <c r="M8" s="8">
        <f>M7/K4</f>
        <v>6.6666666666666638E-2</v>
      </c>
    </row>
    <row r="9" spans="1:13">
      <c r="A9" s="1">
        <v>15.344333983368719</v>
      </c>
      <c r="B9" s="1">
        <v>4.155370835769741</v>
      </c>
      <c r="C9" s="1">
        <v>52.618690236783081</v>
      </c>
      <c r="D9" s="24">
        <f>Data__2[[#This Row],[Project_1]]/J$4</f>
        <v>0.1022955598891248</v>
      </c>
      <c r="E9" s="24">
        <f>Data__2[[#This Row],[Project_2]]/K$4</f>
        <v>2.7702472238464941E-2</v>
      </c>
      <c r="F9" s="24">
        <f>Data__2[[#This Row],[Market]]/L$4</f>
        <v>5.2618690236783082E-2</v>
      </c>
      <c r="G9" s="1">
        <f>L$24*Data__2[[#This Row],[Return Market]]*J$4</f>
        <v>2.9232605687101749</v>
      </c>
      <c r="H9" s="1">
        <f>M$24*Data__2[[#This Row],[Return Market]]*K$4</f>
        <v>3.069423597145684</v>
      </c>
      <c r="I9" s="1"/>
      <c r="J9" s="1"/>
      <c r="K9" s="1"/>
      <c r="L9" s="1"/>
      <c r="M9" s="1"/>
    </row>
    <row r="10" spans="1:13">
      <c r="A10" s="1">
        <v>9.3243394268344169</v>
      </c>
      <c r="B10" s="1">
        <v>6.3908474708512681</v>
      </c>
      <c r="C10" s="1">
        <v>54.986515907549801</v>
      </c>
      <c r="D10" s="24">
        <f>Data__2[[#This Row],[Project_1]]/J$4</f>
        <v>6.2162262845562782E-2</v>
      </c>
      <c r="E10" s="24">
        <f>Data__2[[#This Row],[Project_2]]/K$4</f>
        <v>4.2605649805675119E-2</v>
      </c>
      <c r="F10" s="24">
        <f>Data__2[[#This Row],[Market]]/L$4</f>
        <v>5.4986515907549799E-2</v>
      </c>
      <c r="G10" s="1">
        <f>L$24*Data__2[[#This Row],[Return Market]]*J$4</f>
        <v>3.0548064393083254</v>
      </c>
      <c r="H10" s="1">
        <f>M$24*Data__2[[#This Row],[Return Market]]*K$4</f>
        <v>3.2075467612737425</v>
      </c>
      <c r="I10" s="1"/>
      <c r="J10" s="33" t="s">
        <v>10</v>
      </c>
      <c r="K10" s="25" t="s">
        <v>71</v>
      </c>
      <c r="L10" s="4" t="s">
        <v>57</v>
      </c>
      <c r="M10" s="4" t="s">
        <v>58</v>
      </c>
    </row>
    <row r="11" spans="1:13">
      <c r="A11" s="1">
        <v>-15.050506306581955</v>
      </c>
      <c r="B11" s="1">
        <v>-17.780550558306103</v>
      </c>
      <c r="C11" s="1">
        <v>-212.30574375284527</v>
      </c>
      <c r="D11" s="24">
        <f>Data__2[[#This Row],[Project_1]]/J$4</f>
        <v>-0.10033670871054637</v>
      </c>
      <c r="E11" s="24">
        <f>Data__2[[#This Row],[Project_2]]/K$4</f>
        <v>-0.11853700372204069</v>
      </c>
      <c r="F11" s="24">
        <f>Data__2[[#This Row],[Market]]/L$4</f>
        <v>-0.21230574375284528</v>
      </c>
      <c r="G11" s="1">
        <f>L$24*Data__2[[#This Row],[Return Market]]*J$4</f>
        <v>-11.794763541824752</v>
      </c>
      <c r="H11" s="1">
        <f>M$24*Data__2[[#This Row],[Return Market]]*K$4</f>
        <v>-12.384501718915992</v>
      </c>
      <c r="I11" s="1"/>
      <c r="J11" s="33"/>
      <c r="K11" s="4" t="s">
        <v>50</v>
      </c>
      <c r="L11" s="8">
        <f>AVERAGE(Data__2[Return Proj.1])</f>
        <v>7.3333333333333334E-2</v>
      </c>
      <c r="M11" s="8">
        <f>AVERAGE(Data__2[Return Proj.2])</f>
        <v>6.6666666666666693E-2</v>
      </c>
    </row>
    <row r="12" spans="1:13">
      <c r="A12" s="1">
        <v>37.252637934201346</v>
      </c>
      <c r="B12" s="1">
        <v>20.30224165502317</v>
      </c>
      <c r="C12" s="1">
        <v>156.21933298759524</v>
      </c>
      <c r="D12" s="24">
        <f>Data__2[[#This Row],[Project_1]]/J$4</f>
        <v>0.24835091956134231</v>
      </c>
      <c r="E12" s="24">
        <f>Data__2[[#This Row],[Project_2]]/K$4</f>
        <v>0.13534827770015448</v>
      </c>
      <c r="F12" s="24">
        <f>Data__2[[#This Row],[Market]]/L$4</f>
        <v>0.15621933298759524</v>
      </c>
      <c r="G12" s="1">
        <f>L$24*Data__2[[#This Row],[Return Market]]*J$4</f>
        <v>8.6788518326441899</v>
      </c>
      <c r="H12" s="1">
        <f>M$24*Data__2[[#This Row],[Return Market]]*K$4</f>
        <v>9.1127944242763999</v>
      </c>
      <c r="I12" s="1"/>
      <c r="J12" s="33"/>
      <c r="K12" s="4" t="s">
        <v>34</v>
      </c>
      <c r="L12" s="8">
        <f>_xlfn.STDEV.S(Data__2[Return Proj.1])</f>
        <v>0.13333333333333336</v>
      </c>
      <c r="M12" s="8">
        <f>_xlfn.STDEV.S(Data__2[Return Proj.2])</f>
        <v>0.1000000000000012</v>
      </c>
    </row>
    <row r="13" spans="1:13">
      <c r="A13" s="1">
        <v>-16.083609597101272</v>
      </c>
      <c r="B13" s="1">
        <v>30.092132616369959</v>
      </c>
      <c r="C13" s="1">
        <v>-98.272310158562618</v>
      </c>
      <c r="D13" s="24">
        <f>Data__2[[#This Row],[Project_1]]/J$4</f>
        <v>-0.10722406398067515</v>
      </c>
      <c r="E13" s="24">
        <f>Data__2[[#This Row],[Project_2]]/K$4</f>
        <v>0.20061421744246638</v>
      </c>
      <c r="F13" s="24">
        <f>Data__2[[#This Row],[Market]]/L$4</f>
        <v>-9.8272310158562623E-2</v>
      </c>
      <c r="G13" s="1">
        <f>L$24*Data__2[[#This Row],[Return Market]]*J$4</f>
        <v>-5.4595727865868184</v>
      </c>
      <c r="H13" s="1">
        <f>M$24*Data__2[[#This Row],[Return Market]]*K$4</f>
        <v>-5.7325514259161601</v>
      </c>
      <c r="I13" s="1"/>
      <c r="J13" s="33"/>
      <c r="K13" s="4" t="s">
        <v>64</v>
      </c>
      <c r="L13" s="5">
        <f>(L11-$M$4)/L12</f>
        <v>0.24999999999999994</v>
      </c>
      <c r="M13" s="26">
        <f>(M11-$M$4)/M12</f>
        <v>0.26666666666666372</v>
      </c>
    </row>
    <row r="14" spans="1:13">
      <c r="A14" s="1">
        <v>-8.2116793713908685</v>
      </c>
      <c r="B14" s="1">
        <v>11.146187256852583</v>
      </c>
      <c r="C14" s="1">
        <v>236.2614997823967</v>
      </c>
      <c r="D14" s="24">
        <f>Data__2[[#This Row],[Project_1]]/J$4</f>
        <v>-5.4744529142605788E-2</v>
      </c>
      <c r="E14" s="24">
        <f>Data__2[[#This Row],[Project_2]]/K$4</f>
        <v>7.4307915045683889E-2</v>
      </c>
      <c r="F14" s="24">
        <f>Data__2[[#This Row],[Market]]/L$4</f>
        <v>0.23626149978239669</v>
      </c>
      <c r="G14" s="1">
        <f>L$24*Data__2[[#This Row],[Return Market]]*J$4</f>
        <v>13.125638876799831</v>
      </c>
      <c r="H14" s="1">
        <f>M$24*Data__2[[#This Row],[Return Market]]*K$4</f>
        <v>13.781920820639824</v>
      </c>
      <c r="I14" s="1"/>
      <c r="J14" s="1"/>
      <c r="K14" s="1"/>
      <c r="L14" s="1"/>
      <c r="M14" s="1"/>
    </row>
    <row r="15" spans="1:13">
      <c r="A15" s="1">
        <v>4.5965926422782166</v>
      </c>
      <c r="B15" s="1">
        <v>9.9698185451634878</v>
      </c>
      <c r="C15" s="1">
        <v>170.19215673310055</v>
      </c>
      <c r="D15" s="24">
        <f>Data__2[[#This Row],[Project_1]]/J$4</f>
        <v>3.0643950948521445E-2</v>
      </c>
      <c r="E15" s="24">
        <f>Data__2[[#This Row],[Project_2]]/K$4</f>
        <v>6.6465456967756589E-2</v>
      </c>
      <c r="F15" s="24">
        <f>Data__2[[#This Row],[Market]]/L$4</f>
        <v>0.17019215673310054</v>
      </c>
      <c r="G15" s="1">
        <f>L$24*Data__2[[#This Row],[Return Market]]*J$4</f>
        <v>9.4551198185055956</v>
      </c>
      <c r="H15" s="1">
        <f>M$24*Data__2[[#This Row],[Return Market]]*K$4</f>
        <v>9.9278758094308781</v>
      </c>
      <c r="I15" s="1"/>
      <c r="J15" s="33" t="s">
        <v>11</v>
      </c>
      <c r="K15" s="25" t="s">
        <v>72</v>
      </c>
      <c r="L15" s="4" t="s">
        <v>57</v>
      </c>
      <c r="M15" s="4" t="s">
        <v>58</v>
      </c>
    </row>
    <row r="16" spans="1:13">
      <c r="A16" s="1">
        <v>2.3525825895505896</v>
      </c>
      <c r="B16" s="1">
        <v>9.2621207630547033</v>
      </c>
      <c r="C16" s="1">
        <v>90.069832479959473</v>
      </c>
      <c r="D16" s="24">
        <f>Data__2[[#This Row],[Project_1]]/J$4</f>
        <v>1.5683883930337265E-2</v>
      </c>
      <c r="E16" s="24">
        <f>Data__2[[#This Row],[Project_2]]/K$4</f>
        <v>6.1747471753698019E-2</v>
      </c>
      <c r="F16" s="24">
        <f>Data__2[[#This Row],[Market]]/L$4</f>
        <v>9.0069832479959477E-2</v>
      </c>
      <c r="G16" s="1">
        <f>L$24*Data__2[[#This Row],[Return Market]]*J$4</f>
        <v>5.0038795822199766</v>
      </c>
      <c r="H16" s="1">
        <f>M$24*Data__2[[#This Row],[Return Market]]*K$4</f>
        <v>5.2540735613309764</v>
      </c>
      <c r="I16" s="1"/>
      <c r="J16" s="33"/>
      <c r="K16" s="4" t="s">
        <v>38</v>
      </c>
      <c r="L16" s="6">
        <v>0.01</v>
      </c>
      <c r="M16" s="6">
        <v>0.01</v>
      </c>
    </row>
    <row r="17" spans="1:13">
      <c r="A17" s="1">
        <v>-6.7164978205176027</v>
      </c>
      <c r="B17" s="1">
        <v>2.2774771859919722</v>
      </c>
      <c r="C17" s="1">
        <v>209.9685871557798</v>
      </c>
      <c r="D17" s="24">
        <f>Data__2[[#This Row],[Project_1]]/J$4</f>
        <v>-4.4776652136784015E-2</v>
      </c>
      <c r="E17" s="24">
        <f>Data__2[[#This Row],[Project_2]]/K$4</f>
        <v>1.5183181239946482E-2</v>
      </c>
      <c r="F17" s="24">
        <f>Data__2[[#This Row],[Market]]/L$4</f>
        <v>0.20996858715577979</v>
      </c>
      <c r="G17" s="1">
        <f>L$24*Data__2[[#This Row],[Return Market]]*J$4</f>
        <v>11.664921508654444</v>
      </c>
      <c r="H17" s="1">
        <f>M$24*Data__2[[#This Row],[Return Market]]*K$4</f>
        <v>12.24816758408717</v>
      </c>
      <c r="I17" s="1"/>
      <c r="J17" s="33"/>
      <c r="K17" s="4" t="s">
        <v>65</v>
      </c>
      <c r="L17" s="30" cm="1">
        <f t="array" ref="L17">ABS(INDEX(_xlfn._xlws.SORT(Data__2[Return Proj.1]),L16*COUNT(Data__2[Return Proj.1])))*J4</f>
        <v>31.379408642466124</v>
      </c>
      <c r="M17" s="30" cm="1">
        <f t="array" ref="M17">ABS(INDEX(_xlfn._xlws.SORT(Data__2[Return Proj.2]),M16*COUNT(Data__2[Return Proj.2])))*K4</f>
        <v>26.666312290809373</v>
      </c>
    </row>
    <row r="18" spans="1:13">
      <c r="A18" s="1">
        <v>16.031565016010795</v>
      </c>
      <c r="B18" s="1">
        <v>10.450396520710779</v>
      </c>
      <c r="C18" s="1">
        <v>133.60143648456955</v>
      </c>
      <c r="D18" s="24">
        <f>Data__2[[#This Row],[Project_1]]/J$4</f>
        <v>0.10687710010673863</v>
      </c>
      <c r="E18" s="24">
        <f>Data__2[[#This Row],[Project_2]]/K$4</f>
        <v>6.9669310138071858E-2</v>
      </c>
      <c r="F18" s="24">
        <f>Data__2[[#This Row],[Market]]/L$4</f>
        <v>0.13360143648456954</v>
      </c>
      <c r="G18" s="1">
        <f>L$24*Data__2[[#This Row],[Return Market]]*J$4</f>
        <v>7.4223020269205389</v>
      </c>
      <c r="H18" s="1">
        <f>M$24*Data__2[[#This Row],[Return Market]]*K$4</f>
        <v>7.793417128266567</v>
      </c>
      <c r="I18" s="1"/>
      <c r="J18" s="33"/>
      <c r="K18" s="4" t="s">
        <v>40</v>
      </c>
      <c r="L18" s="9">
        <f>L7/L17</f>
        <v>0.35054835243496485</v>
      </c>
      <c r="M18" s="7">
        <f>M7/M17</f>
        <v>0.3750049834767189</v>
      </c>
    </row>
    <row r="19" spans="1:13">
      <c r="A19" s="1">
        <v>13.29483857535107</v>
      </c>
      <c r="B19" s="1">
        <v>-19.767545860769864</v>
      </c>
      <c r="C19" s="1">
        <v>60.476872037094566</v>
      </c>
      <c r="D19" s="24">
        <f>Data__2[[#This Row],[Project_1]]/J$4</f>
        <v>8.8632257169007134E-2</v>
      </c>
      <c r="E19" s="24">
        <f>Data__2[[#This Row],[Project_2]]/K$4</f>
        <v>-0.1317836390717991</v>
      </c>
      <c r="F19" s="24">
        <f>Data__2[[#This Row],[Market]]/L$4</f>
        <v>6.0476872037094564E-2</v>
      </c>
      <c r="G19" s="1">
        <f>L$24*Data__2[[#This Row],[Return Market]]*J$4</f>
        <v>3.3598262242830352</v>
      </c>
      <c r="H19" s="1">
        <f>M$24*Data__2[[#This Row],[Return Market]]*K$4</f>
        <v>3.5278175354971877</v>
      </c>
      <c r="I19" s="1"/>
      <c r="J19" s="1"/>
      <c r="K19" s="1"/>
      <c r="L19" s="1"/>
      <c r="M19" s="1"/>
    </row>
    <row r="20" spans="1:13">
      <c r="A20" s="1">
        <v>-0.20886742224337596</v>
      </c>
      <c r="B20" s="1">
        <v>8.4820933164985899</v>
      </c>
      <c r="C20" s="1">
        <v>-74.839204942302359</v>
      </c>
      <c r="D20" s="24">
        <f>Data__2[[#This Row],[Project_1]]/J$4</f>
        <v>-1.3924494816225064E-3</v>
      </c>
      <c r="E20" s="24">
        <f>Data__2[[#This Row],[Project_2]]/K$4</f>
        <v>5.6547288776657267E-2</v>
      </c>
      <c r="F20" s="24">
        <f>Data__2[[#This Row],[Market]]/L$4</f>
        <v>-7.4839204942302354E-2</v>
      </c>
      <c r="G20" s="1">
        <f>L$24*Data__2[[#This Row],[Return Market]]*J$4</f>
        <v>-4.1577336079056915</v>
      </c>
      <c r="H20" s="1">
        <f>M$24*Data__2[[#This Row],[Return Market]]*K$4</f>
        <v>-4.3656202883009767</v>
      </c>
      <c r="I20" s="1"/>
      <c r="J20" s="33" t="s">
        <v>66</v>
      </c>
      <c r="K20" s="40" t="s">
        <v>78</v>
      </c>
      <c r="L20" s="40"/>
      <c r="M20" s="30">
        <f>_xlfn.VAR.S(Data__2[Return Market])</f>
        <v>3.2400000000000012E-2</v>
      </c>
    </row>
    <row r="21" spans="1:13">
      <c r="A21" s="1">
        <v>17.648183495149851</v>
      </c>
      <c r="B21" s="1">
        <v>15.34469942893309</v>
      </c>
      <c r="C21" s="1">
        <v>202.11788683242025</v>
      </c>
      <c r="D21" s="24">
        <f>Data__2[[#This Row],[Project_1]]/J$4</f>
        <v>0.11765455663433234</v>
      </c>
      <c r="E21" s="24">
        <f>Data__2[[#This Row],[Project_2]]/K$4</f>
        <v>0.10229799619288726</v>
      </c>
      <c r="F21" s="24">
        <f>Data__2[[#This Row],[Market]]/L$4</f>
        <v>0.20211788683242024</v>
      </c>
      <c r="G21" s="1">
        <f>L$24*Data__2[[#This Row],[Return Market]]*J$4</f>
        <v>11.228771490690026</v>
      </c>
      <c r="H21" s="1">
        <f>M$24*Data__2[[#This Row],[Return Market]]*K$4</f>
        <v>11.79021006522453</v>
      </c>
      <c r="I21" s="1"/>
      <c r="J21" s="33"/>
    </row>
    <row r="22" spans="1:13">
      <c r="A22" s="1">
        <v>60.266951196605788</v>
      </c>
      <c r="B22" s="1">
        <v>29.50646132673068</v>
      </c>
      <c r="C22" s="1">
        <v>82.385014187069714</v>
      </c>
      <c r="D22" s="24">
        <f>Data__2[[#This Row],[Project_1]]/J$4</f>
        <v>0.40177967464403858</v>
      </c>
      <c r="E22" s="24">
        <f>Data__2[[#This Row],[Project_2]]/K$4</f>
        <v>0.19670974217820453</v>
      </c>
      <c r="F22" s="24">
        <f>Data__2[[#This Row],[Market]]/L$4</f>
        <v>8.2385014187069713E-2</v>
      </c>
      <c r="G22" s="1">
        <f>L$24*Data__2[[#This Row],[Return Market]]*J$4</f>
        <v>4.5769452326149898</v>
      </c>
      <c r="H22" s="1">
        <f>M$24*Data__2[[#This Row],[Return Market]]*K$4</f>
        <v>4.8057924942457388</v>
      </c>
      <c r="I22" s="1"/>
      <c r="J22" s="33"/>
      <c r="K22" s="31" t="s">
        <v>75</v>
      </c>
      <c r="L22" s="4" t="s">
        <v>57</v>
      </c>
      <c r="M22" s="4" t="s">
        <v>58</v>
      </c>
    </row>
    <row r="23" spans="1:13">
      <c r="A23" s="1">
        <v>23.76129138742894</v>
      </c>
      <c r="B23" s="1">
        <v>12.195521802063148</v>
      </c>
      <c r="C23" s="1">
        <v>34.01723744362981</v>
      </c>
      <c r="D23" s="24">
        <f>Data__2[[#This Row],[Project_1]]/J$4</f>
        <v>0.15840860924952627</v>
      </c>
      <c r="E23" s="24">
        <f>Data__2[[#This Row],[Project_2]]/K$4</f>
        <v>8.1303478680420982E-2</v>
      </c>
      <c r="F23" s="24">
        <f>Data__2[[#This Row],[Market]]/L$4</f>
        <v>3.4017237443629812E-2</v>
      </c>
      <c r="G23" s="1">
        <f>L$24*Data__2[[#This Row],[Return Market]]*J$4</f>
        <v>1.8898465246461027</v>
      </c>
      <c r="H23" s="1">
        <f>M$24*Data__2[[#This Row],[Return Market]]*K$4</f>
        <v>1.9843388508784083</v>
      </c>
      <c r="I23" s="1"/>
      <c r="J23" s="33"/>
      <c r="K23" s="4" t="s">
        <v>62</v>
      </c>
      <c r="L23" s="5">
        <f>_xlfn.COVARIANCE.S(Data__2[Return Proj.1],Data__2[Return Market])</f>
        <v>1.2000000000000018E-2</v>
      </c>
      <c r="M23" s="5">
        <f>_xlfn.COVARIANCE.S(Data__2[Return Proj.2],Data__2[Return Market])</f>
        <v>1.2600000000000021E-2</v>
      </c>
    </row>
    <row r="24" spans="1:13">
      <c r="A24" s="1">
        <v>2.7451465930125174</v>
      </c>
      <c r="B24" s="1">
        <v>25.208492958760147</v>
      </c>
      <c r="C24" s="1">
        <v>96.76437011794053</v>
      </c>
      <c r="D24" s="24">
        <f>Data__2[[#This Row],[Project_1]]/J$4</f>
        <v>1.8300977286750116E-2</v>
      </c>
      <c r="E24" s="24">
        <f>Data__2[[#This Row],[Project_2]]/K$4</f>
        <v>0.16805661972506764</v>
      </c>
      <c r="F24" s="24">
        <f>Data__2[[#This Row],[Market]]/L$4</f>
        <v>9.6764370117940535E-2</v>
      </c>
      <c r="G24" s="1">
        <f>L$24*Data__2[[#This Row],[Return Market]]*J$4</f>
        <v>5.3757983398855913</v>
      </c>
      <c r="H24" s="1">
        <f>M$24*Data__2[[#This Row],[Return Market]]*K$4</f>
        <v>5.6445882568798718</v>
      </c>
      <c r="I24" s="1"/>
      <c r="J24" s="33"/>
      <c r="K24" s="4" t="s">
        <v>63</v>
      </c>
      <c r="L24" s="30">
        <f>L23/$M$20</f>
        <v>0.37037037037037079</v>
      </c>
      <c r="M24" s="30">
        <f>M23/$M$20</f>
        <v>0.38888888888888939</v>
      </c>
    </row>
    <row r="25" spans="1:13">
      <c r="A25" s="1">
        <v>7.2322940245256113</v>
      </c>
      <c r="B25" s="1">
        <v>19.083663956703575</v>
      </c>
      <c r="C25" s="1">
        <v>63.825375761481993</v>
      </c>
      <c r="D25" s="24">
        <f>Data__2[[#This Row],[Project_1]]/J$4</f>
        <v>4.8215293496837411E-2</v>
      </c>
      <c r="E25" s="24">
        <f>Data__2[[#This Row],[Project_2]]/K$4</f>
        <v>0.12722442637802384</v>
      </c>
      <c r="F25" s="24">
        <f>Data__2[[#This Row],[Market]]/L$4</f>
        <v>6.3825375761481992E-2</v>
      </c>
      <c r="G25" s="1">
        <f>L$24*Data__2[[#This Row],[Return Market]]*J$4</f>
        <v>3.5458542089712259</v>
      </c>
      <c r="H25" s="1">
        <f>M$24*Data__2[[#This Row],[Return Market]]*K$4</f>
        <v>3.7231469194197877</v>
      </c>
      <c r="I25" s="1"/>
      <c r="J25" s="33"/>
      <c r="K25" s="4" t="s">
        <v>38</v>
      </c>
      <c r="L25" s="6">
        <v>0.01</v>
      </c>
      <c r="M25" s="6">
        <v>0.01</v>
      </c>
    </row>
    <row r="26" spans="1:13">
      <c r="A26" s="1">
        <v>16.802770820909632</v>
      </c>
      <c r="B26" s="1">
        <v>35.549006302402361</v>
      </c>
      <c r="C26" s="1">
        <v>306.68427871380288</v>
      </c>
      <c r="D26" s="24">
        <f>Data__2[[#This Row],[Project_1]]/J$4</f>
        <v>0.11201847213939754</v>
      </c>
      <c r="E26" s="24">
        <f>Data__2[[#This Row],[Project_2]]/K$4</f>
        <v>0.23699337534934908</v>
      </c>
      <c r="F26" s="24">
        <f>Data__2[[#This Row],[Market]]/L$4</f>
        <v>0.30668427871380288</v>
      </c>
      <c r="G26" s="1">
        <f>L$24*Data__2[[#This Row],[Return Market]]*J$4</f>
        <v>17.038015484100178</v>
      </c>
      <c r="H26" s="1">
        <f>M$24*Data__2[[#This Row],[Return Market]]*K$4</f>
        <v>17.889916258305192</v>
      </c>
      <c r="I26" s="1"/>
      <c r="J26" s="33"/>
      <c r="K26" s="4" t="s">
        <v>77</v>
      </c>
      <c r="L26" s="5">
        <f>AVERAGE(Data__2[Respective quantile (proj.1)])</f>
        <v>5.0000000000000036</v>
      </c>
      <c r="M26" s="5">
        <f>AVERAGE(Data__2[Respective quantile (proj.2)])</f>
        <v>5.2499999999999973</v>
      </c>
    </row>
    <row r="27" spans="1:13">
      <c r="A27" s="1">
        <v>36.161661645745191</v>
      </c>
      <c r="B27" s="1">
        <v>10.255080408105638</v>
      </c>
      <c r="C27" s="1">
        <v>160.51898036838048</v>
      </c>
      <c r="D27" s="24">
        <f>Data__2[[#This Row],[Project_1]]/J$4</f>
        <v>0.24107774430496795</v>
      </c>
      <c r="E27" s="24">
        <f>Data__2[[#This Row],[Project_2]]/K$4</f>
        <v>6.8367202720704248E-2</v>
      </c>
      <c r="F27" s="24">
        <f>Data__2[[#This Row],[Market]]/L$4</f>
        <v>0.16051898036838047</v>
      </c>
      <c r="G27" s="1">
        <f>L$24*Data__2[[#This Row],[Return Market]]*J$4</f>
        <v>8.9177211315767035</v>
      </c>
      <c r="H27" s="1">
        <f>M$24*Data__2[[#This Row],[Return Market]]*K$4</f>
        <v>9.3636071881555392</v>
      </c>
      <c r="I27" s="1"/>
      <c r="J27" s="33"/>
      <c r="K27" s="4" t="s">
        <v>65</v>
      </c>
      <c r="L27" s="30" cm="1">
        <f t="array" ref="L27">ABS(INDEX(_xlfn._xlws.SORT(Data__2[Respective quantile (proj.1)]),L25*COUNT(Data__2[Respective quantile (proj.1)])))</f>
        <v>18.187592716327242</v>
      </c>
      <c r="M27" s="30" cm="1">
        <f t="array" ref="M27">ABS(INDEX(_xlfn._xlws.SORT(Data__2[Respective quantile (proj.2)]),M25*COUNT(Data__2[Respective quantile (proj.2)])))</f>
        <v>19.096972352143602</v>
      </c>
    </row>
    <row r="28" spans="1:13">
      <c r="A28" s="1">
        <v>23.165563974440907</v>
      </c>
      <c r="B28" s="1">
        <v>35.181409131978633</v>
      </c>
      <c r="C28" s="1">
        <v>460.77826736322419</v>
      </c>
      <c r="D28" s="24">
        <f>Data__2[[#This Row],[Project_1]]/J$4</f>
        <v>0.15443709316293938</v>
      </c>
      <c r="E28" s="24">
        <f>Data__2[[#This Row],[Project_2]]/K$4</f>
        <v>0.23454272754652422</v>
      </c>
      <c r="F28" s="24">
        <f>Data__2[[#This Row],[Market]]/L$4</f>
        <v>0.46077826736322419</v>
      </c>
      <c r="G28" s="1">
        <f>L$24*Data__2[[#This Row],[Return Market]]*J$4</f>
        <v>25.598792631290262</v>
      </c>
      <c r="H28" s="1">
        <f>M$24*Data__2[[#This Row],[Return Market]]*K$4</f>
        <v>26.878732262854779</v>
      </c>
      <c r="I28" s="1"/>
      <c r="J28" s="33"/>
      <c r="K28" s="4" t="s">
        <v>76</v>
      </c>
      <c r="L28" s="32">
        <f>L26/L27</f>
        <v>0.27491268789582241</v>
      </c>
      <c r="M28" s="32">
        <f>M26/M27</f>
        <v>0.27491268789582207</v>
      </c>
    </row>
    <row r="29" spans="1:13">
      <c r="A29" s="1">
        <v>7.1742320516021589</v>
      </c>
      <c r="B29" s="1">
        <v>5.7346926541527878</v>
      </c>
      <c r="C29" s="1">
        <v>-108.82076982446355</v>
      </c>
      <c r="D29" s="24">
        <f>Data__2[[#This Row],[Project_1]]/J$4</f>
        <v>4.7828213677347728E-2</v>
      </c>
      <c r="E29" s="24">
        <f>Data__2[[#This Row],[Project_2]]/K$4</f>
        <v>3.8231284361018587E-2</v>
      </c>
      <c r="F29" s="24">
        <f>Data__2[[#This Row],[Market]]/L$4</f>
        <v>-0.10882076982446355</v>
      </c>
      <c r="G29" s="1">
        <f>L$24*Data__2[[#This Row],[Return Market]]*J$4</f>
        <v>-6.0455983235813147</v>
      </c>
      <c r="H29" s="1">
        <f>M$24*Data__2[[#This Row],[Return Market]]*K$4</f>
        <v>-6.3478782397603819</v>
      </c>
      <c r="I29" s="1"/>
      <c r="J29" s="1"/>
    </row>
    <row r="30" spans="1:13">
      <c r="A30" s="1">
        <v>33.785561523519732</v>
      </c>
      <c r="B30" s="1">
        <v>12.600191093804725</v>
      </c>
      <c r="C30" s="1">
        <v>206.43835869488899</v>
      </c>
      <c r="D30" s="24">
        <f>Data__2[[#This Row],[Project_1]]/J$4</f>
        <v>0.22523707682346489</v>
      </c>
      <c r="E30" s="24">
        <f>Data__2[[#This Row],[Project_2]]/K$4</f>
        <v>8.4001273958698164E-2</v>
      </c>
      <c r="F30" s="24">
        <f>Data__2[[#This Row],[Market]]/L$4</f>
        <v>0.206438358694889</v>
      </c>
      <c r="G30" s="1">
        <f>L$24*Data__2[[#This Row],[Return Market]]*J$4</f>
        <v>11.468797705271623</v>
      </c>
      <c r="H30" s="1">
        <f>M$24*Data__2[[#This Row],[Return Market]]*K$4</f>
        <v>12.042237590535207</v>
      </c>
      <c r="I30" s="1"/>
      <c r="J30" s="1"/>
      <c r="K30" s="1"/>
      <c r="L30" s="1"/>
      <c r="M30" s="1"/>
    </row>
    <row r="31" spans="1:13">
      <c r="A31" s="1">
        <v>34.001810381884525</v>
      </c>
      <c r="B31" s="1">
        <v>26.128193308352905</v>
      </c>
      <c r="C31" s="1">
        <v>288.93340532365517</v>
      </c>
      <c r="D31" s="24">
        <f>Data__2[[#This Row],[Project_1]]/J$4</f>
        <v>0.22667873587923015</v>
      </c>
      <c r="E31" s="24">
        <f>Data__2[[#This Row],[Project_2]]/K$4</f>
        <v>0.17418795538901938</v>
      </c>
      <c r="F31" s="24">
        <f>Data__2[[#This Row],[Market]]/L$4</f>
        <v>0.28893340532365519</v>
      </c>
      <c r="G31" s="1">
        <f>L$24*Data__2[[#This Row],[Return Market]]*J$4</f>
        <v>16.051855851314198</v>
      </c>
      <c r="H31" s="1">
        <f>M$24*Data__2[[#This Row],[Return Market]]*K$4</f>
        <v>16.854448643879909</v>
      </c>
      <c r="I31" s="1"/>
      <c r="J31" s="1"/>
      <c r="K31" s="1"/>
      <c r="L31" s="1"/>
      <c r="M31" s="1"/>
    </row>
    <row r="32" spans="1:13">
      <c r="A32" s="1">
        <v>9.6992944697414654</v>
      </c>
      <c r="B32" s="1">
        <v>-1.6491502237144307</v>
      </c>
      <c r="C32" s="1">
        <v>-181.22958477415426</v>
      </c>
      <c r="D32" s="24">
        <f>Data__2[[#This Row],[Project_1]]/J$4</f>
        <v>6.4661963131609768E-2</v>
      </c>
      <c r="E32" s="24">
        <f>Data__2[[#This Row],[Project_2]]/K$4</f>
        <v>-1.0994334824762871E-2</v>
      </c>
      <c r="F32" s="24">
        <f>Data__2[[#This Row],[Market]]/L$4</f>
        <v>-0.18122958477415427</v>
      </c>
      <c r="G32" s="1">
        <f>L$24*Data__2[[#This Row],[Return Market]]*J$4</f>
        <v>-10.068310265230805</v>
      </c>
      <c r="H32" s="1">
        <f>M$24*Data__2[[#This Row],[Return Market]]*K$4</f>
        <v>-10.571725778492347</v>
      </c>
      <c r="I32" s="1"/>
      <c r="J32" s="1"/>
      <c r="K32" s="1"/>
      <c r="L32" s="1"/>
      <c r="M32" s="1"/>
    </row>
    <row r="33" spans="1:13">
      <c r="A33" s="1">
        <v>12.025234208268719</v>
      </c>
      <c r="B33" s="1">
        <v>15.878354947566741</v>
      </c>
      <c r="C33" s="1">
        <v>31.599696788972025</v>
      </c>
      <c r="D33" s="24">
        <f>Data__2[[#This Row],[Project_1]]/J$4</f>
        <v>8.0168228055124788E-2</v>
      </c>
      <c r="E33" s="24">
        <f>Data__2[[#This Row],[Project_2]]/K$4</f>
        <v>0.10585569965044495</v>
      </c>
      <c r="F33" s="24">
        <f>Data__2[[#This Row],[Market]]/L$4</f>
        <v>3.1599696788972023E-2</v>
      </c>
      <c r="G33" s="1">
        <f>L$24*Data__2[[#This Row],[Return Market]]*J$4</f>
        <v>1.7555387104984479</v>
      </c>
      <c r="H33" s="1">
        <f>M$24*Data__2[[#This Row],[Return Market]]*K$4</f>
        <v>1.8433156460233704</v>
      </c>
      <c r="I33" s="1"/>
      <c r="J33" s="1"/>
      <c r="K33" s="1"/>
      <c r="L33" s="1"/>
      <c r="M33" s="1"/>
    </row>
    <row r="34" spans="1:13">
      <c r="A34" s="1">
        <v>-5.9479169416946291</v>
      </c>
      <c r="B34" s="1">
        <v>-8.2483878367510606</v>
      </c>
      <c r="C34" s="1">
        <v>-75.47227705847655</v>
      </c>
      <c r="D34" s="24">
        <f>Data__2[[#This Row],[Project_1]]/J$4</f>
        <v>-3.9652779611297526E-2</v>
      </c>
      <c r="E34" s="24">
        <f>Data__2[[#This Row],[Project_2]]/K$4</f>
        <v>-5.4989252245007073E-2</v>
      </c>
      <c r="F34" s="24">
        <f>Data__2[[#This Row],[Market]]/L$4</f>
        <v>-7.5472277058476547E-2</v>
      </c>
      <c r="G34" s="1">
        <f>L$24*Data__2[[#This Row],[Return Market]]*J$4</f>
        <v>-4.1929042810264798</v>
      </c>
      <c r="H34" s="1">
        <f>M$24*Data__2[[#This Row],[Return Market]]*K$4</f>
        <v>-4.4025494950778041</v>
      </c>
      <c r="I34" s="1"/>
      <c r="J34" s="1"/>
      <c r="K34" s="1"/>
      <c r="L34" s="1"/>
      <c r="M34" s="1"/>
    </row>
    <row r="35" spans="1:13">
      <c r="A35" s="1">
        <v>-5.7089440311368094</v>
      </c>
      <c r="B35" s="1">
        <v>3.4783664869114448</v>
      </c>
      <c r="C35" s="1">
        <v>-78.64956103657147</v>
      </c>
      <c r="D35" s="24">
        <f>Data__2[[#This Row],[Project_1]]/J$4</f>
        <v>-3.8059626874245397E-2</v>
      </c>
      <c r="E35" s="24">
        <f>Data__2[[#This Row],[Project_2]]/K$4</f>
        <v>2.3189109912742964E-2</v>
      </c>
      <c r="F35" s="24">
        <f>Data__2[[#This Row],[Market]]/L$4</f>
        <v>-7.8649561036571475E-2</v>
      </c>
      <c r="G35" s="1">
        <f>L$24*Data__2[[#This Row],[Return Market]]*J$4</f>
        <v>-4.369420057587309</v>
      </c>
      <c r="H35" s="1">
        <f>M$24*Data__2[[#This Row],[Return Market]]*K$4</f>
        <v>-4.5878910604666752</v>
      </c>
      <c r="I35" s="1"/>
      <c r="J35" s="1"/>
      <c r="K35" s="1"/>
      <c r="L35" s="1"/>
      <c r="M35" s="1"/>
    </row>
    <row r="36" spans="1:13">
      <c r="A36" s="1">
        <v>-15.3876781245432</v>
      </c>
      <c r="B36" s="1">
        <v>18.868390842635772</v>
      </c>
      <c r="C36" s="1">
        <v>123.28545705472389</v>
      </c>
      <c r="D36" s="24">
        <f>Data__2[[#This Row],[Project_1]]/J$4</f>
        <v>-0.102584520830288</v>
      </c>
      <c r="E36" s="24">
        <f>Data__2[[#This Row],[Project_2]]/K$4</f>
        <v>0.12578927228423847</v>
      </c>
      <c r="F36" s="24">
        <f>Data__2[[#This Row],[Market]]/L$4</f>
        <v>0.12328545705472389</v>
      </c>
      <c r="G36" s="1">
        <f>L$24*Data__2[[#This Row],[Return Market]]*J$4</f>
        <v>6.8491920585957802</v>
      </c>
      <c r="H36" s="1">
        <f>M$24*Data__2[[#This Row],[Return Market]]*K$4</f>
        <v>7.1916516615255697</v>
      </c>
      <c r="I36" s="1"/>
      <c r="J36" s="1"/>
      <c r="K36" s="1"/>
      <c r="L36" s="1"/>
      <c r="M36" s="1"/>
    </row>
    <row r="37" spans="1:13">
      <c r="A37" s="1">
        <v>-0.46619204882324183</v>
      </c>
      <c r="B37" s="1">
        <v>-26.371736929766328</v>
      </c>
      <c r="C37" s="1">
        <v>-242.92789578855542</v>
      </c>
      <c r="D37" s="24">
        <f>Data__2[[#This Row],[Project_1]]/J$4</f>
        <v>-3.1079469921549458E-3</v>
      </c>
      <c r="E37" s="24">
        <f>Data__2[[#This Row],[Project_2]]/K$4</f>
        <v>-0.17581157953177551</v>
      </c>
      <c r="F37" s="24">
        <f>Data__2[[#This Row],[Market]]/L$4</f>
        <v>-0.24292789578855542</v>
      </c>
      <c r="G37" s="1">
        <f>L$24*Data__2[[#This Row],[Return Market]]*J$4</f>
        <v>-13.495994210475315</v>
      </c>
      <c r="H37" s="1">
        <f>M$24*Data__2[[#This Row],[Return Market]]*K$4</f>
        <v>-14.170793920999085</v>
      </c>
      <c r="I37" s="1"/>
      <c r="J37" s="1"/>
      <c r="K37" s="1"/>
      <c r="L37" s="1"/>
      <c r="M37" s="1"/>
    </row>
    <row r="38" spans="1:13">
      <c r="A38" s="1">
        <v>5.0575563264003991</v>
      </c>
      <c r="B38" s="1">
        <v>8.2112041038365771</v>
      </c>
      <c r="C38" s="1">
        <v>65.643518338515037</v>
      </c>
      <c r="D38" s="24">
        <f>Data__2[[#This Row],[Project_1]]/J$4</f>
        <v>3.371704217600266E-2</v>
      </c>
      <c r="E38" s="24">
        <f>Data__2[[#This Row],[Project_2]]/K$4</f>
        <v>5.4741360692243848E-2</v>
      </c>
      <c r="F38" s="24">
        <f>Data__2[[#This Row],[Market]]/L$4</f>
        <v>6.5643518338515033E-2</v>
      </c>
      <c r="G38" s="1">
        <f>L$24*Data__2[[#This Row],[Return Market]]*J$4</f>
        <v>3.6468621299175061</v>
      </c>
      <c r="H38" s="1">
        <f>M$24*Data__2[[#This Row],[Return Market]]*K$4</f>
        <v>3.8292052364133817</v>
      </c>
      <c r="I38" s="1"/>
      <c r="J38" s="1"/>
      <c r="K38" s="1"/>
      <c r="L38" s="1"/>
      <c r="M38" s="1"/>
    </row>
    <row r="39" spans="1:13">
      <c r="A39" s="1">
        <v>30.895541014631579</v>
      </c>
      <c r="B39" s="1">
        <v>30.35372873156124</v>
      </c>
      <c r="C39" s="1">
        <v>354.66800766579024</v>
      </c>
      <c r="D39" s="24">
        <f>Data__2[[#This Row],[Project_1]]/J$4</f>
        <v>0.2059702734308772</v>
      </c>
      <c r="E39" s="24">
        <f>Data__2[[#This Row],[Project_2]]/K$4</f>
        <v>0.2023581915437416</v>
      </c>
      <c r="F39" s="24">
        <f>Data__2[[#This Row],[Market]]/L$4</f>
        <v>0.35466800766579026</v>
      </c>
      <c r="G39" s="1">
        <f>L$24*Data__2[[#This Row],[Return Market]]*J$4</f>
        <v>19.703778203655034</v>
      </c>
      <c r="H39" s="1">
        <f>M$24*Data__2[[#This Row],[Return Market]]*K$4</f>
        <v>20.688967113837791</v>
      </c>
      <c r="I39" s="1"/>
      <c r="J39" s="1"/>
      <c r="K39" s="1"/>
      <c r="L39" s="1"/>
      <c r="M39" s="1"/>
    </row>
    <row r="40" spans="1:13">
      <c r="A40" s="1">
        <v>31.061048181647898</v>
      </c>
      <c r="B40" s="1">
        <v>-10.106275211885048</v>
      </c>
      <c r="C40" s="1">
        <v>-139.29551690014728</v>
      </c>
      <c r="D40" s="24">
        <f>Data__2[[#This Row],[Project_1]]/J$4</f>
        <v>0.20707365454431931</v>
      </c>
      <c r="E40" s="24">
        <f>Data__2[[#This Row],[Project_2]]/K$4</f>
        <v>-6.737516807923366E-2</v>
      </c>
      <c r="F40" s="24">
        <f>Data__2[[#This Row],[Market]]/L$4</f>
        <v>-0.13929551690014727</v>
      </c>
      <c r="G40" s="1">
        <f>L$24*Data__2[[#This Row],[Return Market]]*J$4</f>
        <v>-7.7386398277859678</v>
      </c>
      <c r="H40" s="1">
        <f>M$24*Data__2[[#This Row],[Return Market]]*K$4</f>
        <v>-8.1255718191752671</v>
      </c>
      <c r="I40" s="1"/>
      <c r="J40" s="1"/>
      <c r="K40" s="1"/>
      <c r="L40" s="1"/>
      <c r="M40" s="1"/>
    </row>
    <row r="41" spans="1:13">
      <c r="A41" s="1">
        <v>-18.888796428699987</v>
      </c>
      <c r="B41" s="1">
        <v>3.2131582503638541</v>
      </c>
      <c r="C41" s="1">
        <v>233.04667948662865</v>
      </c>
      <c r="D41" s="24">
        <f>Data__2[[#This Row],[Project_1]]/J$4</f>
        <v>-0.12592530952466657</v>
      </c>
      <c r="E41" s="24">
        <f>Data__2[[#This Row],[Project_2]]/K$4</f>
        <v>2.1421055002425693E-2</v>
      </c>
      <c r="F41" s="24">
        <f>Data__2[[#This Row],[Market]]/L$4</f>
        <v>0.23304667948662866</v>
      </c>
      <c r="G41" s="1">
        <f>L$24*Data__2[[#This Row],[Return Market]]*J$4</f>
        <v>12.947037749257163</v>
      </c>
      <c r="H41" s="1">
        <f>M$24*Data__2[[#This Row],[Return Market]]*K$4</f>
        <v>13.594389636720024</v>
      </c>
      <c r="I41" s="1"/>
      <c r="J41" s="1"/>
      <c r="K41" s="1"/>
      <c r="L41" s="1"/>
      <c r="M41" s="1"/>
    </row>
    <row r="42" spans="1:13">
      <c r="A42" s="1">
        <v>46.163908255196958</v>
      </c>
      <c r="B42" s="1">
        <v>28.299455645632612</v>
      </c>
      <c r="C42" s="1">
        <v>275.06393682154447</v>
      </c>
      <c r="D42" s="24">
        <f>Data__2[[#This Row],[Project_1]]/J$4</f>
        <v>0.30775938836797972</v>
      </c>
      <c r="E42" s="24">
        <f>Data__2[[#This Row],[Project_2]]/K$4</f>
        <v>0.18866303763755074</v>
      </c>
      <c r="F42" s="24">
        <f>Data__2[[#This Row],[Market]]/L$4</f>
        <v>0.27506393682154445</v>
      </c>
      <c r="G42" s="1">
        <f>L$24*Data__2[[#This Row],[Return Market]]*J$4</f>
        <v>15.281329823419153</v>
      </c>
      <c r="H42" s="1">
        <f>M$24*Data__2[[#This Row],[Return Market]]*K$4</f>
        <v>16.045396314590114</v>
      </c>
      <c r="I42" s="1"/>
      <c r="J42" s="1"/>
      <c r="K42" s="1"/>
      <c r="L42" s="1"/>
      <c r="M42" s="1"/>
    </row>
    <row r="43" spans="1:13">
      <c r="A43" s="1">
        <v>1.6067011934664279</v>
      </c>
      <c r="B43" s="1">
        <v>21.599700901292859</v>
      </c>
      <c r="C43" s="1">
        <v>171.6555365126533</v>
      </c>
      <c r="D43" s="24">
        <f>Data__2[[#This Row],[Project_1]]/J$4</f>
        <v>1.0711341289776187E-2</v>
      </c>
      <c r="E43" s="24">
        <f>Data__2[[#This Row],[Project_2]]/K$4</f>
        <v>0.14399800600861906</v>
      </c>
      <c r="F43" s="24">
        <f>Data__2[[#This Row],[Market]]/L$4</f>
        <v>0.17165553651265331</v>
      </c>
      <c r="G43" s="1">
        <f>L$24*Data__2[[#This Row],[Return Market]]*J$4</f>
        <v>9.5364186951474164</v>
      </c>
      <c r="H43" s="1">
        <f>M$24*Data__2[[#This Row],[Return Market]]*K$4</f>
        <v>10.01323962990479</v>
      </c>
      <c r="I43" s="1"/>
      <c r="J43" s="1"/>
      <c r="K43" s="1"/>
      <c r="L43" s="1"/>
      <c r="M43" s="1"/>
    </row>
    <row r="44" spans="1:13">
      <c r="A44" s="1">
        <v>23.545147778752263</v>
      </c>
      <c r="B44" s="1">
        <v>18.377450526856968</v>
      </c>
      <c r="C44" s="1">
        <v>145.2457728772784</v>
      </c>
      <c r="D44" s="24">
        <f>Data__2[[#This Row],[Project_1]]/J$4</f>
        <v>0.15696765185834841</v>
      </c>
      <c r="E44" s="24">
        <f>Data__2[[#This Row],[Project_2]]/K$4</f>
        <v>0.12251633684571313</v>
      </c>
      <c r="F44" s="24">
        <f>Data__2[[#This Row],[Market]]/L$4</f>
        <v>0.14524577287727841</v>
      </c>
      <c r="G44" s="1">
        <f>L$24*Data__2[[#This Row],[Return Market]]*J$4</f>
        <v>8.0692096042932544</v>
      </c>
      <c r="H44" s="1">
        <f>M$24*Data__2[[#This Row],[Return Market]]*K$4</f>
        <v>8.4726700845079179</v>
      </c>
      <c r="I44" s="1"/>
      <c r="J44" s="1"/>
      <c r="K44" s="1"/>
      <c r="L44" s="1"/>
      <c r="M44" s="1"/>
    </row>
    <row r="45" spans="1:13">
      <c r="A45" s="1">
        <v>1.311016844856713</v>
      </c>
      <c r="B45" s="1">
        <v>17.3903729905185</v>
      </c>
      <c r="C45" s="1">
        <v>62.742449673786965</v>
      </c>
      <c r="D45" s="24">
        <f>Data__2[[#This Row],[Project_1]]/J$4</f>
        <v>8.7401122990447538E-3</v>
      </c>
      <c r="E45" s="24">
        <f>Data__2[[#This Row],[Project_2]]/K$4</f>
        <v>0.11593581993679</v>
      </c>
      <c r="F45" s="24">
        <f>Data__2[[#This Row],[Market]]/L$4</f>
        <v>6.2742449673786962E-2</v>
      </c>
      <c r="G45" s="1">
        <f>L$24*Data__2[[#This Row],[Return Market]]*J$4</f>
        <v>3.4856916485437242</v>
      </c>
      <c r="H45" s="1">
        <f>M$24*Data__2[[#This Row],[Return Market]]*K$4</f>
        <v>3.6599762309709112</v>
      </c>
      <c r="I45" s="1"/>
      <c r="J45" s="1"/>
      <c r="K45" s="1"/>
      <c r="L45" s="1"/>
      <c r="M45" s="1"/>
    </row>
    <row r="46" spans="1:13">
      <c r="A46" s="1">
        <v>-11.089429884889469</v>
      </c>
      <c r="B46" s="1">
        <v>9.5611032293092464</v>
      </c>
      <c r="C46" s="1">
        <v>80.708712949219944</v>
      </c>
      <c r="D46" s="24">
        <f>Data__2[[#This Row],[Project_1]]/J$4</f>
        <v>-7.3929532565929795E-2</v>
      </c>
      <c r="E46" s="24">
        <f>Data__2[[#This Row],[Project_2]]/K$4</f>
        <v>6.3740688195394982E-2</v>
      </c>
      <c r="F46" s="24">
        <f>Data__2[[#This Row],[Market]]/L$4</f>
        <v>8.0708712949219941E-2</v>
      </c>
      <c r="G46" s="1">
        <f>L$24*Data__2[[#This Row],[Return Market]]*J$4</f>
        <v>4.4838173860677797</v>
      </c>
      <c r="H46" s="1">
        <f>M$24*Data__2[[#This Row],[Return Market]]*K$4</f>
        <v>4.7080082553711691</v>
      </c>
      <c r="I46" s="1"/>
      <c r="J46" s="1"/>
      <c r="K46" s="1"/>
      <c r="L46" s="1"/>
      <c r="M46" s="1"/>
    </row>
    <row r="47" spans="1:13">
      <c r="A47" s="1">
        <v>24.85903259661827</v>
      </c>
      <c r="B47" s="1">
        <v>19.823573008826223</v>
      </c>
      <c r="C47" s="1">
        <v>-230.79344323108563</v>
      </c>
      <c r="D47" s="24">
        <f>Data__2[[#This Row],[Project_1]]/J$4</f>
        <v>0.16572688397745514</v>
      </c>
      <c r="E47" s="24">
        <f>Data__2[[#This Row],[Project_2]]/K$4</f>
        <v>0.13215715339217482</v>
      </c>
      <c r="F47" s="24">
        <f>Data__2[[#This Row],[Market]]/L$4</f>
        <v>-0.23079344323108564</v>
      </c>
      <c r="G47" s="1">
        <f>L$24*Data__2[[#This Row],[Return Market]]*J$4</f>
        <v>-12.82185795728255</v>
      </c>
      <c r="H47" s="1">
        <f>M$24*Data__2[[#This Row],[Return Market]]*K$4</f>
        <v>-13.46295085514668</v>
      </c>
      <c r="I47" s="1"/>
      <c r="J47" s="1"/>
      <c r="K47" s="1"/>
      <c r="L47" s="1"/>
      <c r="M47" s="1"/>
    </row>
    <row r="48" spans="1:13">
      <c r="A48" s="1">
        <v>36.893903129853321</v>
      </c>
      <c r="B48" s="1">
        <v>23.980545048168768</v>
      </c>
      <c r="C48" s="1">
        <v>378.30537571520887</v>
      </c>
      <c r="D48" s="24">
        <f>Data__2[[#This Row],[Project_1]]/J$4</f>
        <v>0.24595935419902215</v>
      </c>
      <c r="E48" s="24">
        <f>Data__2[[#This Row],[Project_2]]/K$4</f>
        <v>0.15987030032112512</v>
      </c>
      <c r="F48" s="24">
        <f>Data__2[[#This Row],[Market]]/L$4</f>
        <v>0.37830537571520889</v>
      </c>
      <c r="G48" s="1">
        <f>L$24*Data__2[[#This Row],[Return Market]]*J$4</f>
        <v>21.016965317511627</v>
      </c>
      <c r="H48" s="1">
        <f>M$24*Data__2[[#This Row],[Return Market]]*K$4</f>
        <v>22.067813583387213</v>
      </c>
      <c r="I48" s="1"/>
      <c r="J48" s="1"/>
      <c r="K48" s="1"/>
      <c r="L48" s="1"/>
      <c r="M48" s="1"/>
    </row>
    <row r="49" spans="1:13">
      <c r="A49" s="1">
        <v>-24.047435874972102</v>
      </c>
      <c r="B49" s="1">
        <v>-11.486109237154462</v>
      </c>
      <c r="C49" s="1">
        <v>51.022813892346456</v>
      </c>
      <c r="D49" s="24">
        <f>Data__2[[#This Row],[Project_1]]/J$4</f>
        <v>-0.16031623916648069</v>
      </c>
      <c r="E49" s="24">
        <f>Data__2[[#This Row],[Project_2]]/K$4</f>
        <v>-7.6574061581029751E-2</v>
      </c>
      <c r="F49" s="24">
        <f>Data__2[[#This Row],[Market]]/L$4</f>
        <v>5.1022813892346454E-2</v>
      </c>
      <c r="G49" s="1">
        <f>L$24*Data__2[[#This Row],[Return Market]]*J$4</f>
        <v>2.8346007717970285</v>
      </c>
      <c r="H49" s="1">
        <f>M$24*Data__2[[#This Row],[Return Market]]*K$4</f>
        <v>2.9763308103868802</v>
      </c>
      <c r="I49" s="1"/>
      <c r="J49" s="1"/>
      <c r="K49" s="1"/>
      <c r="L49" s="1"/>
      <c r="M49" s="1"/>
    </row>
    <row r="50" spans="1:13">
      <c r="A50" s="1">
        <v>-6.9342524592060819</v>
      </c>
      <c r="B50" s="1">
        <v>30.36076961529033</v>
      </c>
      <c r="C50" s="1">
        <v>216.07512331047445</v>
      </c>
      <c r="D50" s="24">
        <f>Data__2[[#This Row],[Project_1]]/J$4</f>
        <v>-4.6228349728040546E-2</v>
      </c>
      <c r="E50" s="24">
        <f>Data__2[[#This Row],[Project_2]]/K$4</f>
        <v>0.2024051307686022</v>
      </c>
      <c r="F50" s="24">
        <f>Data__2[[#This Row],[Market]]/L$4</f>
        <v>0.21607512331047446</v>
      </c>
      <c r="G50" s="1">
        <f>L$24*Data__2[[#This Row],[Return Market]]*J$4</f>
        <v>12.004173517248594</v>
      </c>
      <c r="H50" s="1">
        <f>M$24*Data__2[[#This Row],[Return Market]]*K$4</f>
        <v>12.604382193111025</v>
      </c>
      <c r="I50" s="1"/>
      <c r="J50" s="1"/>
      <c r="K50" s="1"/>
      <c r="L50" s="1"/>
      <c r="M50" s="1"/>
    </row>
    <row r="51" spans="1:13">
      <c r="A51" s="1">
        <v>30.516385644418431</v>
      </c>
      <c r="B51" s="1">
        <v>14.643251118609122</v>
      </c>
      <c r="C51" s="1">
        <v>-16.456987816360041</v>
      </c>
      <c r="D51" s="24">
        <f>Data__2[[#This Row],[Project_1]]/J$4</f>
        <v>0.20344257096278953</v>
      </c>
      <c r="E51" s="24">
        <f>Data__2[[#This Row],[Project_2]]/K$4</f>
        <v>9.7621674124060809E-2</v>
      </c>
      <c r="F51" s="24">
        <f>Data__2[[#This Row],[Market]]/L$4</f>
        <v>-1.6456987816360041E-2</v>
      </c>
      <c r="G51" s="1">
        <f>L$24*Data__2[[#This Row],[Return Market]]*J$4</f>
        <v>-0.91427710090889225</v>
      </c>
      <c r="H51" s="1">
        <f>M$24*Data__2[[#This Row],[Return Market]]*K$4</f>
        <v>-0.95999095595433703</v>
      </c>
      <c r="I51" s="1"/>
      <c r="J51" s="1"/>
      <c r="K51" s="1"/>
      <c r="L51" s="1"/>
      <c r="M51" s="1"/>
    </row>
    <row r="52" spans="1:13">
      <c r="A52" s="1">
        <v>53.211831761108378</v>
      </c>
      <c r="B52" s="1">
        <v>24.686037302339251</v>
      </c>
      <c r="C52" s="1">
        <v>462.44029331446751</v>
      </c>
      <c r="D52" s="24">
        <f>Data__2[[#This Row],[Project_1]]/J$4</f>
        <v>0.35474554507405587</v>
      </c>
      <c r="E52" s="24">
        <f>Data__2[[#This Row],[Project_2]]/K$4</f>
        <v>0.16457358201559502</v>
      </c>
      <c r="F52" s="24">
        <f>Data__2[[#This Row],[Market]]/L$4</f>
        <v>0.46244029331446751</v>
      </c>
      <c r="G52" s="1">
        <f>L$24*Data__2[[#This Row],[Return Market]]*J$4</f>
        <v>25.691127406359339</v>
      </c>
      <c r="H52" s="1">
        <f>M$24*Data__2[[#This Row],[Return Market]]*K$4</f>
        <v>26.975683776677307</v>
      </c>
      <c r="I52" s="1"/>
      <c r="J52" s="1"/>
      <c r="K52" s="1"/>
      <c r="L52" s="1"/>
      <c r="M52" s="1"/>
    </row>
    <row r="53" spans="1:13">
      <c r="A53" s="1">
        <v>30.248194621803748</v>
      </c>
      <c r="B53" s="1">
        <v>0.81036976477190237</v>
      </c>
      <c r="C53" s="1">
        <v>-4.7593223288939583</v>
      </c>
      <c r="D53" s="24">
        <f>Data__2[[#This Row],[Project_1]]/J$4</f>
        <v>0.20165463081202498</v>
      </c>
      <c r="E53" s="24">
        <f>Data__2[[#This Row],[Project_2]]/K$4</f>
        <v>5.4024650984793492E-3</v>
      </c>
      <c r="F53" s="24">
        <f>Data__2[[#This Row],[Market]]/L$4</f>
        <v>-4.7593223288939579E-3</v>
      </c>
      <c r="G53" s="1">
        <f>L$24*Data__2[[#This Row],[Return Market]]*J$4</f>
        <v>-0.26440679604966466</v>
      </c>
      <c r="H53" s="1">
        <f>M$24*Data__2[[#This Row],[Return Market]]*K$4</f>
        <v>-0.27762713585214788</v>
      </c>
      <c r="I53" s="1"/>
      <c r="J53" s="1"/>
      <c r="K53" s="1"/>
      <c r="L53" s="1"/>
      <c r="M53" s="1"/>
    </row>
    <row r="54" spans="1:13">
      <c r="A54" s="1">
        <v>18.448796702745764</v>
      </c>
      <c r="B54" s="1">
        <v>35.018308655033181</v>
      </c>
      <c r="C54" s="1">
        <v>196.82188726789246</v>
      </c>
      <c r="D54" s="24">
        <f>Data__2[[#This Row],[Project_1]]/J$4</f>
        <v>0.1229919780183051</v>
      </c>
      <c r="E54" s="24">
        <f>Data__2[[#This Row],[Project_2]]/K$4</f>
        <v>0.23345539103355453</v>
      </c>
      <c r="F54" s="24">
        <f>Data__2[[#This Row],[Market]]/L$4</f>
        <v>0.19682188726789246</v>
      </c>
      <c r="G54" s="1">
        <f>L$24*Data__2[[#This Row],[Return Market]]*J$4</f>
        <v>10.934549292660705</v>
      </c>
      <c r="H54" s="1">
        <f>M$24*Data__2[[#This Row],[Return Market]]*K$4</f>
        <v>11.481276757293742</v>
      </c>
      <c r="I54" s="1"/>
      <c r="J54" s="1"/>
      <c r="K54" s="1"/>
      <c r="L54" s="1"/>
      <c r="M54" s="1"/>
    </row>
    <row r="55" spans="1:13">
      <c r="A55" s="1">
        <v>1.477112152288484</v>
      </c>
      <c r="B55" s="1">
        <v>21.529477800027955</v>
      </c>
      <c r="C55" s="1">
        <v>131.33961325352553</v>
      </c>
      <c r="D55" s="24">
        <f>Data__2[[#This Row],[Project_1]]/J$4</f>
        <v>9.8474143485898936E-3</v>
      </c>
      <c r="E55" s="24">
        <f>Data__2[[#This Row],[Project_2]]/K$4</f>
        <v>0.14352985200018636</v>
      </c>
      <c r="F55" s="24">
        <f>Data__2[[#This Row],[Market]]/L$4</f>
        <v>0.13133961325352553</v>
      </c>
      <c r="G55" s="1">
        <f>L$24*Data__2[[#This Row],[Return Market]]*J$4</f>
        <v>7.2966451807514261</v>
      </c>
      <c r="H55" s="1">
        <f>M$24*Data__2[[#This Row],[Return Market]]*K$4</f>
        <v>7.6614774397889995</v>
      </c>
      <c r="I55" s="1"/>
      <c r="J55" s="1"/>
      <c r="K55" s="1"/>
      <c r="L55" s="1"/>
      <c r="M55" s="1"/>
    </row>
    <row r="56" spans="1:13">
      <c r="A56" s="1">
        <v>58.302350605697846</v>
      </c>
      <c r="B56" s="1">
        <v>45.179740945914958</v>
      </c>
      <c r="C56" s="1">
        <v>364.19335112480201</v>
      </c>
      <c r="D56" s="24">
        <f>Data__2[[#This Row],[Project_1]]/J$4</f>
        <v>0.38868233737131896</v>
      </c>
      <c r="E56" s="24">
        <f>Data__2[[#This Row],[Project_2]]/K$4</f>
        <v>0.30119827297276641</v>
      </c>
      <c r="F56" s="24">
        <f>Data__2[[#This Row],[Market]]/L$4</f>
        <v>0.364193351124802</v>
      </c>
      <c r="G56" s="1">
        <f>L$24*Data__2[[#This Row],[Return Market]]*J$4</f>
        <v>20.232963951377911</v>
      </c>
      <c r="H56" s="1">
        <f>M$24*Data__2[[#This Row],[Return Market]]*K$4</f>
        <v>21.24461214894681</v>
      </c>
      <c r="I56" s="1"/>
      <c r="J56" s="1"/>
      <c r="K56" s="1"/>
      <c r="L56" s="1"/>
      <c r="M56" s="1"/>
    </row>
    <row r="57" spans="1:13">
      <c r="A57" s="1">
        <v>29.474206078767729</v>
      </c>
      <c r="B57" s="1">
        <v>16.228366498805016</v>
      </c>
      <c r="C57" s="1">
        <v>364.49889050169224</v>
      </c>
      <c r="D57" s="24">
        <f>Data__2[[#This Row],[Project_1]]/J$4</f>
        <v>0.19649470719178486</v>
      </c>
      <c r="E57" s="24">
        <f>Data__2[[#This Row],[Project_2]]/K$4</f>
        <v>0.10818910999203345</v>
      </c>
      <c r="F57" s="24">
        <f>Data__2[[#This Row],[Market]]/L$4</f>
        <v>0.36449889050169226</v>
      </c>
      <c r="G57" s="1">
        <f>L$24*Data__2[[#This Row],[Return Market]]*J$4</f>
        <v>20.24993836120515</v>
      </c>
      <c r="H57" s="1">
        <f>M$24*Data__2[[#This Row],[Return Market]]*K$4</f>
        <v>21.262435279265411</v>
      </c>
      <c r="I57" s="1"/>
      <c r="J57" s="1"/>
      <c r="K57" s="1"/>
      <c r="L57" s="1"/>
      <c r="M57" s="1"/>
    </row>
    <row r="58" spans="1:13">
      <c r="A58" s="1">
        <v>2.7991408313008286</v>
      </c>
      <c r="B58" s="1">
        <v>14.124469079419406</v>
      </c>
      <c r="C58" s="1">
        <v>190.73561163756648</v>
      </c>
      <c r="D58" s="24">
        <f>Data__2[[#This Row],[Project_1]]/J$4</f>
        <v>1.8660938875338859E-2</v>
      </c>
      <c r="E58" s="24">
        <f>Data__2[[#This Row],[Project_2]]/K$4</f>
        <v>9.4163127196129376E-2</v>
      </c>
      <c r="F58" s="24">
        <f>Data__2[[#This Row],[Market]]/L$4</f>
        <v>0.19073561163756647</v>
      </c>
      <c r="G58" s="1">
        <f>L$24*Data__2[[#This Row],[Return Market]]*J$4</f>
        <v>10.596422868753704</v>
      </c>
      <c r="H58" s="1">
        <f>M$24*Data__2[[#This Row],[Return Market]]*K$4</f>
        <v>11.126244012191391</v>
      </c>
      <c r="I58" s="1"/>
      <c r="J58" s="1"/>
      <c r="K58" s="1"/>
      <c r="L58" s="1"/>
      <c r="M58" s="1"/>
    </row>
    <row r="59" spans="1:13">
      <c r="A59" s="1">
        <v>-0.60513088606807308</v>
      </c>
      <c r="B59" s="1">
        <v>-15.87642730751751</v>
      </c>
      <c r="C59" s="1">
        <v>-80.35867694320018</v>
      </c>
      <c r="D59" s="24">
        <f>Data__2[[#This Row],[Project_1]]/J$4</f>
        <v>-4.0342059071204871E-3</v>
      </c>
      <c r="E59" s="24">
        <f>Data__2[[#This Row],[Project_2]]/K$4</f>
        <v>-0.1058428487167834</v>
      </c>
      <c r="F59" s="24">
        <f>Data__2[[#This Row],[Market]]/L$4</f>
        <v>-8.0358676943200175E-2</v>
      </c>
      <c r="G59" s="1">
        <f>L$24*Data__2[[#This Row],[Return Market]]*J$4</f>
        <v>-4.4643709412889034</v>
      </c>
      <c r="H59" s="1">
        <f>M$24*Data__2[[#This Row],[Return Market]]*K$4</f>
        <v>-4.6875894883533498</v>
      </c>
      <c r="I59" s="1"/>
      <c r="J59" s="1"/>
      <c r="K59" s="1"/>
      <c r="L59" s="1"/>
      <c r="M59" s="1"/>
    </row>
    <row r="60" spans="1:13">
      <c r="A60" s="1">
        <v>7.0978959842157368</v>
      </c>
      <c r="B60" s="1">
        <v>7.1361701861373117</v>
      </c>
      <c r="C60" s="1">
        <v>351.05563816311513</v>
      </c>
      <c r="D60" s="24">
        <f>Data__2[[#This Row],[Project_1]]/J$4</f>
        <v>4.7319306561438242E-2</v>
      </c>
      <c r="E60" s="24">
        <f>Data__2[[#This Row],[Project_2]]/K$4</f>
        <v>4.7574467907582081E-2</v>
      </c>
      <c r="F60" s="24">
        <f>Data__2[[#This Row],[Market]]/L$4</f>
        <v>0.35105563816311514</v>
      </c>
      <c r="G60" s="1">
        <f>L$24*Data__2[[#This Row],[Return Market]]*J$4</f>
        <v>19.503091009061972</v>
      </c>
      <c r="H60" s="1">
        <f>M$24*Data__2[[#This Row],[Return Market]]*K$4</f>
        <v>20.478245559515077</v>
      </c>
      <c r="I60" s="1"/>
      <c r="J60" s="1"/>
      <c r="K60" s="1"/>
      <c r="L60" s="1"/>
      <c r="M60" s="1"/>
    </row>
    <row r="61" spans="1:13">
      <c r="A61" s="1">
        <v>8.3512603774970131</v>
      </c>
      <c r="B61" s="1">
        <v>19.905921672966947</v>
      </c>
      <c r="C61" s="1">
        <v>303.21125690728292</v>
      </c>
      <c r="D61" s="24">
        <f>Data__2[[#This Row],[Project_1]]/J$4</f>
        <v>5.5675069183313421E-2</v>
      </c>
      <c r="E61" s="24">
        <f>Data__2[[#This Row],[Project_2]]/K$4</f>
        <v>0.13270614448644633</v>
      </c>
      <c r="F61" s="24">
        <f>Data__2[[#This Row],[Market]]/L$4</f>
        <v>0.3032112569072829</v>
      </c>
      <c r="G61" s="1">
        <f>L$24*Data__2[[#This Row],[Return Market]]*J$4</f>
        <v>16.845069828182403</v>
      </c>
      <c r="H61" s="1">
        <f>M$24*Data__2[[#This Row],[Return Market]]*K$4</f>
        <v>17.687323319591528</v>
      </c>
      <c r="I61" s="1"/>
      <c r="J61" s="1"/>
      <c r="K61" s="1"/>
      <c r="L61" s="1"/>
      <c r="M61" s="1"/>
    </row>
    <row r="62" spans="1:13">
      <c r="A62" s="1">
        <v>30.540262928308756</v>
      </c>
      <c r="B62" s="1">
        <v>15.775363353367549</v>
      </c>
      <c r="C62" s="1">
        <v>221.31511825671538</v>
      </c>
      <c r="D62" s="24">
        <f>Data__2[[#This Row],[Project_1]]/J$4</f>
        <v>0.2036017528553917</v>
      </c>
      <c r="E62" s="24">
        <f>Data__2[[#This Row],[Project_2]]/K$4</f>
        <v>0.10516908902245033</v>
      </c>
      <c r="F62" s="24">
        <f>Data__2[[#This Row],[Market]]/L$4</f>
        <v>0.22131511825671538</v>
      </c>
      <c r="G62" s="1">
        <f>L$24*Data__2[[#This Row],[Return Market]]*J$4</f>
        <v>12.295284347595313</v>
      </c>
      <c r="H62" s="1">
        <f>M$24*Data__2[[#This Row],[Return Market]]*K$4</f>
        <v>12.910048564975082</v>
      </c>
      <c r="I62" s="1"/>
      <c r="J62" s="1"/>
      <c r="K62" s="1"/>
      <c r="L62" s="1"/>
      <c r="M62" s="1"/>
    </row>
    <row r="63" spans="1:13">
      <c r="A63" s="1">
        <v>8.6169483316761912</v>
      </c>
      <c r="B63" s="1">
        <v>0.89611452254954926</v>
      </c>
      <c r="C63" s="1">
        <v>116.95700695326664</v>
      </c>
      <c r="D63" s="24">
        <f>Data__2[[#This Row],[Project_1]]/J$4</f>
        <v>5.7446322211174607E-2</v>
      </c>
      <c r="E63" s="24">
        <f>Data__2[[#This Row],[Project_2]]/K$4</f>
        <v>5.9740968169969952E-3</v>
      </c>
      <c r="F63" s="24">
        <f>Data__2[[#This Row],[Market]]/L$4</f>
        <v>0.11695700695326665</v>
      </c>
      <c r="G63" s="1">
        <f>L$24*Data__2[[#This Row],[Return Market]]*J$4</f>
        <v>6.4976114974037102</v>
      </c>
      <c r="H63" s="1">
        <f>M$24*Data__2[[#This Row],[Return Market]]*K$4</f>
        <v>6.8224920722738966</v>
      </c>
      <c r="I63" s="1"/>
      <c r="J63" s="1"/>
      <c r="K63" s="1"/>
      <c r="L63" s="1"/>
      <c r="M63" s="1"/>
    </row>
    <row r="64" spans="1:13">
      <c r="A64" s="1">
        <v>12.629689479661607</v>
      </c>
      <c r="B64" s="1">
        <v>-9.6209177460217177E-2</v>
      </c>
      <c r="C64" s="1">
        <v>101.16026702584627</v>
      </c>
      <c r="D64" s="24">
        <f>Data__2[[#This Row],[Project_1]]/J$4</f>
        <v>8.4197929864410714E-2</v>
      </c>
      <c r="E64" s="24">
        <f>Data__2[[#This Row],[Project_2]]/K$4</f>
        <v>-6.4139451640144785E-4</v>
      </c>
      <c r="F64" s="24">
        <f>Data__2[[#This Row],[Market]]/L$4</f>
        <v>0.10116026702584627</v>
      </c>
      <c r="G64" s="1">
        <f>L$24*Data__2[[#This Row],[Return Market]]*J$4</f>
        <v>5.6200148347692434</v>
      </c>
      <c r="H64" s="1">
        <f>M$24*Data__2[[#This Row],[Return Market]]*K$4</f>
        <v>5.9010155765077066</v>
      </c>
      <c r="I64" s="1"/>
      <c r="J64" s="1"/>
      <c r="K64" s="1"/>
      <c r="L64" s="1"/>
      <c r="M64" s="1"/>
    </row>
    <row r="65" spans="1:13">
      <c r="A65" s="1">
        <v>4.7020749247414768</v>
      </c>
      <c r="B65" s="1">
        <v>12.499632590008678</v>
      </c>
      <c r="C65" s="1">
        <v>200.94946672489834</v>
      </c>
      <c r="D65" s="24">
        <f>Data__2[[#This Row],[Project_1]]/J$4</f>
        <v>3.134716616494318E-2</v>
      </c>
      <c r="E65" s="24">
        <f>Data__2[[#This Row],[Project_2]]/K$4</f>
        <v>8.3330883933391192E-2</v>
      </c>
      <c r="F65" s="24">
        <f>Data__2[[#This Row],[Market]]/L$4</f>
        <v>0.20094946672489836</v>
      </c>
      <c r="G65" s="1">
        <f>L$24*Data__2[[#This Row],[Return Market]]*J$4</f>
        <v>11.163859262494366</v>
      </c>
      <c r="H65" s="1">
        <f>M$24*Data__2[[#This Row],[Return Market]]*K$4</f>
        <v>11.722052225619086</v>
      </c>
      <c r="I65" s="1"/>
      <c r="J65" s="1"/>
      <c r="K65" s="1"/>
      <c r="L65" s="1"/>
      <c r="M65" s="1"/>
    </row>
    <row r="66" spans="1:13">
      <c r="A66" s="1">
        <v>24.562626220484777</v>
      </c>
      <c r="B66" s="1">
        <v>7.4587543343098091</v>
      </c>
      <c r="C66" s="1">
        <v>310.14218752436432</v>
      </c>
      <c r="D66" s="24">
        <f>Data__2[[#This Row],[Project_1]]/J$4</f>
        <v>0.16375084146989852</v>
      </c>
      <c r="E66" s="24">
        <f>Data__2[[#This Row],[Project_2]]/K$4</f>
        <v>4.9725028895398725E-2</v>
      </c>
      <c r="F66" s="24">
        <f>Data__2[[#This Row],[Market]]/L$4</f>
        <v>0.31014218752436434</v>
      </c>
      <c r="G66" s="1">
        <f>L$24*Data__2[[#This Row],[Return Market]]*J$4</f>
        <v>17.23012152913137</v>
      </c>
      <c r="H66" s="1">
        <f>M$24*Data__2[[#This Row],[Return Market]]*K$4</f>
        <v>18.091627605587945</v>
      </c>
      <c r="I66" s="1"/>
      <c r="J66" s="1"/>
      <c r="K66" s="1"/>
      <c r="L66" s="1"/>
      <c r="M66" s="1"/>
    </row>
    <row r="67" spans="1:13">
      <c r="A67" s="1">
        <v>-5.8227651118717212</v>
      </c>
      <c r="B67" s="1">
        <v>6.4582269252207869</v>
      </c>
      <c r="C67" s="1">
        <v>32.749147542365002</v>
      </c>
      <c r="D67" s="24">
        <f>Data__2[[#This Row],[Project_1]]/J$4</f>
        <v>-3.8818434079144808E-2</v>
      </c>
      <c r="E67" s="24">
        <f>Data__2[[#This Row],[Project_2]]/K$4</f>
        <v>4.305484616813858E-2</v>
      </c>
      <c r="F67" s="24">
        <f>Data__2[[#This Row],[Market]]/L$4</f>
        <v>3.2749147542364999E-2</v>
      </c>
      <c r="G67" s="1">
        <f>L$24*Data__2[[#This Row],[Return Market]]*J$4</f>
        <v>1.8193970856869464</v>
      </c>
      <c r="H67" s="1">
        <f>M$24*Data__2[[#This Row],[Return Market]]*K$4</f>
        <v>1.9103669399712941</v>
      </c>
      <c r="I67" s="1"/>
      <c r="J67" s="1"/>
      <c r="K67" s="1"/>
      <c r="L67" s="1"/>
      <c r="M67" s="1"/>
    </row>
    <row r="68" spans="1:13">
      <c r="A68" s="1">
        <v>48.167589517335699</v>
      </c>
      <c r="B68" s="1">
        <v>25.91692943643838</v>
      </c>
      <c r="C68" s="1">
        <v>276.75106580777276</v>
      </c>
      <c r="D68" s="24">
        <f>Data__2[[#This Row],[Project_1]]/J$4</f>
        <v>0.32111726344890468</v>
      </c>
      <c r="E68" s="24">
        <f>Data__2[[#This Row],[Project_2]]/K$4</f>
        <v>0.17277952957625586</v>
      </c>
      <c r="F68" s="24">
        <f>Data__2[[#This Row],[Market]]/L$4</f>
        <v>0.27675106580777276</v>
      </c>
      <c r="G68" s="1">
        <f>L$24*Data__2[[#This Row],[Return Market]]*J$4</f>
        <v>15.375059211542949</v>
      </c>
      <c r="H68" s="1">
        <f>M$24*Data__2[[#This Row],[Return Market]]*K$4</f>
        <v>16.143812172120096</v>
      </c>
      <c r="I68" s="1"/>
      <c r="J68" s="1"/>
      <c r="K68" s="1"/>
      <c r="L68" s="1"/>
      <c r="M68" s="1"/>
    </row>
    <row r="69" spans="1:13">
      <c r="A69" s="1">
        <v>11.074561008823279</v>
      </c>
      <c r="B69" s="1">
        <v>-9.8563342044353242</v>
      </c>
      <c r="C69" s="1">
        <v>-219.66547735160356</v>
      </c>
      <c r="D69" s="24">
        <f>Data__2[[#This Row],[Project_1]]/J$4</f>
        <v>7.3830406725488532E-2</v>
      </c>
      <c r="E69" s="24">
        <f>Data__2[[#This Row],[Project_2]]/K$4</f>
        <v>-6.570889469623549E-2</v>
      </c>
      <c r="F69" s="24">
        <f>Data__2[[#This Row],[Market]]/L$4</f>
        <v>-0.21966547735160355</v>
      </c>
      <c r="G69" s="1">
        <f>L$24*Data__2[[#This Row],[Return Market]]*J$4</f>
        <v>-12.203637630644655</v>
      </c>
      <c r="H69" s="1">
        <f>M$24*Data__2[[#This Row],[Return Market]]*K$4</f>
        <v>-12.81381951217689</v>
      </c>
      <c r="I69" s="1"/>
      <c r="J69" s="1"/>
      <c r="K69" s="1"/>
      <c r="L69" s="1"/>
      <c r="M69" s="1"/>
    </row>
    <row r="70" spans="1:13">
      <c r="A70" s="1">
        <v>20.978427883042507</v>
      </c>
      <c r="B70" s="1">
        <v>26.515038715160934</v>
      </c>
      <c r="C70" s="1">
        <v>72.662596955692322</v>
      </c>
      <c r="D70" s="24">
        <f>Data__2[[#This Row],[Project_1]]/J$4</f>
        <v>0.13985618588695004</v>
      </c>
      <c r="E70" s="24">
        <f>Data__2[[#This Row],[Project_2]]/K$4</f>
        <v>0.17676692476773956</v>
      </c>
      <c r="F70" s="24">
        <f>Data__2[[#This Row],[Market]]/L$4</f>
        <v>7.2662596955692327E-2</v>
      </c>
      <c r="G70" s="1">
        <f>L$24*Data__2[[#This Row],[Return Market]]*J$4</f>
        <v>4.0368109419829121</v>
      </c>
      <c r="H70" s="1">
        <f>M$24*Data__2[[#This Row],[Return Market]]*K$4</f>
        <v>4.2386514890820575</v>
      </c>
      <c r="I70" s="1"/>
      <c r="J70" s="1"/>
      <c r="K70" s="1"/>
      <c r="L70" s="1"/>
      <c r="M70" s="1"/>
    </row>
    <row r="71" spans="1:13">
      <c r="A71" s="1">
        <v>18.804886163569567</v>
      </c>
      <c r="B71" s="1">
        <v>24.310285584193377</v>
      </c>
      <c r="C71" s="1">
        <v>163.02093491802555</v>
      </c>
      <c r="D71" s="24">
        <f>Data__2[[#This Row],[Project_1]]/J$4</f>
        <v>0.12536590775713044</v>
      </c>
      <c r="E71" s="24">
        <f>Data__2[[#This Row],[Project_2]]/K$4</f>
        <v>0.16206857056128918</v>
      </c>
      <c r="F71" s="24">
        <f>Data__2[[#This Row],[Market]]/L$4</f>
        <v>0.16302093491802555</v>
      </c>
      <c r="G71" s="1">
        <f>L$24*Data__2[[#This Row],[Return Market]]*J$4</f>
        <v>9.0567186065569842</v>
      </c>
      <c r="H71" s="1">
        <f>M$24*Data__2[[#This Row],[Return Market]]*K$4</f>
        <v>9.5095545368848367</v>
      </c>
      <c r="I71" s="1"/>
      <c r="J71" s="1"/>
      <c r="K71" s="1"/>
      <c r="L71" s="1"/>
      <c r="M71" s="1"/>
    </row>
    <row r="72" spans="1:13">
      <c r="A72" s="1">
        <v>14.595686856827051</v>
      </c>
      <c r="B72" s="1">
        <v>10.957499864828343</v>
      </c>
      <c r="C72" s="1">
        <v>-44.073258525784979</v>
      </c>
      <c r="D72" s="24">
        <f>Data__2[[#This Row],[Project_1]]/J$4</f>
        <v>9.7304579045513678E-2</v>
      </c>
      <c r="E72" s="24">
        <f>Data__2[[#This Row],[Project_2]]/K$4</f>
        <v>7.3049999098855622E-2</v>
      </c>
      <c r="F72" s="24">
        <f>Data__2[[#This Row],[Market]]/L$4</f>
        <v>-4.4073258525784982E-2</v>
      </c>
      <c r="G72" s="1">
        <f>L$24*Data__2[[#This Row],[Return Market]]*J$4</f>
        <v>-2.4485143625436132</v>
      </c>
      <c r="H72" s="1">
        <f>M$24*Data__2[[#This Row],[Return Market]]*K$4</f>
        <v>-2.5709400806707943</v>
      </c>
      <c r="I72" s="1"/>
      <c r="J72" s="1"/>
      <c r="K72" s="1"/>
      <c r="L72" s="1"/>
      <c r="M72" s="1"/>
    </row>
    <row r="73" spans="1:13">
      <c r="A73" s="1">
        <v>42.837972272093374</v>
      </c>
      <c r="B73" s="1">
        <v>17.878217753039763</v>
      </c>
      <c r="C73" s="1">
        <v>204.13203357424277</v>
      </c>
      <c r="D73" s="24">
        <f>Data__2[[#This Row],[Project_1]]/J$4</f>
        <v>0.28558648181395585</v>
      </c>
      <c r="E73" s="24">
        <f>Data__2[[#This Row],[Project_2]]/K$4</f>
        <v>0.11918811835359842</v>
      </c>
      <c r="F73" s="24">
        <f>Data__2[[#This Row],[Market]]/L$4</f>
        <v>0.20413203357424275</v>
      </c>
      <c r="G73" s="1">
        <f>L$24*Data__2[[#This Row],[Return Market]]*J$4</f>
        <v>11.34066853190239</v>
      </c>
      <c r="H73" s="1">
        <f>M$24*Data__2[[#This Row],[Return Market]]*K$4</f>
        <v>11.907701958497508</v>
      </c>
      <c r="I73" s="1"/>
      <c r="J73" s="1"/>
      <c r="K73" s="1"/>
      <c r="L73" s="1"/>
      <c r="M73" s="1"/>
    </row>
    <row r="74" spans="1:13">
      <c r="A74" s="1">
        <v>4.0596413517100665</v>
      </c>
      <c r="B74" s="1">
        <v>13.513163470581107</v>
      </c>
      <c r="C74" s="1">
        <v>396.83052623219834</v>
      </c>
      <c r="D74" s="24">
        <f>Data__2[[#This Row],[Project_1]]/J$4</f>
        <v>2.7064275678067108E-2</v>
      </c>
      <c r="E74" s="24">
        <f>Data__2[[#This Row],[Project_2]]/K$4</f>
        <v>9.0087756470540709E-2</v>
      </c>
      <c r="F74" s="24">
        <f>Data__2[[#This Row],[Market]]/L$4</f>
        <v>0.39683052623219833</v>
      </c>
      <c r="G74" s="1">
        <f>L$24*Data__2[[#This Row],[Return Market]]*J$4</f>
        <v>22.046140346233265</v>
      </c>
      <c r="H74" s="1">
        <f>M$24*Data__2[[#This Row],[Return Market]]*K$4</f>
        <v>23.148447363544932</v>
      </c>
      <c r="I74" s="1"/>
      <c r="J74" s="1"/>
      <c r="K74" s="1"/>
      <c r="L74" s="1"/>
      <c r="M74" s="1"/>
    </row>
    <row r="75" spans="1:13">
      <c r="A75" s="1">
        <v>-36.09730508391042</v>
      </c>
      <c r="B75" s="1">
        <v>-16.733784006800249</v>
      </c>
      <c r="C75" s="1">
        <v>-76.911686727781415</v>
      </c>
      <c r="D75" s="24">
        <f>Data__2[[#This Row],[Project_1]]/J$4</f>
        <v>-0.2406487005594028</v>
      </c>
      <c r="E75" s="24">
        <f>Data__2[[#This Row],[Project_2]]/K$4</f>
        <v>-0.111558560045335</v>
      </c>
      <c r="F75" s="24">
        <f>Data__2[[#This Row],[Market]]/L$4</f>
        <v>-7.6911686727781411E-2</v>
      </c>
      <c r="G75" s="1">
        <f>L$24*Data__2[[#This Row],[Return Market]]*J$4</f>
        <v>-4.2728714848767497</v>
      </c>
      <c r="H75" s="1">
        <f>M$24*Data__2[[#This Row],[Return Market]]*K$4</f>
        <v>-4.4865150591205882</v>
      </c>
      <c r="I75" s="1"/>
      <c r="J75" s="1"/>
      <c r="K75" s="1"/>
      <c r="L75" s="1"/>
      <c r="M75" s="1"/>
    </row>
    <row r="76" spans="1:13">
      <c r="A76" s="1">
        <v>9.8636901095804586</v>
      </c>
      <c r="B76" s="1">
        <v>19.92370814986338</v>
      </c>
      <c r="C76" s="1">
        <v>50.478258833853118</v>
      </c>
      <c r="D76" s="24">
        <f>Data__2[[#This Row],[Project_1]]/J$4</f>
        <v>6.5757934063869719E-2</v>
      </c>
      <c r="E76" s="24">
        <f>Data__2[[#This Row],[Project_2]]/K$4</f>
        <v>0.13282472099908921</v>
      </c>
      <c r="F76" s="24">
        <f>Data__2[[#This Row],[Market]]/L$4</f>
        <v>5.0478258833853117E-2</v>
      </c>
      <c r="G76" s="1">
        <f>L$24*Data__2[[#This Row],[Return Market]]*J$4</f>
        <v>2.8043477129918433</v>
      </c>
      <c r="H76" s="1">
        <f>M$24*Data__2[[#This Row],[Return Market]]*K$4</f>
        <v>2.9445650986414353</v>
      </c>
      <c r="I76" s="1"/>
      <c r="J76" s="1"/>
      <c r="K76" s="1"/>
      <c r="L76" s="1"/>
      <c r="M76" s="1"/>
    </row>
    <row r="77" spans="1:13">
      <c r="A77" s="1">
        <v>46.467019860057682</v>
      </c>
      <c r="B77" s="1">
        <v>13.611514135347203</v>
      </c>
      <c r="C77" s="1">
        <v>-131.90314838934995</v>
      </c>
      <c r="D77" s="24">
        <f>Data__2[[#This Row],[Project_1]]/J$4</f>
        <v>0.30978013240038454</v>
      </c>
      <c r="E77" s="24">
        <f>Data__2[[#This Row],[Project_2]]/K$4</f>
        <v>9.074342756898135E-2</v>
      </c>
      <c r="F77" s="24">
        <f>Data__2[[#This Row],[Market]]/L$4</f>
        <v>-0.13190314838934994</v>
      </c>
      <c r="G77" s="1">
        <f>L$24*Data__2[[#This Row],[Return Market]]*J$4</f>
        <v>-7.3279526882972279</v>
      </c>
      <c r="H77" s="1">
        <f>M$24*Data__2[[#This Row],[Return Market]]*K$4</f>
        <v>-7.69435032271209</v>
      </c>
      <c r="I77" s="1"/>
      <c r="J77" s="1"/>
      <c r="K77" s="1"/>
      <c r="L77" s="1"/>
      <c r="M77" s="1"/>
    </row>
    <row r="78" spans="1:13">
      <c r="A78" s="1">
        <v>13.977483535135212</v>
      </c>
      <c r="B78" s="1">
        <v>2.8905630039605175</v>
      </c>
      <c r="C78" s="1">
        <v>175.89950665542321</v>
      </c>
      <c r="D78" s="24">
        <f>Data__2[[#This Row],[Project_1]]/J$4</f>
        <v>9.3183223567568085E-2</v>
      </c>
      <c r="E78" s="24">
        <f>Data__2[[#This Row],[Project_2]]/K$4</f>
        <v>1.9270420026403449E-2</v>
      </c>
      <c r="F78" s="24">
        <f>Data__2[[#This Row],[Market]]/L$4</f>
        <v>0.1758995066554232</v>
      </c>
      <c r="G78" s="1">
        <f>L$24*Data__2[[#This Row],[Return Market]]*J$4</f>
        <v>9.7721948141901898</v>
      </c>
      <c r="H78" s="1">
        <f>M$24*Data__2[[#This Row],[Return Market]]*K$4</f>
        <v>10.260804554899702</v>
      </c>
      <c r="I78" s="1"/>
      <c r="J78" s="1"/>
      <c r="K78" s="1"/>
      <c r="L78" s="1"/>
      <c r="M78" s="1"/>
    </row>
    <row r="79" spans="1:13">
      <c r="A79" s="1">
        <v>14.432210763794227</v>
      </c>
      <c r="B79" s="1">
        <v>7.7962956866611748</v>
      </c>
      <c r="C79" s="1">
        <v>254.78926543253047</v>
      </c>
      <c r="D79" s="24">
        <f>Data__2[[#This Row],[Project_1]]/J$4</f>
        <v>9.6214738425294849E-2</v>
      </c>
      <c r="E79" s="24">
        <f>Data__2[[#This Row],[Project_2]]/K$4</f>
        <v>5.1975304577741167E-2</v>
      </c>
      <c r="F79" s="24">
        <f>Data__2[[#This Row],[Market]]/L$4</f>
        <v>0.25478926543253044</v>
      </c>
      <c r="G79" s="1">
        <f>L$24*Data__2[[#This Row],[Return Market]]*J$4</f>
        <v>14.154959190696152</v>
      </c>
      <c r="H79" s="1">
        <f>M$24*Data__2[[#This Row],[Return Market]]*K$4</f>
        <v>14.862707150230962</v>
      </c>
      <c r="I79" s="1"/>
      <c r="J79" s="1"/>
      <c r="K79" s="1"/>
      <c r="L79" s="1"/>
      <c r="M79" s="1"/>
    </row>
    <row r="80" spans="1:13">
      <c r="A80" s="1">
        <v>41.981660002624096</v>
      </c>
      <c r="B80" s="1">
        <v>28.886472149363048</v>
      </c>
      <c r="C80" s="1">
        <v>317.48720648985818</v>
      </c>
      <c r="D80" s="24">
        <f>Data__2[[#This Row],[Project_1]]/J$4</f>
        <v>0.27987773335082733</v>
      </c>
      <c r="E80" s="24">
        <f>Data__2[[#This Row],[Project_2]]/K$4</f>
        <v>0.19257648099575364</v>
      </c>
      <c r="F80" s="24">
        <f>Data__2[[#This Row],[Market]]/L$4</f>
        <v>0.31748720648985818</v>
      </c>
      <c r="G80" s="1">
        <f>L$24*Data__2[[#This Row],[Return Market]]*J$4</f>
        <v>17.638178138325475</v>
      </c>
      <c r="H80" s="1">
        <f>M$24*Data__2[[#This Row],[Return Market]]*K$4</f>
        <v>18.520087045241752</v>
      </c>
      <c r="I80" s="1"/>
      <c r="J80" s="1"/>
      <c r="K80" s="1"/>
      <c r="L80" s="1"/>
      <c r="M80" s="1"/>
    </row>
    <row r="81" spans="1:13">
      <c r="A81" s="1">
        <v>20.120943465314973</v>
      </c>
      <c r="B81" s="1">
        <v>17.683438149825133</v>
      </c>
      <c r="C81" s="1">
        <v>82.953288619591248</v>
      </c>
      <c r="D81" s="24">
        <f>Data__2[[#This Row],[Project_1]]/J$4</f>
        <v>0.13413962310209981</v>
      </c>
      <c r="E81" s="24">
        <f>Data__2[[#This Row],[Project_2]]/K$4</f>
        <v>0.11788958766550088</v>
      </c>
      <c r="F81" s="24">
        <f>Data__2[[#This Row],[Market]]/L$4</f>
        <v>8.2953288619591253E-2</v>
      </c>
      <c r="G81" s="1">
        <f>L$24*Data__2[[#This Row],[Return Market]]*J$4</f>
        <v>4.6085160344217417</v>
      </c>
      <c r="H81" s="1">
        <f>M$24*Data__2[[#This Row],[Return Market]]*K$4</f>
        <v>4.8389418361428298</v>
      </c>
      <c r="I81" s="1"/>
      <c r="J81" s="1"/>
      <c r="K81" s="1"/>
      <c r="L81" s="1"/>
      <c r="M81" s="1"/>
    </row>
    <row r="82" spans="1:13">
      <c r="A82" s="1">
        <v>7.634042264102705</v>
      </c>
      <c r="B82" s="1">
        <v>22.524557281392397</v>
      </c>
      <c r="C82" s="1">
        <v>225.73092416825489</v>
      </c>
      <c r="D82" s="24">
        <f>Data__2[[#This Row],[Project_1]]/J$4</f>
        <v>5.0893615094018033E-2</v>
      </c>
      <c r="E82" s="24">
        <f>Data__2[[#This Row],[Project_2]]/K$4</f>
        <v>0.15016371520928265</v>
      </c>
      <c r="F82" s="24">
        <f>Data__2[[#This Row],[Market]]/L$4</f>
        <v>0.22573092416825488</v>
      </c>
      <c r="G82" s="1">
        <f>L$24*Data__2[[#This Row],[Return Market]]*J$4</f>
        <v>12.540606898236396</v>
      </c>
      <c r="H82" s="1">
        <f>M$24*Data__2[[#This Row],[Return Market]]*K$4</f>
        <v>13.167637243148217</v>
      </c>
      <c r="I82" s="1"/>
      <c r="J82" s="1"/>
      <c r="K82" s="1"/>
      <c r="L82" s="1"/>
      <c r="M82" s="1"/>
    </row>
    <row r="83" spans="1:13">
      <c r="A83" s="1">
        <v>27.591694844233043</v>
      </c>
      <c r="B83" s="1">
        <v>-9.2409113070530822</v>
      </c>
      <c r="C83" s="1">
        <v>-57.819052540549819</v>
      </c>
      <c r="D83" s="24">
        <f>Data__2[[#This Row],[Project_1]]/J$4</f>
        <v>0.18394463229488695</v>
      </c>
      <c r="E83" s="24">
        <f>Data__2[[#This Row],[Project_2]]/K$4</f>
        <v>-6.1606075380353884E-2</v>
      </c>
      <c r="F83" s="24">
        <f>Data__2[[#This Row],[Market]]/L$4</f>
        <v>-5.7819052540549816E-2</v>
      </c>
      <c r="G83" s="1">
        <f>L$24*Data__2[[#This Row],[Return Market]]*J$4</f>
        <v>-3.2121695855861048</v>
      </c>
      <c r="H83" s="1">
        <f>M$24*Data__2[[#This Row],[Return Market]]*K$4</f>
        <v>-3.3727780648654107</v>
      </c>
      <c r="I83" s="1"/>
      <c r="J83" s="1"/>
      <c r="K83" s="1"/>
      <c r="L83" s="1"/>
      <c r="M83" s="1"/>
    </row>
    <row r="84" spans="1:13">
      <c r="A84" s="1">
        <v>28.506664743903368</v>
      </c>
      <c r="B84" s="1">
        <v>4.3506436177955461</v>
      </c>
      <c r="C84" s="1">
        <v>314.11121743653155</v>
      </c>
      <c r="D84" s="24">
        <f>Data__2[[#This Row],[Project_1]]/J$4</f>
        <v>0.19004443162602244</v>
      </c>
      <c r="E84" s="24">
        <f>Data__2[[#This Row],[Project_2]]/K$4</f>
        <v>2.900429078530364E-2</v>
      </c>
      <c r="F84" s="24">
        <f>Data__2[[#This Row],[Market]]/L$4</f>
        <v>0.31411121743653153</v>
      </c>
      <c r="G84" s="1">
        <f>L$24*Data__2[[#This Row],[Return Market]]*J$4</f>
        <v>17.450623190918439</v>
      </c>
      <c r="H84" s="1">
        <f>M$24*Data__2[[#This Row],[Return Market]]*K$4</f>
        <v>18.323154350464364</v>
      </c>
      <c r="I84" s="1"/>
      <c r="J84" s="1"/>
      <c r="K84" s="1"/>
      <c r="L84" s="1"/>
      <c r="M84" s="1"/>
    </row>
    <row r="85" spans="1:13">
      <c r="A85" s="1">
        <v>25.366130027913425</v>
      </c>
      <c r="B85" s="1">
        <v>14.677958728037046</v>
      </c>
      <c r="C85" s="1">
        <v>126.21515043959198</v>
      </c>
      <c r="D85" s="24">
        <f>Data__2[[#This Row],[Project_1]]/J$4</f>
        <v>0.16910753351942284</v>
      </c>
      <c r="E85" s="24">
        <f>Data__2[[#This Row],[Project_2]]/K$4</f>
        <v>9.7853058186913644E-2</v>
      </c>
      <c r="F85" s="24">
        <f>Data__2[[#This Row],[Market]]/L$4</f>
        <v>0.12621515043959197</v>
      </c>
      <c r="G85" s="1">
        <f>L$24*Data__2[[#This Row],[Return Market]]*J$4</f>
        <v>7.0119528021995619</v>
      </c>
      <c r="H85" s="1">
        <f>M$24*Data__2[[#This Row],[Return Market]]*K$4</f>
        <v>7.3625504423095416</v>
      </c>
      <c r="I85" s="1"/>
      <c r="J85" s="1"/>
      <c r="K85" s="1"/>
      <c r="L85" s="1"/>
      <c r="M85" s="1"/>
    </row>
    <row r="86" spans="1:13">
      <c r="A86" s="1">
        <v>9.9861833476123696</v>
      </c>
      <c r="B86" s="1">
        <v>6.9396812258392586</v>
      </c>
      <c r="C86" s="1">
        <v>-25.687191072460635</v>
      </c>
      <c r="D86" s="24">
        <f>Data__2[[#This Row],[Project_1]]/J$4</f>
        <v>6.6574555650749129E-2</v>
      </c>
      <c r="E86" s="24">
        <f>Data__2[[#This Row],[Project_2]]/K$4</f>
        <v>4.6264541505595058E-2</v>
      </c>
      <c r="F86" s="24">
        <f>Data__2[[#This Row],[Market]]/L$4</f>
        <v>-2.5687191072460636E-2</v>
      </c>
      <c r="G86" s="1">
        <f>L$24*Data__2[[#This Row],[Return Market]]*J$4</f>
        <v>-1.4270661706922592</v>
      </c>
      <c r="H86" s="1">
        <f>M$24*Data__2[[#This Row],[Return Market]]*K$4</f>
        <v>-1.4984194792268724</v>
      </c>
      <c r="I86" s="1"/>
      <c r="J86" s="1"/>
      <c r="K86" s="1"/>
      <c r="L86" s="1"/>
      <c r="M86" s="1"/>
    </row>
    <row r="87" spans="1:13">
      <c r="A87" s="1">
        <v>-3.8545248179533207</v>
      </c>
      <c r="B87" s="1">
        <v>19.233024590376015</v>
      </c>
      <c r="C87" s="1">
        <v>169.39400183774032</v>
      </c>
      <c r="D87" s="24">
        <f>Data__2[[#This Row],[Project_1]]/J$4</f>
        <v>-2.5696832119688803E-2</v>
      </c>
      <c r="E87" s="24">
        <f>Data__2[[#This Row],[Project_2]]/K$4</f>
        <v>0.1282201639358401</v>
      </c>
      <c r="F87" s="24">
        <f>Data__2[[#This Row],[Market]]/L$4</f>
        <v>0.16939400183774031</v>
      </c>
      <c r="G87" s="1">
        <f>L$24*Data__2[[#This Row],[Return Market]]*J$4</f>
        <v>9.4107778798744732</v>
      </c>
      <c r="H87" s="1">
        <f>M$24*Data__2[[#This Row],[Return Market]]*K$4</f>
        <v>9.881316773868198</v>
      </c>
      <c r="I87" s="1"/>
      <c r="J87" s="1"/>
      <c r="K87" s="1"/>
      <c r="L87" s="1"/>
      <c r="M87" s="1"/>
    </row>
    <row r="88" spans="1:13">
      <c r="A88" s="1">
        <v>-22.802515055803816</v>
      </c>
      <c r="B88" s="1">
        <v>-8.212433385913311</v>
      </c>
      <c r="C88" s="1">
        <v>110.40465043701904</v>
      </c>
      <c r="D88" s="24">
        <f>Data__2[[#This Row],[Project_1]]/J$4</f>
        <v>-0.1520167670386921</v>
      </c>
      <c r="E88" s="24">
        <f>Data__2[[#This Row],[Project_2]]/K$4</f>
        <v>-5.4749555906088737E-2</v>
      </c>
      <c r="F88" s="24">
        <f>Data__2[[#This Row],[Market]]/L$4</f>
        <v>0.11040465043701904</v>
      </c>
      <c r="G88" s="1">
        <f>L$24*Data__2[[#This Row],[Return Market]]*J$4</f>
        <v>6.1335916909455097</v>
      </c>
      <c r="H88" s="1">
        <f>M$24*Data__2[[#This Row],[Return Market]]*K$4</f>
        <v>6.4402712754927851</v>
      </c>
      <c r="I88" s="1"/>
      <c r="J88" s="1"/>
      <c r="K88" s="1"/>
      <c r="L88" s="1"/>
      <c r="M88" s="1"/>
    </row>
    <row r="89" spans="1:13">
      <c r="A89" s="1">
        <v>6.6705227416719843</v>
      </c>
      <c r="B89" s="1">
        <v>19.334454732514761</v>
      </c>
      <c r="C89" s="1">
        <v>196.14852825516101</v>
      </c>
      <c r="D89" s="24">
        <f>Data__2[[#This Row],[Project_1]]/J$4</f>
        <v>4.4470151611146563E-2</v>
      </c>
      <c r="E89" s="24">
        <f>Data__2[[#This Row],[Project_2]]/K$4</f>
        <v>0.12889636488343173</v>
      </c>
      <c r="F89" s="24">
        <f>Data__2[[#This Row],[Market]]/L$4</f>
        <v>0.19614852825516102</v>
      </c>
      <c r="G89" s="1">
        <f>L$24*Data__2[[#This Row],[Return Market]]*J$4</f>
        <v>10.89714045862007</v>
      </c>
      <c r="H89" s="1">
        <f>M$24*Data__2[[#This Row],[Return Market]]*K$4</f>
        <v>11.441997481551073</v>
      </c>
      <c r="I89" s="1"/>
      <c r="J89" s="1"/>
      <c r="K89" s="1"/>
      <c r="L89" s="1"/>
      <c r="M89" s="1"/>
    </row>
    <row r="90" spans="1:13">
      <c r="A90" s="1">
        <v>8.7949760668721986</v>
      </c>
      <c r="B90" s="1">
        <v>24.38850364610569</v>
      </c>
      <c r="C90" s="1">
        <v>76.693558991786333</v>
      </c>
      <c r="D90" s="24">
        <f>Data__2[[#This Row],[Project_1]]/J$4</f>
        <v>5.8633173779147993E-2</v>
      </c>
      <c r="E90" s="24">
        <f>Data__2[[#This Row],[Project_2]]/K$4</f>
        <v>0.16259002430737127</v>
      </c>
      <c r="F90" s="24">
        <f>Data__2[[#This Row],[Market]]/L$4</f>
        <v>7.6693558991786329E-2</v>
      </c>
      <c r="G90" s="1">
        <f>L$24*Data__2[[#This Row],[Return Market]]*J$4</f>
        <v>4.2607532773214682</v>
      </c>
      <c r="H90" s="1">
        <f>M$24*Data__2[[#This Row],[Return Market]]*K$4</f>
        <v>4.4737909411875423</v>
      </c>
      <c r="I90" s="1"/>
      <c r="J90" s="1"/>
      <c r="K90" s="1"/>
      <c r="L90" s="1"/>
      <c r="M90" s="1"/>
    </row>
    <row r="91" spans="1:13">
      <c r="A91" s="1">
        <v>24.359362232575617</v>
      </c>
      <c r="B91" s="1">
        <v>25.504364139726487</v>
      </c>
      <c r="C91" s="1">
        <v>184.71924754873601</v>
      </c>
      <c r="D91" s="24">
        <f>Data__2[[#This Row],[Project_1]]/J$4</f>
        <v>0.16239574821717079</v>
      </c>
      <c r="E91" s="24">
        <f>Data__2[[#This Row],[Project_2]]/K$4</f>
        <v>0.17002909426484325</v>
      </c>
      <c r="F91" s="24">
        <f>Data__2[[#This Row],[Market]]/L$4</f>
        <v>0.184719247548736</v>
      </c>
      <c r="G91" s="1">
        <f>L$24*Data__2[[#This Row],[Return Market]]*J$4</f>
        <v>10.262180419374234</v>
      </c>
      <c r="H91" s="1">
        <f>M$24*Data__2[[#This Row],[Return Market]]*K$4</f>
        <v>10.775289440342947</v>
      </c>
      <c r="I91" s="1"/>
      <c r="J91" s="1"/>
      <c r="K91" s="1"/>
      <c r="L91" s="1"/>
      <c r="M91" s="1"/>
    </row>
    <row r="92" spans="1:13">
      <c r="A92" s="1">
        <v>23.014820187414941</v>
      </c>
      <c r="B92" s="1">
        <v>35.668710896265281</v>
      </c>
      <c r="C92" s="1">
        <v>465.97426723585818</v>
      </c>
      <c r="D92" s="24">
        <f>Data__2[[#This Row],[Project_1]]/J$4</f>
        <v>0.15343213458276628</v>
      </c>
      <c r="E92" s="24">
        <f>Data__2[[#This Row],[Project_2]]/K$4</f>
        <v>0.23779140597510187</v>
      </c>
      <c r="F92" s="24">
        <f>Data__2[[#This Row],[Market]]/L$4</f>
        <v>0.46597426723585816</v>
      </c>
      <c r="G92" s="1">
        <f>L$24*Data__2[[#This Row],[Return Market]]*J$4</f>
        <v>25.887459290881036</v>
      </c>
      <c r="H92" s="1">
        <f>M$24*Data__2[[#This Row],[Return Market]]*K$4</f>
        <v>27.181832255425096</v>
      </c>
      <c r="I92" s="1"/>
      <c r="J92" s="1"/>
      <c r="K92" s="1"/>
      <c r="L92" s="1"/>
      <c r="M92" s="1"/>
    </row>
    <row r="93" spans="1:13">
      <c r="A93" s="1">
        <v>-9.1054951956020815</v>
      </c>
      <c r="B93" s="1">
        <v>4.0077863587382314</v>
      </c>
      <c r="C93" s="1">
        <v>-9.3101027644697041</v>
      </c>
      <c r="D93" s="24">
        <f>Data__2[[#This Row],[Project_1]]/J$4</f>
        <v>-6.0703301304013878E-2</v>
      </c>
      <c r="E93" s="24">
        <f>Data__2[[#This Row],[Project_2]]/K$4</f>
        <v>2.6718575724921544E-2</v>
      </c>
      <c r="F93" s="24">
        <f>Data__2[[#This Row],[Market]]/L$4</f>
        <v>-9.3101027644697035E-3</v>
      </c>
      <c r="G93" s="1">
        <f>L$24*Data__2[[#This Row],[Return Market]]*J$4</f>
        <v>-0.51722793135942857</v>
      </c>
      <c r="H93" s="1">
        <f>M$24*Data__2[[#This Row],[Return Market]]*K$4</f>
        <v>-0.54308932792740006</v>
      </c>
      <c r="I93" s="1"/>
      <c r="J93" s="1"/>
      <c r="K93" s="1"/>
      <c r="L93" s="1"/>
      <c r="M93" s="1"/>
    </row>
    <row r="94" spans="1:13">
      <c r="A94" s="1">
        <v>12.704467946471404</v>
      </c>
      <c r="B94" s="1">
        <v>10.529543143933921</v>
      </c>
      <c r="C94" s="1">
        <v>-2.5813952979728896</v>
      </c>
      <c r="D94" s="24">
        <f>Data__2[[#This Row],[Project_1]]/J$4</f>
        <v>8.469645297647603E-2</v>
      </c>
      <c r="E94" s="24">
        <f>Data__2[[#This Row],[Project_2]]/K$4</f>
        <v>7.0196954292892813E-2</v>
      </c>
      <c r="F94" s="24">
        <f>Data__2[[#This Row],[Market]]/L$4</f>
        <v>-2.5813952979728896E-3</v>
      </c>
      <c r="G94" s="1">
        <f>L$24*Data__2[[#This Row],[Return Market]]*J$4</f>
        <v>-0.14341084988738292</v>
      </c>
      <c r="H94" s="1">
        <f>M$24*Data__2[[#This Row],[Return Market]]*K$4</f>
        <v>-0.15058139238175208</v>
      </c>
      <c r="I94" s="1"/>
      <c r="J94" s="1"/>
      <c r="K94" s="1"/>
      <c r="L94" s="1"/>
      <c r="M94" s="1"/>
    </row>
    <row r="95" spans="1:13">
      <c r="A95" s="1">
        <v>3.8067508917914648</v>
      </c>
      <c r="B95" s="1">
        <v>-16.119612986782712</v>
      </c>
      <c r="C95" s="1">
        <v>-166.9398377675667</v>
      </c>
      <c r="D95" s="24">
        <f>Data__2[[#This Row],[Project_1]]/J$4</f>
        <v>2.5378339278609763E-2</v>
      </c>
      <c r="E95" s="24">
        <f>Data__2[[#This Row],[Project_2]]/K$4</f>
        <v>-0.10746408657855142</v>
      </c>
      <c r="F95" s="24">
        <f>Data__2[[#This Row],[Market]]/L$4</f>
        <v>-0.16693983776756671</v>
      </c>
      <c r="G95" s="1">
        <f>L$24*Data__2[[#This Row],[Return Market]]*J$4</f>
        <v>-9.2744354315314936</v>
      </c>
      <c r="H95" s="1">
        <f>M$24*Data__2[[#This Row],[Return Market]]*K$4</f>
        <v>-9.7381572031080719</v>
      </c>
      <c r="I95" s="1"/>
      <c r="J95" s="1"/>
      <c r="K95" s="1"/>
      <c r="L95" s="1"/>
      <c r="M95" s="1"/>
    </row>
    <row r="96" spans="1:13">
      <c r="A96" s="1">
        <v>-13.595230961736263</v>
      </c>
      <c r="B96" s="1">
        <v>-3.8657266956195002</v>
      </c>
      <c r="C96" s="1">
        <v>-76.962277146135591</v>
      </c>
      <c r="D96" s="24">
        <f>Data__2[[#This Row],[Project_1]]/J$4</f>
        <v>-9.0634873078241751E-2</v>
      </c>
      <c r="E96" s="24">
        <f>Data__2[[#This Row],[Project_2]]/K$4</f>
        <v>-2.5771511304130003E-2</v>
      </c>
      <c r="F96" s="24">
        <f>Data__2[[#This Row],[Market]]/L$4</f>
        <v>-7.6962277146135585E-2</v>
      </c>
      <c r="G96" s="1">
        <f>L$24*Data__2[[#This Row],[Return Market]]*J$4</f>
        <v>-4.2756820636742043</v>
      </c>
      <c r="H96" s="1">
        <f>M$24*Data__2[[#This Row],[Return Market]]*K$4</f>
        <v>-4.4894661668579152</v>
      </c>
      <c r="I96" s="1"/>
      <c r="J96" s="1"/>
      <c r="K96" s="1"/>
      <c r="L96" s="1"/>
      <c r="M96" s="1"/>
    </row>
    <row r="97" spans="1:13">
      <c r="A97" s="1">
        <v>27.044763103576273</v>
      </c>
      <c r="B97" s="1">
        <v>14.467530116895372</v>
      </c>
      <c r="C97" s="1">
        <v>52.587203616673037</v>
      </c>
      <c r="D97" s="24">
        <f>Data__2[[#This Row],[Project_1]]/J$4</f>
        <v>0.18029842069050847</v>
      </c>
      <c r="E97" s="24">
        <f>Data__2[[#This Row],[Project_2]]/K$4</f>
        <v>9.6450200779302483E-2</v>
      </c>
      <c r="F97" s="24">
        <f>Data__2[[#This Row],[Market]]/L$4</f>
        <v>5.2587203616673038E-2</v>
      </c>
      <c r="G97" s="1">
        <f>L$24*Data__2[[#This Row],[Return Market]]*J$4</f>
        <v>2.9215113120373943</v>
      </c>
      <c r="H97" s="1">
        <f>M$24*Data__2[[#This Row],[Return Market]]*K$4</f>
        <v>3.0675868776392643</v>
      </c>
      <c r="I97" s="1"/>
      <c r="J97" s="1"/>
      <c r="K97" s="1"/>
      <c r="L97" s="1"/>
      <c r="M97" s="1"/>
    </row>
    <row r="98" spans="1:13">
      <c r="A98" s="1">
        <v>53.699590061882276</v>
      </c>
      <c r="B98" s="1">
        <v>45.00249897125164</v>
      </c>
      <c r="C98" s="1">
        <v>303.96278644232154</v>
      </c>
      <c r="D98" s="24">
        <f>Data__2[[#This Row],[Project_1]]/J$4</f>
        <v>0.3579972670792152</v>
      </c>
      <c r="E98" s="24">
        <f>Data__2[[#This Row],[Project_2]]/K$4</f>
        <v>0.30001665980834424</v>
      </c>
      <c r="F98" s="24">
        <f>Data__2[[#This Row],[Market]]/L$4</f>
        <v>0.30396278644232155</v>
      </c>
      <c r="G98" s="1">
        <f>L$24*Data__2[[#This Row],[Return Market]]*J$4</f>
        <v>16.886821469017882</v>
      </c>
      <c r="H98" s="1">
        <f>M$24*Data__2[[#This Row],[Return Market]]*K$4</f>
        <v>17.73116254246878</v>
      </c>
      <c r="I98" s="1"/>
      <c r="J98" s="1"/>
      <c r="K98" s="1"/>
      <c r="L98" s="1"/>
      <c r="M98" s="1"/>
    </row>
    <row r="99" spans="1:13">
      <c r="A99" s="1">
        <v>-4.2660797633112626</v>
      </c>
      <c r="B99" s="1">
        <v>17.609272330801861</v>
      </c>
      <c r="C99" s="1">
        <v>464.32130478713702</v>
      </c>
      <c r="D99" s="24">
        <f>Data__2[[#This Row],[Project_1]]/J$4</f>
        <v>-2.8440531755408418E-2</v>
      </c>
      <c r="E99" s="24">
        <f>Data__2[[#This Row],[Project_2]]/K$4</f>
        <v>0.11739514887201241</v>
      </c>
      <c r="F99" s="24">
        <f>Data__2[[#This Row],[Market]]/L$4</f>
        <v>0.46432130478713701</v>
      </c>
      <c r="G99" s="1">
        <f>L$24*Data__2[[#This Row],[Return Market]]*J$4</f>
        <v>25.795628043729863</v>
      </c>
      <c r="H99" s="1">
        <f>M$24*Data__2[[#This Row],[Return Market]]*K$4</f>
        <v>27.085409445916362</v>
      </c>
      <c r="I99" s="1"/>
      <c r="J99" s="1"/>
      <c r="K99" s="1"/>
      <c r="L99" s="1"/>
      <c r="M99" s="1"/>
    </row>
    <row r="100" spans="1:13">
      <c r="A100" s="1">
        <v>-1.6388014353955338</v>
      </c>
      <c r="B100" s="1">
        <v>11.766086543692552</v>
      </c>
      <c r="C100" s="1">
        <v>280.62888430599639</v>
      </c>
      <c r="D100" s="24">
        <f>Data__2[[#This Row],[Project_1]]/J$4</f>
        <v>-1.0925342902636892E-2</v>
      </c>
      <c r="E100" s="24">
        <f>Data__2[[#This Row],[Project_2]]/K$4</f>
        <v>7.8440576957950342E-2</v>
      </c>
      <c r="F100" s="24">
        <f>Data__2[[#This Row],[Market]]/L$4</f>
        <v>0.28062888430599642</v>
      </c>
      <c r="G100" s="1">
        <f>L$24*Data__2[[#This Row],[Return Market]]*J$4</f>
        <v>15.590493572555374</v>
      </c>
      <c r="H100" s="1">
        <f>M$24*Data__2[[#This Row],[Return Market]]*K$4</f>
        <v>16.370018251183147</v>
      </c>
      <c r="I100" s="1"/>
      <c r="J100" s="1"/>
      <c r="K100" s="1"/>
      <c r="L100" s="1"/>
      <c r="M100" s="1"/>
    </row>
    <row r="101" spans="1:13">
      <c r="A101" s="1">
        <v>18.812099395746635</v>
      </c>
      <c r="B101" s="1">
        <v>20.89939888469226</v>
      </c>
      <c r="C101" s="1">
        <v>98.791860575799419</v>
      </c>
      <c r="D101" s="24">
        <f>Data__2[[#This Row],[Project_1]]/J$4</f>
        <v>0.12541399597164424</v>
      </c>
      <c r="E101" s="24">
        <f>Data__2[[#This Row],[Project_2]]/K$4</f>
        <v>0.13932932589794841</v>
      </c>
      <c r="F101" s="24">
        <f>Data__2[[#This Row],[Market]]/L$4</f>
        <v>9.8791860575799417E-2</v>
      </c>
      <c r="G101" s="1">
        <f>L$24*Data__2[[#This Row],[Return Market]]*J$4</f>
        <v>5.4884366986555291</v>
      </c>
      <c r="H101" s="1">
        <f>M$24*Data__2[[#This Row],[Return Market]]*K$4</f>
        <v>5.7628585335883074</v>
      </c>
      <c r="I101" s="1"/>
      <c r="J101" s="1"/>
      <c r="K101" s="1"/>
      <c r="L101" s="1"/>
      <c r="M101" s="1"/>
    </row>
    <row r="102" spans="1:13">
      <c r="A102" s="1">
        <v>1.4544005091986278E-2</v>
      </c>
      <c r="B102" s="1">
        <v>-8.8277235657093627</v>
      </c>
      <c r="C102" s="1">
        <v>-9.5176136464280034</v>
      </c>
      <c r="D102" s="24">
        <f>Data__2[[#This Row],[Project_1]]/J$4</f>
        <v>9.6960033946575185E-5</v>
      </c>
      <c r="E102" s="24">
        <f>Data__2[[#This Row],[Project_2]]/K$4</f>
        <v>-5.8851490438062419E-2</v>
      </c>
      <c r="F102" s="24">
        <f>Data__2[[#This Row],[Market]]/L$4</f>
        <v>-9.5176136464280043E-3</v>
      </c>
      <c r="G102" s="1">
        <f>L$24*Data__2[[#This Row],[Return Market]]*J$4</f>
        <v>-0.52875631369044529</v>
      </c>
      <c r="H102" s="1">
        <f>M$24*Data__2[[#This Row],[Return Market]]*K$4</f>
        <v>-0.55519412937496759</v>
      </c>
      <c r="I102" s="1"/>
      <c r="J102" s="1"/>
      <c r="K102" s="1"/>
      <c r="L102" s="1"/>
      <c r="M102" s="1"/>
    </row>
    <row r="103" spans="1:13">
      <c r="A103" s="1">
        <v>17.792072518168482</v>
      </c>
      <c r="B103" s="1">
        <v>15.489951767093689</v>
      </c>
      <c r="C103" s="1">
        <v>238.72528856059799</v>
      </c>
      <c r="D103" s="24">
        <f>Data__2[[#This Row],[Project_1]]/J$4</f>
        <v>0.11861381678778987</v>
      </c>
      <c r="E103" s="24">
        <f>Data__2[[#This Row],[Project_2]]/K$4</f>
        <v>0.10326634511395794</v>
      </c>
      <c r="F103" s="24">
        <f>Data__2[[#This Row],[Market]]/L$4</f>
        <v>0.23872528856059799</v>
      </c>
      <c r="G103" s="1">
        <f>L$24*Data__2[[#This Row],[Return Market]]*J$4</f>
        <v>13.262516031144347</v>
      </c>
      <c r="H103" s="1">
        <f>M$24*Data__2[[#This Row],[Return Market]]*K$4</f>
        <v>13.925641832701569</v>
      </c>
      <c r="I103" s="1"/>
      <c r="J103" s="1"/>
      <c r="K103" s="1"/>
      <c r="L103" s="1"/>
      <c r="M103" s="1"/>
    </row>
    <row r="104" spans="1:13">
      <c r="A104" s="1">
        <v>68.85564786898577</v>
      </c>
      <c r="B104" s="1">
        <v>18.931846852300822</v>
      </c>
      <c r="C104" s="1">
        <v>90.878969842282203</v>
      </c>
      <c r="D104" s="24">
        <f>Data__2[[#This Row],[Project_1]]/J$4</f>
        <v>0.45903765245990513</v>
      </c>
      <c r="E104" s="24">
        <f>Data__2[[#This Row],[Project_2]]/K$4</f>
        <v>0.12621231234867214</v>
      </c>
      <c r="F104" s="24">
        <f>Data__2[[#This Row],[Market]]/L$4</f>
        <v>9.0878969842282206E-2</v>
      </c>
      <c r="G104" s="1">
        <f>L$24*Data__2[[#This Row],[Return Market]]*J$4</f>
        <v>5.0488316579045724</v>
      </c>
      <c r="H104" s="1">
        <f>M$24*Data__2[[#This Row],[Return Market]]*K$4</f>
        <v>5.3012732407998024</v>
      </c>
      <c r="I104" s="1"/>
      <c r="J104" s="1"/>
      <c r="K104" s="1"/>
      <c r="L104" s="1"/>
      <c r="M104" s="1"/>
    </row>
    <row r="105" spans="1:13">
      <c r="A105" s="1">
        <v>18.735291268287497</v>
      </c>
      <c r="B105" s="1">
        <v>-12.912665047870998</v>
      </c>
      <c r="C105" s="1">
        <v>-36.69405990104552</v>
      </c>
      <c r="D105" s="24">
        <f>Data__2[[#This Row],[Project_1]]/J$4</f>
        <v>0.12490194178858331</v>
      </c>
      <c r="E105" s="24">
        <f>Data__2[[#This Row],[Project_2]]/K$4</f>
        <v>-8.6084433652473327E-2</v>
      </c>
      <c r="F105" s="24">
        <f>Data__2[[#This Row],[Market]]/L$4</f>
        <v>-3.6694059901045517E-2</v>
      </c>
      <c r="G105" s="1">
        <f>L$24*Data__2[[#This Row],[Return Market]]*J$4</f>
        <v>-2.0385588833914201</v>
      </c>
      <c r="H105" s="1">
        <f>M$24*Data__2[[#This Row],[Return Market]]*K$4</f>
        <v>-2.1404868275609914</v>
      </c>
      <c r="I105" s="1"/>
      <c r="J105" s="1"/>
      <c r="K105" s="1"/>
      <c r="L105" s="1"/>
      <c r="M105" s="1"/>
    </row>
    <row r="106" spans="1:13">
      <c r="A106" s="1">
        <v>17.669036127642901</v>
      </c>
      <c r="B106" s="1">
        <v>-0.94952628888617951</v>
      </c>
      <c r="C106" s="1">
        <v>40.38967532418522</v>
      </c>
      <c r="D106" s="24">
        <f>Data__2[[#This Row],[Project_1]]/J$4</f>
        <v>0.117793574184286</v>
      </c>
      <c r="E106" s="24">
        <f>Data__2[[#This Row],[Project_2]]/K$4</f>
        <v>-6.3301752592411966E-3</v>
      </c>
      <c r="F106" s="24">
        <f>Data__2[[#This Row],[Market]]/L$4</f>
        <v>4.038967532418522E-2</v>
      </c>
      <c r="G106" s="1">
        <f>L$24*Data__2[[#This Row],[Return Market]]*J$4</f>
        <v>2.2438708513436261</v>
      </c>
      <c r="H106" s="1">
        <f>M$24*Data__2[[#This Row],[Return Market]]*K$4</f>
        <v>2.3560643939108075</v>
      </c>
      <c r="I106" s="1"/>
      <c r="J106" s="1"/>
      <c r="K106" s="1"/>
      <c r="L106" s="1"/>
      <c r="M106" s="1"/>
    </row>
    <row r="107" spans="1:13">
      <c r="A107" s="1">
        <v>12.086227048136806</v>
      </c>
      <c r="B107" s="1">
        <v>15.83316336790749</v>
      </c>
      <c r="C107" s="1">
        <v>-23.075971953734907</v>
      </c>
      <c r="D107" s="24">
        <f>Data__2[[#This Row],[Project_1]]/J$4</f>
        <v>8.0574846987578705E-2</v>
      </c>
      <c r="E107" s="24">
        <f>Data__2[[#This Row],[Project_2]]/K$4</f>
        <v>0.1055544224527166</v>
      </c>
      <c r="F107" s="24">
        <f>Data__2[[#This Row],[Market]]/L$4</f>
        <v>-2.3075971953734908E-2</v>
      </c>
      <c r="G107" s="1">
        <f>L$24*Data__2[[#This Row],[Return Market]]*J$4</f>
        <v>-1.281998441874163</v>
      </c>
      <c r="H107" s="1">
        <f>M$24*Data__2[[#This Row],[Return Market]]*K$4</f>
        <v>-1.3460983639678714</v>
      </c>
      <c r="I107" s="1"/>
      <c r="J107" s="1"/>
      <c r="K107" s="1"/>
      <c r="L107" s="1"/>
      <c r="M107" s="1"/>
    </row>
    <row r="108" spans="1:13">
      <c r="A108" s="1">
        <v>4.0887733352871152</v>
      </c>
      <c r="B108" s="1">
        <v>15.899215780158354</v>
      </c>
      <c r="C108" s="1">
        <v>23.37562780136679</v>
      </c>
      <c r="D108" s="24">
        <f>Data__2[[#This Row],[Project_1]]/J$4</f>
        <v>2.72584889019141E-2</v>
      </c>
      <c r="E108" s="24">
        <f>Data__2[[#This Row],[Project_2]]/K$4</f>
        <v>0.10599477186772235</v>
      </c>
      <c r="F108" s="24">
        <f>Data__2[[#This Row],[Market]]/L$4</f>
        <v>2.3375627801366788E-2</v>
      </c>
      <c r="G108" s="1">
        <f>L$24*Data__2[[#This Row],[Return Market]]*J$4</f>
        <v>1.298645988964823</v>
      </c>
      <c r="H108" s="1">
        <f>M$24*Data__2[[#This Row],[Return Market]]*K$4</f>
        <v>1.3635782884130645</v>
      </c>
      <c r="I108" s="1"/>
      <c r="J108" s="1"/>
      <c r="K108" s="1"/>
      <c r="L108" s="1"/>
      <c r="M108" s="1"/>
    </row>
    <row r="109" spans="1:13">
      <c r="A109" s="1">
        <v>32.103794268161415</v>
      </c>
      <c r="B109" s="1">
        <v>8.7668104803349856</v>
      </c>
      <c r="C109" s="1">
        <v>110.50066290206206</v>
      </c>
      <c r="D109" s="24">
        <f>Data__2[[#This Row],[Project_1]]/J$4</f>
        <v>0.2140252951210761</v>
      </c>
      <c r="E109" s="24">
        <f>Data__2[[#This Row],[Project_2]]/K$4</f>
        <v>5.8445403202233237E-2</v>
      </c>
      <c r="F109" s="24">
        <f>Data__2[[#This Row],[Market]]/L$4</f>
        <v>0.11050066290206206</v>
      </c>
      <c r="G109" s="1">
        <f>L$24*Data__2[[#This Row],[Return Market]]*J$4</f>
        <v>6.138925716781233</v>
      </c>
      <c r="H109" s="1">
        <f>M$24*Data__2[[#This Row],[Return Market]]*K$4</f>
        <v>6.4458720026202956</v>
      </c>
      <c r="I109" s="1"/>
      <c r="J109" s="1"/>
      <c r="K109" s="1"/>
      <c r="L109" s="1"/>
      <c r="M109" s="1"/>
    </row>
    <row r="110" spans="1:13">
      <c r="A110" s="1">
        <v>11.703560861813516</v>
      </c>
      <c r="B110" s="1">
        <v>19.307478254252928</v>
      </c>
      <c r="C110" s="1">
        <v>97.563243602054882</v>
      </c>
      <c r="D110" s="24">
        <f>Data__2[[#This Row],[Project_1]]/J$4</f>
        <v>7.8023739078756774E-2</v>
      </c>
      <c r="E110" s="24">
        <f>Data__2[[#This Row],[Project_2]]/K$4</f>
        <v>0.12871652169501951</v>
      </c>
      <c r="F110" s="24">
        <f>Data__2[[#This Row],[Market]]/L$4</f>
        <v>9.7563243602054886E-2</v>
      </c>
      <c r="G110" s="1">
        <f>L$24*Data__2[[#This Row],[Return Market]]*J$4</f>
        <v>5.4201802001141663</v>
      </c>
      <c r="H110" s="1">
        <f>M$24*Data__2[[#This Row],[Return Market]]*K$4</f>
        <v>5.6911892101198749</v>
      </c>
      <c r="I110" s="1"/>
      <c r="J110" s="1"/>
      <c r="K110" s="1"/>
      <c r="L110" s="1"/>
      <c r="M110" s="1"/>
    </row>
    <row r="111" spans="1:13">
      <c r="A111" s="1">
        <v>14.22818642758711</v>
      </c>
      <c r="B111" s="1">
        <v>10.18960742463144</v>
      </c>
      <c r="C111" s="1">
        <v>34.422235627879957</v>
      </c>
      <c r="D111" s="24">
        <f>Data__2[[#This Row],[Project_1]]/J$4</f>
        <v>9.4854576183914061E-2</v>
      </c>
      <c r="E111" s="24">
        <f>Data__2[[#This Row],[Project_2]]/K$4</f>
        <v>6.7930716164209592E-2</v>
      </c>
      <c r="F111" s="24">
        <f>Data__2[[#This Row],[Market]]/L$4</f>
        <v>3.4422235627879959E-2</v>
      </c>
      <c r="G111" s="1">
        <f>L$24*Data__2[[#This Row],[Return Market]]*J$4</f>
        <v>1.912346423771111</v>
      </c>
      <c r="H111" s="1">
        <f>M$24*Data__2[[#This Row],[Return Market]]*K$4</f>
        <v>2.007963744959667</v>
      </c>
      <c r="I111" s="1"/>
      <c r="J111" s="1"/>
      <c r="K111" s="1"/>
      <c r="L111" s="1"/>
      <c r="M111" s="1"/>
    </row>
    <row r="112" spans="1:13">
      <c r="A112" s="1">
        <v>44.549487656526622</v>
      </c>
      <c r="B112" s="1">
        <v>34.258333410920002</v>
      </c>
      <c r="C112" s="1">
        <v>98.490634950242097</v>
      </c>
      <c r="D112" s="24">
        <f>Data__2[[#This Row],[Project_1]]/J$4</f>
        <v>0.29699658437684417</v>
      </c>
      <c r="E112" s="24">
        <f>Data__2[[#This Row],[Project_2]]/K$4</f>
        <v>0.22838888940613336</v>
      </c>
      <c r="F112" s="24">
        <f>Data__2[[#This Row],[Market]]/L$4</f>
        <v>9.8490634950242101E-2</v>
      </c>
      <c r="G112" s="1">
        <f>L$24*Data__2[[#This Row],[Return Market]]*J$4</f>
        <v>5.4717019416801236</v>
      </c>
      <c r="H112" s="1">
        <f>M$24*Data__2[[#This Row],[Return Market]]*K$4</f>
        <v>5.7452870387641308</v>
      </c>
      <c r="I112" s="1"/>
      <c r="J112" s="1"/>
      <c r="K112" s="1"/>
      <c r="L112" s="1"/>
      <c r="M112" s="1"/>
    </row>
    <row r="113" spans="1:13">
      <c r="A113" s="1">
        <v>-7.9418654068756567</v>
      </c>
      <c r="B113" s="1">
        <v>10.27392329072209</v>
      </c>
      <c r="C113" s="1">
        <v>60.373959781453706</v>
      </c>
      <c r="D113" s="24">
        <f>Data__2[[#This Row],[Project_1]]/J$4</f>
        <v>-5.2945769379171045E-2</v>
      </c>
      <c r="E113" s="24">
        <f>Data__2[[#This Row],[Project_2]]/K$4</f>
        <v>6.8492821938147264E-2</v>
      </c>
      <c r="F113" s="24">
        <f>Data__2[[#This Row],[Market]]/L$4</f>
        <v>6.0373959781453705E-2</v>
      </c>
      <c r="G113" s="1">
        <f>L$24*Data__2[[#This Row],[Return Market]]*J$4</f>
        <v>3.3541088767474321</v>
      </c>
      <c r="H113" s="1">
        <f>M$24*Data__2[[#This Row],[Return Market]]*K$4</f>
        <v>3.521814320584804</v>
      </c>
      <c r="I113" s="1"/>
      <c r="J113" s="1"/>
      <c r="K113" s="1"/>
      <c r="L113" s="1"/>
      <c r="M113" s="1"/>
    </row>
    <row r="114" spans="1:13">
      <c r="A114" s="1">
        <v>30.144755301082391</v>
      </c>
      <c r="B114" s="1">
        <v>22.700814406798976</v>
      </c>
      <c r="C114" s="1">
        <v>245.31914636579856</v>
      </c>
      <c r="D114" s="24">
        <f>Data__2[[#This Row],[Project_1]]/J$4</f>
        <v>0.20096503534054927</v>
      </c>
      <c r="E114" s="24">
        <f>Data__2[[#This Row],[Project_2]]/K$4</f>
        <v>0.15133876271199317</v>
      </c>
      <c r="F114" s="24">
        <f>Data__2[[#This Row],[Market]]/L$4</f>
        <v>0.24531914636579855</v>
      </c>
      <c r="G114" s="1">
        <f>L$24*Data__2[[#This Row],[Return Market]]*J$4</f>
        <v>13.628841464766602</v>
      </c>
      <c r="H114" s="1">
        <f>M$24*Data__2[[#This Row],[Return Market]]*K$4</f>
        <v>14.310283538004933</v>
      </c>
      <c r="I114" s="1"/>
      <c r="J114" s="1"/>
      <c r="K114" s="1"/>
      <c r="L114" s="1"/>
      <c r="M114" s="1"/>
    </row>
    <row r="115" spans="1:13">
      <c r="A115" s="1">
        <v>6.0100445434603635</v>
      </c>
      <c r="B115" s="1">
        <v>11.718802721284966</v>
      </c>
      <c r="C115" s="1">
        <v>152.4554759740704</v>
      </c>
      <c r="D115" s="24">
        <f>Data__2[[#This Row],[Project_1]]/J$4</f>
        <v>4.0066963623069093E-2</v>
      </c>
      <c r="E115" s="24">
        <f>Data__2[[#This Row],[Project_2]]/K$4</f>
        <v>7.8125351475233112E-2</v>
      </c>
      <c r="F115" s="24">
        <f>Data__2[[#This Row],[Market]]/L$4</f>
        <v>0.15245547597407039</v>
      </c>
      <c r="G115" s="1">
        <f>L$24*Data__2[[#This Row],[Return Market]]*J$4</f>
        <v>8.4697486652261418</v>
      </c>
      <c r="H115" s="1">
        <f>M$24*Data__2[[#This Row],[Return Market]]*K$4</f>
        <v>8.893236098487451</v>
      </c>
      <c r="I115" s="1"/>
      <c r="J115" s="1"/>
      <c r="K115" s="1"/>
      <c r="L115" s="1"/>
      <c r="M115" s="1"/>
    </row>
    <row r="116" spans="1:13">
      <c r="A116" s="1">
        <v>2.2839061350446137</v>
      </c>
      <c r="B116" s="1">
        <v>3.8808731433595547</v>
      </c>
      <c r="C116" s="1">
        <v>-296.13061944646944</v>
      </c>
      <c r="D116" s="24">
        <f>Data__2[[#This Row],[Project_1]]/J$4</f>
        <v>1.5226040900297425E-2</v>
      </c>
      <c r="E116" s="24">
        <f>Data__2[[#This Row],[Project_2]]/K$4</f>
        <v>2.5872487622397033E-2</v>
      </c>
      <c r="F116" s="24">
        <f>Data__2[[#This Row],[Market]]/L$4</f>
        <v>-0.29613061944646946</v>
      </c>
      <c r="G116" s="1">
        <f>L$24*Data__2[[#This Row],[Return Market]]*J$4</f>
        <v>-16.451701080359435</v>
      </c>
      <c r="H116" s="1">
        <f>M$24*Data__2[[#This Row],[Return Market]]*K$4</f>
        <v>-17.274286134377409</v>
      </c>
      <c r="I116" s="1"/>
      <c r="J116" s="1"/>
      <c r="K116" s="1"/>
      <c r="L116" s="1"/>
      <c r="M116" s="1"/>
    </row>
    <row r="117" spans="1:13">
      <c r="A117" s="1">
        <v>6.0689998610870326</v>
      </c>
      <c r="B117" s="1">
        <v>11.444787831949485</v>
      </c>
      <c r="C117" s="1">
        <v>93.655117718580541</v>
      </c>
      <c r="D117" s="24">
        <f>Data__2[[#This Row],[Project_1]]/J$4</f>
        <v>4.0459999073913552E-2</v>
      </c>
      <c r="E117" s="24">
        <f>Data__2[[#This Row],[Project_2]]/K$4</f>
        <v>7.62985855463299E-2</v>
      </c>
      <c r="F117" s="24">
        <f>Data__2[[#This Row],[Market]]/L$4</f>
        <v>9.3655117718580538E-2</v>
      </c>
      <c r="G117" s="1">
        <f>L$24*Data__2[[#This Row],[Return Market]]*J$4</f>
        <v>5.2030620954767031</v>
      </c>
      <c r="H117" s="1">
        <f>M$24*Data__2[[#This Row],[Return Market]]*K$4</f>
        <v>5.4632152002505388</v>
      </c>
      <c r="I117" s="1"/>
      <c r="J117" s="1"/>
      <c r="K117" s="1"/>
      <c r="L117" s="1"/>
      <c r="M117" s="1"/>
    </row>
    <row r="118" spans="1:13">
      <c r="A118" s="1">
        <v>0.91224463295020719</v>
      </c>
      <c r="B118" s="1">
        <v>-5.936887318982194</v>
      </c>
      <c r="C118" s="1">
        <v>-563.29842196612492</v>
      </c>
      <c r="D118" s="24">
        <f>Data__2[[#This Row],[Project_1]]/J$4</f>
        <v>6.081630886334715E-3</v>
      </c>
      <c r="E118" s="24">
        <f>Data__2[[#This Row],[Project_2]]/K$4</f>
        <v>-3.9579248793214623E-2</v>
      </c>
      <c r="F118" s="24">
        <f>Data__2[[#This Row],[Market]]/L$4</f>
        <v>-0.5632984219661249</v>
      </c>
      <c r="G118" s="1">
        <f>L$24*Data__2[[#This Row],[Return Market]]*J$4</f>
        <v>-31.294356775895864</v>
      </c>
      <c r="H118" s="1">
        <f>M$24*Data__2[[#This Row],[Return Market]]*K$4</f>
        <v>-32.859074614690662</v>
      </c>
      <c r="I118" s="1"/>
      <c r="J118" s="1"/>
      <c r="K118" s="1"/>
      <c r="L118" s="1"/>
      <c r="M118" s="1"/>
    </row>
    <row r="119" spans="1:13">
      <c r="A119" s="1">
        <v>-7.7600629395874101</v>
      </c>
      <c r="B119" s="1">
        <v>8.420804335634184</v>
      </c>
      <c r="C119" s="1">
        <v>135.64880218125342</v>
      </c>
      <c r="D119" s="24">
        <f>Data__2[[#This Row],[Project_1]]/J$4</f>
        <v>-5.1733752930582737E-2</v>
      </c>
      <c r="E119" s="24">
        <f>Data__2[[#This Row],[Project_2]]/K$4</f>
        <v>5.6138695570894563E-2</v>
      </c>
      <c r="F119" s="24">
        <f>Data__2[[#This Row],[Market]]/L$4</f>
        <v>0.13564880218125341</v>
      </c>
      <c r="G119" s="1">
        <f>L$24*Data__2[[#This Row],[Return Market]]*J$4</f>
        <v>7.5360445656251986</v>
      </c>
      <c r="H119" s="1">
        <f>M$24*Data__2[[#This Row],[Return Market]]*K$4</f>
        <v>7.9128467939064588</v>
      </c>
      <c r="I119" s="1"/>
      <c r="J119" s="1"/>
      <c r="K119" s="1"/>
      <c r="L119" s="1"/>
      <c r="M119" s="1"/>
    </row>
    <row r="120" spans="1:13">
      <c r="A120" s="1">
        <v>-39.855849023844399</v>
      </c>
      <c r="B120" s="1">
        <v>1.4530928181822809</v>
      </c>
      <c r="C120" s="1">
        <v>-246.27931339968319</v>
      </c>
      <c r="D120" s="24">
        <f>Data__2[[#This Row],[Project_1]]/J$4</f>
        <v>-0.26570566015896269</v>
      </c>
      <c r="E120" s="24">
        <f>Data__2[[#This Row],[Project_2]]/K$4</f>
        <v>9.6872854545485398E-3</v>
      </c>
      <c r="F120" s="24">
        <f>Data__2[[#This Row],[Market]]/L$4</f>
        <v>-0.2462793133996832</v>
      </c>
      <c r="G120" s="1">
        <f>L$24*Data__2[[#This Row],[Return Market]]*J$4</f>
        <v>-13.682184077760194</v>
      </c>
      <c r="H120" s="1">
        <f>M$24*Data__2[[#This Row],[Return Market]]*K$4</f>
        <v>-14.366293281648204</v>
      </c>
      <c r="I120" s="1"/>
      <c r="J120" s="1"/>
      <c r="K120" s="1"/>
      <c r="L120" s="1"/>
      <c r="M120" s="1"/>
    </row>
    <row r="121" spans="1:13">
      <c r="A121" s="1">
        <v>5.3878303958708926</v>
      </c>
      <c r="B121" s="1">
        <v>-6.8379232800542233</v>
      </c>
      <c r="C121" s="1">
        <v>-44.162364536119071</v>
      </c>
      <c r="D121" s="24">
        <f>Data__2[[#This Row],[Project_1]]/J$4</f>
        <v>3.5918869305805949E-2</v>
      </c>
      <c r="E121" s="24">
        <f>Data__2[[#This Row],[Project_2]]/K$4</f>
        <v>-4.5586155200361488E-2</v>
      </c>
      <c r="F121" s="24">
        <f>Data__2[[#This Row],[Market]]/L$4</f>
        <v>-4.4162364536119068E-2</v>
      </c>
      <c r="G121" s="1">
        <f>L$24*Data__2[[#This Row],[Return Market]]*J$4</f>
        <v>-2.453464696451062</v>
      </c>
      <c r="H121" s="1">
        <f>M$24*Data__2[[#This Row],[Return Market]]*K$4</f>
        <v>-2.5761379312736157</v>
      </c>
      <c r="I121" s="1"/>
      <c r="J121" s="1"/>
      <c r="K121" s="1"/>
      <c r="L121" s="1"/>
      <c r="M121" s="1"/>
    </row>
    <row r="122" spans="1:13">
      <c r="A122" s="1">
        <v>-7.5059881677115499</v>
      </c>
      <c r="B122" s="1">
        <v>-13.816912851348803</v>
      </c>
      <c r="C122" s="1">
        <v>-150.44269245198927</v>
      </c>
      <c r="D122" s="24">
        <f>Data__2[[#This Row],[Project_1]]/J$4</f>
        <v>-5.0039921118077001E-2</v>
      </c>
      <c r="E122" s="24">
        <f>Data__2[[#This Row],[Project_2]]/K$4</f>
        <v>-9.2112752342325355E-2</v>
      </c>
      <c r="F122" s="24">
        <f>Data__2[[#This Row],[Market]]/L$4</f>
        <v>-0.15044269245198927</v>
      </c>
      <c r="G122" s="1">
        <f>L$24*Data__2[[#This Row],[Return Market]]*J$4</f>
        <v>-8.3579273584438578</v>
      </c>
      <c r="H122" s="1">
        <f>M$24*Data__2[[#This Row],[Return Market]]*K$4</f>
        <v>-8.7758237263660526</v>
      </c>
      <c r="I122" s="1"/>
      <c r="J122" s="1"/>
      <c r="K122" s="1"/>
      <c r="L122" s="1"/>
      <c r="M122" s="1"/>
    </row>
    <row r="123" spans="1:13">
      <c r="A123" s="1">
        <v>-22.097836882741525</v>
      </c>
      <c r="B123" s="1">
        <v>-16.45017355307003</v>
      </c>
      <c r="C123" s="1">
        <v>-96.378014556107047</v>
      </c>
      <c r="D123" s="24">
        <f>Data__2[[#This Row],[Project_1]]/J$4</f>
        <v>-0.14731891255161017</v>
      </c>
      <c r="E123" s="24">
        <f>Data__2[[#This Row],[Project_2]]/K$4</f>
        <v>-0.10966782368713353</v>
      </c>
      <c r="F123" s="24">
        <f>Data__2[[#This Row],[Market]]/L$4</f>
        <v>-9.6378014556107047E-2</v>
      </c>
      <c r="G123" s="1">
        <f>L$24*Data__2[[#This Row],[Return Market]]*J$4</f>
        <v>-5.3543341420059534</v>
      </c>
      <c r="H123" s="1">
        <f>M$24*Data__2[[#This Row],[Return Market]]*K$4</f>
        <v>-5.6220508491062517</v>
      </c>
      <c r="I123" s="1"/>
      <c r="J123" s="1"/>
      <c r="K123" s="1"/>
      <c r="L123" s="1"/>
      <c r="M123" s="1"/>
    </row>
    <row r="124" spans="1:13">
      <c r="A124" s="1">
        <v>42.995163476381592</v>
      </c>
      <c r="B124" s="1">
        <v>43.203404527859234</v>
      </c>
      <c r="C124" s="1">
        <v>306.11205534907526</v>
      </c>
      <c r="D124" s="24">
        <f>Data__2[[#This Row],[Project_1]]/J$4</f>
        <v>0.28663442317587728</v>
      </c>
      <c r="E124" s="24">
        <f>Data__2[[#This Row],[Project_2]]/K$4</f>
        <v>0.2880226968523949</v>
      </c>
      <c r="F124" s="24">
        <f>Data__2[[#This Row],[Market]]/L$4</f>
        <v>0.30611205534907526</v>
      </c>
      <c r="G124" s="1">
        <f>L$24*Data__2[[#This Row],[Return Market]]*J$4</f>
        <v>17.006225297170868</v>
      </c>
      <c r="H124" s="1">
        <f>M$24*Data__2[[#This Row],[Return Market]]*K$4</f>
        <v>17.856536562029412</v>
      </c>
      <c r="I124" s="1"/>
      <c r="J124" s="1"/>
      <c r="K124" s="1"/>
      <c r="L124" s="1"/>
      <c r="M124" s="1"/>
    </row>
    <row r="125" spans="1:13">
      <c r="A125" s="1">
        <v>27.644370679616642</v>
      </c>
      <c r="B125" s="1">
        <v>40.501512996078837</v>
      </c>
      <c r="C125" s="1">
        <v>309.38831393966302</v>
      </c>
      <c r="D125" s="24">
        <f>Data__2[[#This Row],[Project_1]]/J$4</f>
        <v>0.18429580453077762</v>
      </c>
      <c r="E125" s="24">
        <f>Data__2[[#This Row],[Project_2]]/K$4</f>
        <v>0.27001008664052556</v>
      </c>
      <c r="F125" s="24">
        <f>Data__2[[#This Row],[Market]]/L$4</f>
        <v>0.30938831393966304</v>
      </c>
      <c r="G125" s="1">
        <f>L$24*Data__2[[#This Row],[Return Market]]*J$4</f>
        <v>17.188239663314633</v>
      </c>
      <c r="H125" s="1">
        <f>M$24*Data__2[[#This Row],[Return Market]]*K$4</f>
        <v>18.047651646480368</v>
      </c>
      <c r="I125" s="1"/>
      <c r="J125" s="1"/>
      <c r="K125" s="1"/>
      <c r="L125" s="1"/>
      <c r="M125" s="1"/>
    </row>
    <row r="126" spans="1:13">
      <c r="A126" s="1">
        <v>2.0735595242868232</v>
      </c>
      <c r="B126" s="1">
        <v>-8.6355224732975238</v>
      </c>
      <c r="C126" s="1">
        <v>-71.337155639379631</v>
      </c>
      <c r="D126" s="24">
        <f>Data__2[[#This Row],[Project_1]]/J$4</f>
        <v>1.3823730161912155E-2</v>
      </c>
      <c r="E126" s="24">
        <f>Data__2[[#This Row],[Project_2]]/K$4</f>
        <v>-5.7570149821983489E-2</v>
      </c>
      <c r="F126" s="24">
        <f>Data__2[[#This Row],[Market]]/L$4</f>
        <v>-7.1337155639379632E-2</v>
      </c>
      <c r="G126" s="1">
        <f>L$24*Data__2[[#This Row],[Return Market]]*J$4</f>
        <v>-3.9631753132988732</v>
      </c>
      <c r="H126" s="1">
        <f>M$24*Data__2[[#This Row],[Return Market]]*K$4</f>
        <v>-4.1613340789638178</v>
      </c>
      <c r="I126" s="1"/>
      <c r="J126" s="1"/>
      <c r="K126" s="1"/>
      <c r="L126" s="1"/>
      <c r="M126" s="1"/>
    </row>
    <row r="127" spans="1:13">
      <c r="A127" s="1">
        <v>-0.79162312168213056</v>
      </c>
      <c r="B127" s="1">
        <v>20.111017988085397</v>
      </c>
      <c r="C127" s="1">
        <v>151.56970635669992</v>
      </c>
      <c r="D127" s="24">
        <f>Data__2[[#This Row],[Project_1]]/J$4</f>
        <v>-5.2774874778808703E-3</v>
      </c>
      <c r="E127" s="24">
        <f>Data__2[[#This Row],[Project_2]]/K$4</f>
        <v>0.13407345325390266</v>
      </c>
      <c r="F127" s="24">
        <f>Data__2[[#This Row],[Market]]/L$4</f>
        <v>0.15156970635669992</v>
      </c>
      <c r="G127" s="1">
        <f>L$24*Data__2[[#This Row],[Return Market]]*J$4</f>
        <v>8.4205392420388936</v>
      </c>
      <c r="H127" s="1">
        <f>M$24*Data__2[[#This Row],[Return Market]]*K$4</f>
        <v>8.8415662041408396</v>
      </c>
      <c r="I127" s="1"/>
      <c r="J127" s="1"/>
      <c r="K127" s="1"/>
      <c r="L127" s="1"/>
      <c r="M127" s="1"/>
    </row>
    <row r="128" spans="1:13">
      <c r="A128" s="1">
        <v>-10.418023673932097</v>
      </c>
      <c r="B128" s="1">
        <v>-10.896561540246495</v>
      </c>
      <c r="C128" s="1">
        <v>-52.601769157012825</v>
      </c>
      <c r="D128" s="24">
        <f>Data__2[[#This Row],[Project_1]]/J$4</f>
        <v>-6.9453491159547312E-2</v>
      </c>
      <c r="E128" s="24">
        <f>Data__2[[#This Row],[Project_2]]/K$4</f>
        <v>-7.2643743601643301E-2</v>
      </c>
      <c r="F128" s="24">
        <f>Data__2[[#This Row],[Market]]/L$4</f>
        <v>-5.2601769157012826E-2</v>
      </c>
      <c r="G128" s="1">
        <f>L$24*Data__2[[#This Row],[Return Market]]*J$4</f>
        <v>-2.922320508722938</v>
      </c>
      <c r="H128" s="1">
        <f>M$24*Data__2[[#This Row],[Return Market]]*K$4</f>
        <v>-3.0684365341590851</v>
      </c>
      <c r="I128" s="1"/>
      <c r="J128" s="1"/>
      <c r="K128" s="1"/>
      <c r="L128" s="1"/>
      <c r="M128" s="1"/>
    </row>
    <row r="129" spans="1:13">
      <c r="A129" s="1">
        <v>-2.1629394864327853</v>
      </c>
      <c r="B129" s="1">
        <v>19.111079267975214</v>
      </c>
      <c r="C129" s="1">
        <v>339.01249407633031</v>
      </c>
      <c r="D129" s="24">
        <f>Data__2[[#This Row],[Project_1]]/J$4</f>
        <v>-1.4419596576218569E-2</v>
      </c>
      <c r="E129" s="24">
        <f>Data__2[[#This Row],[Project_2]]/K$4</f>
        <v>0.12740719511983475</v>
      </c>
      <c r="F129" s="24">
        <f>Data__2[[#This Row],[Market]]/L$4</f>
        <v>0.33901249407633033</v>
      </c>
      <c r="G129" s="1">
        <f>L$24*Data__2[[#This Row],[Return Market]]*J$4</f>
        <v>18.834027448685038</v>
      </c>
      <c r="H129" s="1">
        <f>M$24*Data__2[[#This Row],[Return Market]]*K$4</f>
        <v>19.775728821119298</v>
      </c>
      <c r="I129" s="1"/>
      <c r="J129" s="1"/>
      <c r="K129" s="1"/>
      <c r="L129" s="1"/>
      <c r="M129" s="1"/>
    </row>
    <row r="130" spans="1:13">
      <c r="A130" s="1">
        <v>9.3645240571871273</v>
      </c>
      <c r="B130" s="1">
        <v>18.544972925133102</v>
      </c>
      <c r="C130" s="1">
        <v>360.53567662641547</v>
      </c>
      <c r="D130" s="24">
        <f>Data__2[[#This Row],[Project_1]]/J$4</f>
        <v>6.2430160381247518E-2</v>
      </c>
      <c r="E130" s="24">
        <f>Data__2[[#This Row],[Project_2]]/K$4</f>
        <v>0.12363315283422067</v>
      </c>
      <c r="F130" s="24">
        <f>Data__2[[#This Row],[Market]]/L$4</f>
        <v>0.36053567662641545</v>
      </c>
      <c r="G130" s="1">
        <f>L$24*Data__2[[#This Row],[Return Market]]*J$4</f>
        <v>20.029759812578657</v>
      </c>
      <c r="H130" s="1">
        <f>M$24*Data__2[[#This Row],[Return Market]]*K$4</f>
        <v>21.031247803207595</v>
      </c>
      <c r="I130" s="1"/>
      <c r="J130" s="1"/>
      <c r="K130" s="1"/>
      <c r="L130" s="1"/>
      <c r="M130" s="1"/>
    </row>
    <row r="131" spans="1:13">
      <c r="A131" s="1">
        <v>1.7562683317794381</v>
      </c>
      <c r="B131" s="1">
        <v>-13.653698349765634</v>
      </c>
      <c r="C131" s="1">
        <v>88.362449831474109</v>
      </c>
      <c r="D131" s="24">
        <f>Data__2[[#This Row],[Project_1]]/J$4</f>
        <v>1.1708455545196254E-2</v>
      </c>
      <c r="E131" s="24">
        <f>Data__2[[#This Row],[Project_2]]/K$4</f>
        <v>-9.1024655665104218E-2</v>
      </c>
      <c r="F131" s="24">
        <f>Data__2[[#This Row],[Market]]/L$4</f>
        <v>8.8362449831474107E-2</v>
      </c>
      <c r="G131" s="1">
        <f>L$24*Data__2[[#This Row],[Return Market]]*J$4</f>
        <v>4.9090249906374561</v>
      </c>
      <c r="H131" s="1">
        <f>M$24*Data__2[[#This Row],[Return Market]]*K$4</f>
        <v>5.1544762401693296</v>
      </c>
      <c r="I131" s="1"/>
      <c r="J131" s="1"/>
      <c r="K131" s="1"/>
      <c r="L131" s="1"/>
      <c r="M131" s="1"/>
    </row>
    <row r="132" spans="1:13">
      <c r="A132" s="1">
        <v>-8.4994559130111575</v>
      </c>
      <c r="B132" s="1">
        <v>7.1079015312277143</v>
      </c>
      <c r="C132" s="1">
        <v>53.091954836320021</v>
      </c>
      <c r="D132" s="24">
        <f>Data__2[[#This Row],[Project_1]]/J$4</f>
        <v>-5.6663039420074383E-2</v>
      </c>
      <c r="E132" s="24">
        <f>Data__2[[#This Row],[Project_2]]/K$4</f>
        <v>4.738601020818476E-2</v>
      </c>
      <c r="F132" s="24">
        <f>Data__2[[#This Row],[Market]]/L$4</f>
        <v>5.3091954836320024E-2</v>
      </c>
      <c r="G132" s="1">
        <f>L$24*Data__2[[#This Row],[Return Market]]*J$4</f>
        <v>2.9495530464622268</v>
      </c>
      <c r="H132" s="1">
        <f>M$24*Data__2[[#This Row],[Return Market]]*K$4</f>
        <v>3.0970306987853391</v>
      </c>
      <c r="I132" s="1"/>
      <c r="J132" s="1"/>
      <c r="K132" s="1"/>
      <c r="L132" s="1"/>
      <c r="M132" s="1"/>
    </row>
    <row r="133" spans="1:13">
      <c r="A133" s="1">
        <v>14.855635935192819</v>
      </c>
      <c r="B133" s="1">
        <v>14.136502018609075</v>
      </c>
      <c r="C133" s="1">
        <v>34.520037167622817</v>
      </c>
      <c r="D133" s="24">
        <f>Data__2[[#This Row],[Project_1]]/J$4</f>
        <v>9.9037572901285453E-2</v>
      </c>
      <c r="E133" s="24">
        <f>Data__2[[#This Row],[Project_2]]/K$4</f>
        <v>9.424334679072717E-2</v>
      </c>
      <c r="F133" s="24">
        <f>Data__2[[#This Row],[Market]]/L$4</f>
        <v>3.4520037167622815E-2</v>
      </c>
      <c r="G133" s="1">
        <f>L$24*Data__2[[#This Row],[Return Market]]*J$4</f>
        <v>1.9177798426457142</v>
      </c>
      <c r="H133" s="1">
        <f>M$24*Data__2[[#This Row],[Return Market]]*K$4</f>
        <v>2.0136688347780001</v>
      </c>
      <c r="I133" s="1"/>
      <c r="J133" s="1"/>
      <c r="K133" s="1"/>
      <c r="L133" s="1"/>
      <c r="M133" s="1"/>
    </row>
    <row r="134" spans="1:13">
      <c r="A134" s="1">
        <v>10.843585987542506</v>
      </c>
      <c r="B134" s="1">
        <v>8.7769121939780348</v>
      </c>
      <c r="C134" s="1">
        <v>43.165055155759703</v>
      </c>
      <c r="D134" s="24">
        <f>Data__2[[#This Row],[Project_1]]/J$4</f>
        <v>7.2290573250283374E-2</v>
      </c>
      <c r="E134" s="24">
        <f>Data__2[[#This Row],[Project_2]]/K$4</f>
        <v>5.8512747959853569E-2</v>
      </c>
      <c r="F134" s="24">
        <f>Data__2[[#This Row],[Market]]/L$4</f>
        <v>4.3165055155759705E-2</v>
      </c>
      <c r="G134" s="1">
        <f>L$24*Data__2[[#This Row],[Return Market]]*J$4</f>
        <v>2.3980586197644307</v>
      </c>
      <c r="H134" s="1">
        <f>M$24*Data__2[[#This Row],[Return Market]]*K$4</f>
        <v>2.5179615507526529</v>
      </c>
      <c r="I134" s="1"/>
      <c r="J134" s="1"/>
      <c r="K134" s="1"/>
      <c r="L134" s="1"/>
      <c r="M134" s="1"/>
    </row>
    <row r="135" spans="1:13">
      <c r="A135" s="1">
        <v>25.630593645495729</v>
      </c>
      <c r="B135" s="1">
        <v>24.535511324658216</v>
      </c>
      <c r="C135" s="1">
        <v>129.03968606441811</v>
      </c>
      <c r="D135" s="24">
        <f>Data__2[[#This Row],[Project_1]]/J$4</f>
        <v>0.17087062430330485</v>
      </c>
      <c r="E135" s="24">
        <f>Data__2[[#This Row],[Project_2]]/K$4</f>
        <v>0.16357007549772143</v>
      </c>
      <c r="F135" s="24">
        <f>Data__2[[#This Row],[Market]]/L$4</f>
        <v>0.1290396860644181</v>
      </c>
      <c r="G135" s="1">
        <f>L$24*Data__2[[#This Row],[Return Market]]*J$4</f>
        <v>7.1688714480232356</v>
      </c>
      <c r="H135" s="1">
        <f>M$24*Data__2[[#This Row],[Return Market]]*K$4</f>
        <v>7.5273150204243988</v>
      </c>
      <c r="I135" s="1"/>
      <c r="J135" s="1"/>
      <c r="K135" s="1"/>
      <c r="L135" s="1"/>
      <c r="M135" s="1"/>
    </row>
    <row r="136" spans="1:13">
      <c r="A136" s="1">
        <v>8.0347374472107873</v>
      </c>
      <c r="B136" s="1">
        <v>-9.6351515974563142</v>
      </c>
      <c r="C136" s="1">
        <v>34.136139449712054</v>
      </c>
      <c r="D136" s="24">
        <f>Data__2[[#This Row],[Project_1]]/J$4</f>
        <v>5.356491631473858E-2</v>
      </c>
      <c r="E136" s="24">
        <f>Data__2[[#This Row],[Project_2]]/K$4</f>
        <v>-6.4234343983042091E-2</v>
      </c>
      <c r="F136" s="24">
        <f>Data__2[[#This Row],[Market]]/L$4</f>
        <v>3.4136139449712055E-2</v>
      </c>
      <c r="G136" s="1">
        <f>L$24*Data__2[[#This Row],[Return Market]]*J$4</f>
        <v>1.8964521916506718</v>
      </c>
      <c r="H136" s="1">
        <f>M$24*Data__2[[#This Row],[Return Market]]*K$4</f>
        <v>1.9912748012332058</v>
      </c>
      <c r="I136" s="1"/>
      <c r="J136" s="1"/>
      <c r="K136" s="1"/>
      <c r="L136" s="1"/>
      <c r="M136" s="1"/>
    </row>
    <row r="137" spans="1:13">
      <c r="A137" s="1">
        <v>-28.921294436940606</v>
      </c>
      <c r="B137" s="1">
        <v>-10.811289904200287</v>
      </c>
      <c r="C137" s="1">
        <v>26.721477319353326</v>
      </c>
      <c r="D137" s="24">
        <f>Data__2[[#This Row],[Project_1]]/J$4</f>
        <v>-0.19280862957960404</v>
      </c>
      <c r="E137" s="24">
        <f>Data__2[[#This Row],[Project_2]]/K$4</f>
        <v>-7.2075266028001905E-2</v>
      </c>
      <c r="F137" s="24">
        <f>Data__2[[#This Row],[Market]]/L$4</f>
        <v>2.6721477319353325E-2</v>
      </c>
      <c r="G137" s="1">
        <f>L$24*Data__2[[#This Row],[Return Market]]*J$4</f>
        <v>1.4845265177418532</v>
      </c>
      <c r="H137" s="1">
        <f>M$24*Data__2[[#This Row],[Return Market]]*K$4</f>
        <v>1.5587528436289459</v>
      </c>
      <c r="I137" s="1"/>
      <c r="J137" s="1"/>
      <c r="K137" s="1"/>
      <c r="L137" s="1"/>
      <c r="M137" s="1"/>
    </row>
    <row r="138" spans="1:13">
      <c r="A138" s="1">
        <v>-0.47580638274817666</v>
      </c>
      <c r="B138" s="1">
        <v>-2.0722317061085338</v>
      </c>
      <c r="C138" s="1">
        <v>-77.761297114555475</v>
      </c>
      <c r="D138" s="24">
        <f>Data__2[[#This Row],[Project_1]]/J$4</f>
        <v>-3.1720425516545111E-3</v>
      </c>
      <c r="E138" s="24">
        <f>Data__2[[#This Row],[Project_2]]/K$4</f>
        <v>-1.3814878040723559E-2</v>
      </c>
      <c r="F138" s="24">
        <f>Data__2[[#This Row],[Market]]/L$4</f>
        <v>-7.7761297114555469E-2</v>
      </c>
      <c r="G138" s="1">
        <f>L$24*Data__2[[#This Row],[Return Market]]*J$4</f>
        <v>-4.3200720619197535</v>
      </c>
      <c r="H138" s="1">
        <f>M$24*Data__2[[#This Row],[Return Market]]*K$4</f>
        <v>-4.5360756650157414</v>
      </c>
      <c r="I138" s="1"/>
      <c r="J138" s="1"/>
      <c r="K138" s="1"/>
      <c r="L138" s="1"/>
      <c r="M138" s="1"/>
    </row>
    <row r="139" spans="1:13">
      <c r="A139" s="1">
        <v>15.472253982322687</v>
      </c>
      <c r="B139" s="1">
        <v>25.213127829927618</v>
      </c>
      <c r="C139" s="1">
        <v>24.076595315331758</v>
      </c>
      <c r="D139" s="24">
        <f>Data__2[[#This Row],[Project_1]]/J$4</f>
        <v>0.10314835988215125</v>
      </c>
      <c r="E139" s="24">
        <f>Data__2[[#This Row],[Project_2]]/K$4</f>
        <v>0.16808751886618412</v>
      </c>
      <c r="F139" s="24">
        <f>Data__2[[#This Row],[Market]]/L$4</f>
        <v>2.407659531533176E-2</v>
      </c>
      <c r="G139" s="1">
        <f>L$24*Data__2[[#This Row],[Return Market]]*J$4</f>
        <v>1.3375886286295438</v>
      </c>
      <c r="H139" s="1">
        <f>M$24*Data__2[[#This Row],[Return Market]]*K$4</f>
        <v>1.4044680600610211</v>
      </c>
      <c r="I139" s="1"/>
      <c r="J139" s="1"/>
      <c r="K139" s="1"/>
      <c r="L139" s="1"/>
      <c r="M139" s="1"/>
    </row>
    <row r="140" spans="1:13">
      <c r="A140" s="1">
        <v>-7.0710696748715272</v>
      </c>
      <c r="B140" s="1">
        <v>4.8545601152612123</v>
      </c>
      <c r="C140" s="1">
        <v>22.412684115765742</v>
      </c>
      <c r="D140" s="24">
        <f>Data__2[[#This Row],[Project_1]]/J$4</f>
        <v>-4.7140464499143511E-2</v>
      </c>
      <c r="E140" s="24">
        <f>Data__2[[#This Row],[Project_2]]/K$4</f>
        <v>3.2363734101741419E-2</v>
      </c>
      <c r="F140" s="24">
        <f>Data__2[[#This Row],[Market]]/L$4</f>
        <v>2.2412684115765743E-2</v>
      </c>
      <c r="G140" s="1">
        <f>L$24*Data__2[[#This Row],[Return Market]]*J$4</f>
        <v>1.2451491175425429</v>
      </c>
      <c r="H140" s="1">
        <f>M$24*Data__2[[#This Row],[Return Market]]*K$4</f>
        <v>1.30740657341967</v>
      </c>
      <c r="I140" s="1"/>
      <c r="J140" s="1"/>
      <c r="K140" s="1"/>
      <c r="L140" s="1"/>
      <c r="M140" s="1"/>
    </row>
    <row r="141" spans="1:13">
      <c r="A141" s="1">
        <v>-9.7614002310944983</v>
      </c>
      <c r="B141" s="1">
        <v>-5.0924705473653447</v>
      </c>
      <c r="C141" s="1">
        <v>34.363236624409083</v>
      </c>
      <c r="D141" s="24">
        <f>Data__2[[#This Row],[Project_1]]/J$4</f>
        <v>-6.5076001540629994E-2</v>
      </c>
      <c r="E141" s="24">
        <f>Data__2[[#This Row],[Project_2]]/K$4</f>
        <v>-3.39498036491023E-2</v>
      </c>
      <c r="F141" s="24">
        <f>Data__2[[#This Row],[Market]]/L$4</f>
        <v>3.4363236624409085E-2</v>
      </c>
      <c r="G141" s="1">
        <f>L$24*Data__2[[#This Row],[Return Market]]*J$4</f>
        <v>1.9090687013560625</v>
      </c>
      <c r="H141" s="1">
        <f>M$24*Data__2[[#This Row],[Return Market]]*K$4</f>
        <v>2.0045221364238661</v>
      </c>
      <c r="I141" s="1"/>
      <c r="J141" s="1"/>
      <c r="K141" s="1"/>
      <c r="L141" s="1"/>
      <c r="M141" s="1"/>
    </row>
    <row r="142" spans="1:13">
      <c r="A142" s="1">
        <v>29.484863681781629</v>
      </c>
      <c r="B142" s="1">
        <v>24.737137961206727</v>
      </c>
      <c r="C142" s="1">
        <v>343.35172721516892</v>
      </c>
      <c r="D142" s="24">
        <f>Data__2[[#This Row],[Project_1]]/J$4</f>
        <v>0.19656575787854419</v>
      </c>
      <c r="E142" s="24">
        <f>Data__2[[#This Row],[Project_2]]/K$4</f>
        <v>0.16491425307471153</v>
      </c>
      <c r="F142" s="24">
        <f>Data__2[[#This Row],[Market]]/L$4</f>
        <v>0.34335172721516893</v>
      </c>
      <c r="G142" s="1">
        <f>L$24*Data__2[[#This Row],[Return Market]]*J$4</f>
        <v>19.075095956398297</v>
      </c>
      <c r="H142" s="1">
        <f>M$24*Data__2[[#This Row],[Return Market]]*K$4</f>
        <v>20.028850754218215</v>
      </c>
      <c r="I142" s="1"/>
      <c r="J142" s="1"/>
      <c r="K142" s="1"/>
      <c r="L142" s="1"/>
      <c r="M142" s="1"/>
    </row>
    <row r="143" spans="1:13">
      <c r="A143" s="1">
        <v>18.894265575287001</v>
      </c>
      <c r="B143" s="1">
        <v>34.109484317275133</v>
      </c>
      <c r="C143" s="1">
        <v>208.2252690875786</v>
      </c>
      <c r="D143" s="24">
        <f>Data__2[[#This Row],[Project_1]]/J$4</f>
        <v>0.12596177050191334</v>
      </c>
      <c r="E143" s="24">
        <f>Data__2[[#This Row],[Project_2]]/K$4</f>
        <v>0.22739656211516754</v>
      </c>
      <c r="F143" s="24">
        <f>Data__2[[#This Row],[Market]]/L$4</f>
        <v>0.2082252690875786</v>
      </c>
      <c r="G143" s="1">
        <f>L$24*Data__2[[#This Row],[Return Market]]*J$4</f>
        <v>11.56807050486549</v>
      </c>
      <c r="H143" s="1">
        <f>M$24*Data__2[[#This Row],[Return Market]]*K$4</f>
        <v>12.146474030108767</v>
      </c>
      <c r="I143" s="1"/>
      <c r="J143" s="1"/>
      <c r="K143" s="1"/>
      <c r="L143" s="1"/>
      <c r="M143" s="1"/>
    </row>
    <row r="144" spans="1:13">
      <c r="A144" s="1">
        <v>4.3712452191022297</v>
      </c>
      <c r="B144" s="1">
        <v>3.9858280739899126</v>
      </c>
      <c r="C144" s="1">
        <v>-121.19476611155548</v>
      </c>
      <c r="D144" s="24">
        <f>Data__2[[#This Row],[Project_1]]/J$4</f>
        <v>2.9141634794014864E-2</v>
      </c>
      <c r="E144" s="24">
        <f>Data__2[[#This Row],[Project_2]]/K$4</f>
        <v>2.6572187159932752E-2</v>
      </c>
      <c r="F144" s="24">
        <f>Data__2[[#This Row],[Market]]/L$4</f>
        <v>-0.12119476611155548</v>
      </c>
      <c r="G144" s="1">
        <f>L$24*Data__2[[#This Row],[Return Market]]*J$4</f>
        <v>-6.7330425617530905</v>
      </c>
      <c r="H144" s="1">
        <f>M$24*Data__2[[#This Row],[Return Market]]*K$4</f>
        <v>-7.0696946898407456</v>
      </c>
      <c r="I144" s="1"/>
      <c r="J144" s="1"/>
      <c r="K144" s="1"/>
      <c r="L144" s="1"/>
      <c r="M144" s="1"/>
    </row>
    <row r="145" spans="1:13">
      <c r="A145" s="1">
        <v>-14.149524054298436</v>
      </c>
      <c r="B145" s="1">
        <v>14.235581890468884</v>
      </c>
      <c r="C145" s="1">
        <v>206.69791798718327</v>
      </c>
      <c r="D145" s="24">
        <f>Data__2[[#This Row],[Project_1]]/J$4</f>
        <v>-9.4330160361989573E-2</v>
      </c>
      <c r="E145" s="24">
        <f>Data__2[[#This Row],[Project_2]]/K$4</f>
        <v>9.490387926979256E-2</v>
      </c>
      <c r="F145" s="24">
        <f>Data__2[[#This Row],[Market]]/L$4</f>
        <v>0.20669791798718326</v>
      </c>
      <c r="G145" s="1">
        <f>L$24*Data__2[[#This Row],[Return Market]]*J$4</f>
        <v>11.483217665954637</v>
      </c>
      <c r="H145" s="1">
        <f>M$24*Data__2[[#This Row],[Return Market]]*K$4</f>
        <v>12.057378549252373</v>
      </c>
      <c r="I145" s="1"/>
      <c r="J145" s="1"/>
      <c r="K145" s="1"/>
      <c r="L145" s="1"/>
      <c r="M145" s="1"/>
    </row>
    <row r="146" spans="1:13">
      <c r="A146" s="1">
        <v>10.135366258387887</v>
      </c>
      <c r="B146" s="1">
        <v>19.890788104366358</v>
      </c>
      <c r="C146" s="1">
        <v>400.52509598626546</v>
      </c>
      <c r="D146" s="24">
        <f>Data__2[[#This Row],[Project_1]]/J$4</f>
        <v>6.7569108389252577E-2</v>
      </c>
      <c r="E146" s="24">
        <f>Data__2[[#This Row],[Project_2]]/K$4</f>
        <v>0.13260525402910905</v>
      </c>
      <c r="F146" s="24">
        <f>Data__2[[#This Row],[Market]]/L$4</f>
        <v>0.40052509598626546</v>
      </c>
      <c r="G146" s="1">
        <f>L$24*Data__2[[#This Row],[Return Market]]*J$4</f>
        <v>22.251394221459218</v>
      </c>
      <c r="H146" s="1">
        <f>M$24*Data__2[[#This Row],[Return Market]]*K$4</f>
        <v>23.36396393253218</v>
      </c>
      <c r="I146" s="1"/>
      <c r="J146" s="1"/>
      <c r="K146" s="1"/>
      <c r="L146" s="1"/>
      <c r="M146" s="1"/>
    </row>
    <row r="147" spans="1:13">
      <c r="A147" s="1">
        <v>58.29234796284878</v>
      </c>
      <c r="B147" s="1">
        <v>26.964372995399259</v>
      </c>
      <c r="C147" s="1">
        <v>181.73406135195918</v>
      </c>
      <c r="D147" s="24">
        <f>Data__2[[#This Row],[Project_1]]/J$4</f>
        <v>0.38861565308565854</v>
      </c>
      <c r="E147" s="24">
        <f>Data__2[[#This Row],[Project_2]]/K$4</f>
        <v>0.17976248663599506</v>
      </c>
      <c r="F147" s="24">
        <f>Data__2[[#This Row],[Market]]/L$4</f>
        <v>0.18173406135195919</v>
      </c>
      <c r="G147" s="1">
        <f>L$24*Data__2[[#This Row],[Return Market]]*J$4</f>
        <v>10.096336741775522</v>
      </c>
      <c r="H147" s="1">
        <f>M$24*Data__2[[#This Row],[Return Market]]*K$4</f>
        <v>10.601153578864299</v>
      </c>
      <c r="I147" s="1"/>
      <c r="J147" s="1"/>
      <c r="K147" s="1"/>
      <c r="L147" s="1"/>
      <c r="M147" s="1"/>
    </row>
    <row r="148" spans="1:13">
      <c r="A148" s="1">
        <v>30.03257215209285</v>
      </c>
      <c r="B148" s="1">
        <v>25.917701345813327</v>
      </c>
      <c r="C148" s="1">
        <v>-82.547523242703676</v>
      </c>
      <c r="D148" s="24">
        <f>Data__2[[#This Row],[Project_1]]/J$4</f>
        <v>0.20021714768061899</v>
      </c>
      <c r="E148" s="24">
        <f>Data__2[[#This Row],[Project_2]]/K$4</f>
        <v>0.17278467563875552</v>
      </c>
      <c r="F148" s="24">
        <f>Data__2[[#This Row],[Market]]/L$4</f>
        <v>-8.2547523242703674E-2</v>
      </c>
      <c r="G148" s="1">
        <f>L$24*Data__2[[#This Row],[Return Market]]*J$4</f>
        <v>-4.5859735134835429</v>
      </c>
      <c r="H148" s="1">
        <f>M$24*Data__2[[#This Row],[Return Market]]*K$4</f>
        <v>-4.8152721891577208</v>
      </c>
      <c r="I148" s="1"/>
      <c r="J148" s="1"/>
      <c r="K148" s="1"/>
      <c r="L148" s="1"/>
      <c r="M148" s="1"/>
    </row>
    <row r="149" spans="1:13">
      <c r="A149" s="1">
        <v>19.333652361765665</v>
      </c>
      <c r="B149" s="1">
        <v>18.995556387889245</v>
      </c>
      <c r="C149" s="1">
        <v>150.92252845831138</v>
      </c>
      <c r="D149" s="24">
        <f>Data__2[[#This Row],[Project_1]]/J$4</f>
        <v>0.12889101574510445</v>
      </c>
      <c r="E149" s="24">
        <f>Data__2[[#This Row],[Project_2]]/K$4</f>
        <v>0.12663704258592831</v>
      </c>
      <c r="F149" s="24">
        <f>Data__2[[#This Row],[Market]]/L$4</f>
        <v>0.15092252845831139</v>
      </c>
      <c r="G149" s="1">
        <f>L$24*Data__2[[#This Row],[Return Market]]*J$4</f>
        <v>8.3845849143506417</v>
      </c>
      <c r="H149" s="1">
        <f>M$24*Data__2[[#This Row],[Return Market]]*K$4</f>
        <v>8.8038141600681747</v>
      </c>
      <c r="I149" s="1"/>
      <c r="J149" s="1"/>
      <c r="K149" s="1"/>
      <c r="L149" s="1"/>
      <c r="M149" s="1"/>
    </row>
    <row r="150" spans="1:13">
      <c r="A150" s="1">
        <v>7.8326235326379372</v>
      </c>
      <c r="B150" s="1">
        <v>18.077755168323986</v>
      </c>
      <c r="C150" s="1">
        <v>306.09417839523002</v>
      </c>
      <c r="D150" s="24">
        <f>Data__2[[#This Row],[Project_1]]/J$4</f>
        <v>5.2217490217586246E-2</v>
      </c>
      <c r="E150" s="24">
        <f>Data__2[[#This Row],[Project_2]]/K$4</f>
        <v>0.12051836778882657</v>
      </c>
      <c r="F150" s="24">
        <f>Data__2[[#This Row],[Market]]/L$4</f>
        <v>0.30609417839523001</v>
      </c>
      <c r="G150" s="1">
        <f>L$24*Data__2[[#This Row],[Return Market]]*J$4</f>
        <v>17.005232133068354</v>
      </c>
      <c r="H150" s="1">
        <f>M$24*Data__2[[#This Row],[Return Market]]*K$4</f>
        <v>17.855493739721773</v>
      </c>
      <c r="I150" s="1"/>
      <c r="J150" s="1"/>
      <c r="K150" s="1"/>
      <c r="L150" s="1"/>
      <c r="M150" s="1"/>
    </row>
    <row r="151" spans="1:13">
      <c r="A151" s="1">
        <v>7.5828874623695768</v>
      </c>
      <c r="B151" s="1">
        <v>13.993886676708367</v>
      </c>
      <c r="C151" s="1">
        <v>84.302255359652179</v>
      </c>
      <c r="D151" s="24">
        <f>Data__2[[#This Row],[Project_1]]/J$4</f>
        <v>5.0552583082463846E-2</v>
      </c>
      <c r="E151" s="24">
        <f>Data__2[[#This Row],[Project_2]]/K$4</f>
        <v>9.3292577844722446E-2</v>
      </c>
      <c r="F151" s="24">
        <f>Data__2[[#This Row],[Market]]/L$4</f>
        <v>8.4302255359652176E-2</v>
      </c>
      <c r="G151" s="1">
        <f>L$24*Data__2[[#This Row],[Return Market]]*J$4</f>
        <v>4.6834586310917929</v>
      </c>
      <c r="H151" s="1">
        <f>M$24*Data__2[[#This Row],[Return Market]]*K$4</f>
        <v>4.9176315626463829</v>
      </c>
      <c r="I151" s="1"/>
      <c r="J151" s="1"/>
      <c r="K151" s="1"/>
      <c r="L151" s="1"/>
      <c r="M151" s="1"/>
    </row>
    <row r="152" spans="1:13">
      <c r="A152" s="1">
        <v>3.4648435654411029</v>
      </c>
      <c r="B152" s="1">
        <v>16.992396814892544</v>
      </c>
      <c r="C152" s="1">
        <v>128.5602063961787</v>
      </c>
      <c r="D152" s="24">
        <f>Data__2[[#This Row],[Project_1]]/J$4</f>
        <v>2.3098957102940687E-2</v>
      </c>
      <c r="E152" s="24">
        <f>Data__2[[#This Row],[Project_2]]/K$4</f>
        <v>0.11328264543261696</v>
      </c>
      <c r="F152" s="24">
        <f>Data__2[[#This Row],[Market]]/L$4</f>
        <v>0.12856020639617871</v>
      </c>
      <c r="G152" s="1">
        <f>L$24*Data__2[[#This Row],[Return Market]]*J$4</f>
        <v>7.1422336886766038</v>
      </c>
      <c r="H152" s="1">
        <f>M$24*Data__2[[#This Row],[Return Market]]*K$4</f>
        <v>7.4993453731104349</v>
      </c>
      <c r="I152" s="1"/>
      <c r="J152" s="1"/>
      <c r="K152" s="1"/>
      <c r="L152" s="1"/>
      <c r="M152" s="1"/>
    </row>
    <row r="153" spans="1:13">
      <c r="A153" s="1">
        <v>30.345495098327042</v>
      </c>
      <c r="B153" s="1">
        <v>16.523334023477826</v>
      </c>
      <c r="C153" s="1">
        <v>283.40033740156781</v>
      </c>
      <c r="D153" s="24">
        <f>Data__2[[#This Row],[Project_1]]/J$4</f>
        <v>0.20230330065551361</v>
      </c>
      <c r="E153" s="24">
        <f>Data__2[[#This Row],[Project_2]]/K$4</f>
        <v>0.11015556015651884</v>
      </c>
      <c r="F153" s="24">
        <f>Data__2[[#This Row],[Market]]/L$4</f>
        <v>0.28340033740156784</v>
      </c>
      <c r="G153" s="1">
        <f>L$24*Data__2[[#This Row],[Return Market]]*J$4</f>
        <v>15.74446318897601</v>
      </c>
      <c r="H153" s="1">
        <f>M$24*Data__2[[#This Row],[Return Market]]*K$4</f>
        <v>16.531686348424813</v>
      </c>
      <c r="I153" s="1"/>
      <c r="J153" s="1"/>
      <c r="K153" s="1"/>
      <c r="L153" s="1"/>
      <c r="M153" s="1"/>
    </row>
    <row r="154" spans="1:13">
      <c r="A154" s="1">
        <v>-4.2520315681444103</v>
      </c>
      <c r="B154" s="1">
        <v>-13.446315054013539</v>
      </c>
      <c r="C154" s="1">
        <v>-18.895863602436592</v>
      </c>
      <c r="D154" s="24">
        <f>Data__2[[#This Row],[Project_1]]/J$4</f>
        <v>-2.8346877120962736E-2</v>
      </c>
      <c r="E154" s="24">
        <f>Data__2[[#This Row],[Project_2]]/K$4</f>
        <v>-8.9642100360090252E-2</v>
      </c>
      <c r="F154" s="24">
        <f>Data__2[[#This Row],[Market]]/L$4</f>
        <v>-1.8895863602436593E-2</v>
      </c>
      <c r="G154" s="1">
        <f>L$24*Data__2[[#This Row],[Return Market]]*J$4</f>
        <v>-1.0497702001353675</v>
      </c>
      <c r="H154" s="1">
        <f>M$24*Data__2[[#This Row],[Return Market]]*K$4</f>
        <v>-1.1022587101421359</v>
      </c>
      <c r="I154" s="1"/>
      <c r="J154" s="1"/>
      <c r="K154" s="1"/>
      <c r="L154" s="1"/>
      <c r="M154" s="1"/>
    </row>
    <row r="155" spans="1:13">
      <c r="A155" s="1">
        <v>44.69066272224088</v>
      </c>
      <c r="B155" s="1">
        <v>24.558296031976852</v>
      </c>
      <c r="C155" s="1">
        <v>149.31395106801881</v>
      </c>
      <c r="D155" s="24">
        <f>Data__2[[#This Row],[Project_1]]/J$4</f>
        <v>0.29793775148160589</v>
      </c>
      <c r="E155" s="24">
        <f>Data__2[[#This Row],[Project_2]]/K$4</f>
        <v>0.16372197354651236</v>
      </c>
      <c r="F155" s="24">
        <f>Data__2[[#This Row],[Market]]/L$4</f>
        <v>0.14931395106801881</v>
      </c>
      <c r="G155" s="1">
        <f>L$24*Data__2[[#This Row],[Return Market]]*J$4</f>
        <v>8.2952195037788332</v>
      </c>
      <c r="H155" s="1">
        <f>M$24*Data__2[[#This Row],[Return Market]]*K$4</f>
        <v>8.7099804789677755</v>
      </c>
      <c r="I155" s="1"/>
      <c r="J155" s="1"/>
      <c r="K155" s="1"/>
      <c r="L155" s="1"/>
      <c r="M155" s="1"/>
    </row>
    <row r="156" spans="1:13">
      <c r="A156" s="1">
        <v>30.873215765231699</v>
      </c>
      <c r="B156" s="1">
        <v>16.064666707975434</v>
      </c>
      <c r="C156" s="1">
        <v>331.3180131477107</v>
      </c>
      <c r="D156" s="24">
        <f>Data__2[[#This Row],[Project_1]]/J$4</f>
        <v>0.20582143843487799</v>
      </c>
      <c r="E156" s="24">
        <f>Data__2[[#This Row],[Project_2]]/K$4</f>
        <v>0.10709777805316956</v>
      </c>
      <c r="F156" s="24">
        <f>Data__2[[#This Row],[Market]]/L$4</f>
        <v>0.3313180131477107</v>
      </c>
      <c r="G156" s="1">
        <f>L$24*Data__2[[#This Row],[Return Market]]*J$4</f>
        <v>18.40655628598395</v>
      </c>
      <c r="H156" s="1">
        <f>M$24*Data__2[[#This Row],[Return Market]]*K$4</f>
        <v>19.326884100283152</v>
      </c>
      <c r="I156" s="1"/>
      <c r="J156" s="1"/>
      <c r="K156" s="1"/>
      <c r="L156" s="1"/>
      <c r="M156" s="1"/>
    </row>
    <row r="157" spans="1:13">
      <c r="A157" s="1">
        <v>2.1996965029322553</v>
      </c>
      <c r="B157" s="1">
        <v>18.719777996713717</v>
      </c>
      <c r="C157" s="1">
        <v>232.46971243232673</v>
      </c>
      <c r="D157" s="24">
        <f>Data__2[[#This Row],[Project_1]]/J$4</f>
        <v>1.4664643352881701E-2</v>
      </c>
      <c r="E157" s="24">
        <f>Data__2[[#This Row],[Project_2]]/K$4</f>
        <v>0.12479851997809144</v>
      </c>
      <c r="F157" s="24">
        <f>Data__2[[#This Row],[Market]]/L$4</f>
        <v>0.23246971243232672</v>
      </c>
      <c r="G157" s="1">
        <f>L$24*Data__2[[#This Row],[Return Market]]*J$4</f>
        <v>12.914984024018166</v>
      </c>
      <c r="H157" s="1">
        <f>M$24*Data__2[[#This Row],[Return Market]]*K$4</f>
        <v>13.560733225219078</v>
      </c>
      <c r="I157" s="1"/>
      <c r="J157" s="1"/>
      <c r="K157" s="1"/>
      <c r="L157" s="1"/>
      <c r="M157" s="1"/>
    </row>
    <row r="158" spans="1:13">
      <c r="A158" s="1">
        <v>-18.140949558744833</v>
      </c>
      <c r="B158" s="1">
        <v>-10.90685110015048</v>
      </c>
      <c r="C158" s="1">
        <v>-167.6712775551859</v>
      </c>
      <c r="D158" s="24">
        <f>Data__2[[#This Row],[Project_1]]/J$4</f>
        <v>-0.12093966372496555</v>
      </c>
      <c r="E158" s="24">
        <f>Data__2[[#This Row],[Project_2]]/K$4</f>
        <v>-7.2712340667669864E-2</v>
      </c>
      <c r="F158" s="24">
        <f>Data__2[[#This Row],[Market]]/L$4</f>
        <v>-0.1676712775551859</v>
      </c>
      <c r="G158" s="1">
        <f>L$24*Data__2[[#This Row],[Return Market]]*J$4</f>
        <v>-9.3150709752881173</v>
      </c>
      <c r="H158" s="1">
        <f>M$24*Data__2[[#This Row],[Return Market]]*K$4</f>
        <v>-9.7808245240525249</v>
      </c>
      <c r="I158" s="1"/>
      <c r="J158" s="1"/>
      <c r="K158" s="1"/>
      <c r="L158" s="1"/>
      <c r="M158" s="1"/>
    </row>
    <row r="159" spans="1:13">
      <c r="A159" s="1">
        <v>14.84690166610109</v>
      </c>
      <c r="B159" s="1">
        <v>11.647857644438709</v>
      </c>
      <c r="C159" s="1">
        <v>385.91257730255387</v>
      </c>
      <c r="D159" s="24">
        <f>Data__2[[#This Row],[Project_1]]/J$4</f>
        <v>9.8979344440673925E-2</v>
      </c>
      <c r="E159" s="24">
        <f>Data__2[[#This Row],[Project_2]]/K$4</f>
        <v>7.7652384296258065E-2</v>
      </c>
      <c r="F159" s="24">
        <f>Data__2[[#This Row],[Market]]/L$4</f>
        <v>0.38591257730255385</v>
      </c>
      <c r="G159" s="1">
        <f>L$24*Data__2[[#This Row],[Return Market]]*J$4</f>
        <v>21.439587627919682</v>
      </c>
      <c r="H159" s="1">
        <f>M$24*Data__2[[#This Row],[Return Market]]*K$4</f>
        <v>22.511567009315669</v>
      </c>
      <c r="I159" s="1"/>
      <c r="J159" s="1"/>
      <c r="K159" s="1"/>
      <c r="L159" s="1"/>
      <c r="M159" s="1"/>
    </row>
    <row r="160" spans="1:13">
      <c r="A160" s="1">
        <v>-9.7211078223483298</v>
      </c>
      <c r="B160" s="1">
        <v>-0.99434033231443131</v>
      </c>
      <c r="C160" s="1">
        <v>-179.36127442402812</v>
      </c>
      <c r="D160" s="24">
        <f>Data__2[[#This Row],[Project_1]]/J$4</f>
        <v>-6.4807385482322205E-2</v>
      </c>
      <c r="E160" s="24">
        <f>Data__2[[#This Row],[Project_2]]/K$4</f>
        <v>-6.6289355487628753E-3</v>
      </c>
      <c r="F160" s="24">
        <f>Data__2[[#This Row],[Market]]/L$4</f>
        <v>-0.17936127442402813</v>
      </c>
      <c r="G160" s="1">
        <f>L$24*Data__2[[#This Row],[Return Market]]*J$4</f>
        <v>-9.9645152457793511</v>
      </c>
      <c r="H160" s="1">
        <f>M$24*Data__2[[#This Row],[Return Market]]*K$4</f>
        <v>-10.462741008068322</v>
      </c>
      <c r="I160" s="1"/>
      <c r="J160" s="1"/>
      <c r="K160" s="1"/>
      <c r="L160" s="1"/>
      <c r="M160" s="1"/>
    </row>
    <row r="161" spans="1:13">
      <c r="A161" s="1">
        <v>46.145489679452382</v>
      </c>
      <c r="B161" s="1">
        <v>16.006630188242788</v>
      </c>
      <c r="C161" s="1">
        <v>-20.796320138138086</v>
      </c>
      <c r="D161" s="24">
        <f>Data__2[[#This Row],[Project_1]]/J$4</f>
        <v>0.30763659786301589</v>
      </c>
      <c r="E161" s="24">
        <f>Data__2[[#This Row],[Project_2]]/K$4</f>
        <v>0.10671086792161859</v>
      </c>
      <c r="F161" s="24">
        <f>Data__2[[#This Row],[Market]]/L$4</f>
        <v>-2.0796320138138084E-2</v>
      </c>
      <c r="G161" s="1">
        <f>L$24*Data__2[[#This Row],[Return Market]]*J$4</f>
        <v>-1.1553511187854504</v>
      </c>
      <c r="H161" s="1">
        <f>M$24*Data__2[[#This Row],[Return Market]]*K$4</f>
        <v>-1.2131186747247231</v>
      </c>
      <c r="I161" s="1"/>
      <c r="J161" s="1"/>
      <c r="K161" s="1"/>
      <c r="L161" s="1"/>
      <c r="M161" s="1"/>
    </row>
    <row r="162" spans="1:13">
      <c r="A162" s="1">
        <v>-11.516150097942372</v>
      </c>
      <c r="B162" s="1">
        <v>-5.0334520968239698</v>
      </c>
      <c r="C162" s="1">
        <v>-13.277815778410712</v>
      </c>
      <c r="D162" s="24">
        <f>Data__2[[#This Row],[Project_1]]/J$4</f>
        <v>-7.6774333986282486E-2</v>
      </c>
      <c r="E162" s="24">
        <f>Data__2[[#This Row],[Project_2]]/K$4</f>
        <v>-3.3556347312159798E-2</v>
      </c>
      <c r="F162" s="24">
        <f>Data__2[[#This Row],[Market]]/L$4</f>
        <v>-1.3277815778410713E-2</v>
      </c>
      <c r="G162" s="1">
        <f>L$24*Data__2[[#This Row],[Return Market]]*J$4</f>
        <v>-0.7376564321339294</v>
      </c>
      <c r="H162" s="1">
        <f>M$24*Data__2[[#This Row],[Return Market]]*K$4</f>
        <v>-0.77453925374062593</v>
      </c>
      <c r="I162" s="1"/>
      <c r="J162" s="1"/>
      <c r="K162" s="1"/>
      <c r="L162" s="1"/>
      <c r="M162" s="1"/>
    </row>
    <row r="163" spans="1:13">
      <c r="A163" s="1">
        <v>-5.1236838196712426</v>
      </c>
      <c r="B163" s="1">
        <v>3.9594353803268021</v>
      </c>
      <c r="C163" s="1">
        <v>-195.17464901630296</v>
      </c>
      <c r="D163" s="24">
        <f>Data__2[[#This Row],[Project_1]]/J$4</f>
        <v>-3.4157892131141621E-2</v>
      </c>
      <c r="E163" s="24">
        <f>Data__2[[#This Row],[Project_2]]/K$4</f>
        <v>2.6396235868845347E-2</v>
      </c>
      <c r="F163" s="24">
        <f>Data__2[[#This Row],[Market]]/L$4</f>
        <v>-0.19517464901630296</v>
      </c>
      <c r="G163" s="1">
        <f>L$24*Data__2[[#This Row],[Return Market]]*J$4</f>
        <v>-10.843036056461287</v>
      </c>
      <c r="H163" s="1">
        <f>M$24*Data__2[[#This Row],[Return Market]]*K$4</f>
        <v>-11.385187859284354</v>
      </c>
      <c r="I163" s="1"/>
      <c r="J163" s="1"/>
      <c r="K163" s="1"/>
      <c r="L163" s="1"/>
      <c r="M163" s="1"/>
    </row>
    <row r="164" spans="1:13">
      <c r="A164" s="1">
        <v>12.1351182915968</v>
      </c>
      <c r="B164" s="1">
        <v>9.5738339788790903</v>
      </c>
      <c r="C164" s="1">
        <v>143.20244311385659</v>
      </c>
      <c r="D164" s="24">
        <f>Data__2[[#This Row],[Project_1]]/J$4</f>
        <v>8.0900788610645341E-2</v>
      </c>
      <c r="E164" s="24">
        <f>Data__2[[#This Row],[Project_2]]/K$4</f>
        <v>6.3825559859193928E-2</v>
      </c>
      <c r="F164" s="24">
        <f>Data__2[[#This Row],[Market]]/L$4</f>
        <v>0.14320244311385658</v>
      </c>
      <c r="G164" s="1">
        <f>L$24*Data__2[[#This Row],[Return Market]]*J$4</f>
        <v>7.9556912841031524</v>
      </c>
      <c r="H164" s="1">
        <f>M$24*Data__2[[#This Row],[Return Market]]*K$4</f>
        <v>8.353475848308312</v>
      </c>
      <c r="I164" s="1"/>
      <c r="J164" s="1"/>
      <c r="K164" s="1"/>
      <c r="L164" s="1"/>
      <c r="M164" s="1"/>
    </row>
    <row r="165" spans="1:13">
      <c r="A165" s="1">
        <v>-9.3286447158471191</v>
      </c>
      <c r="B165" s="1">
        <v>13.133840459539588</v>
      </c>
      <c r="C165" s="1">
        <v>-2.9415151258121028</v>
      </c>
      <c r="D165" s="24">
        <f>Data__2[[#This Row],[Project_1]]/J$4</f>
        <v>-6.2190964772314124E-2</v>
      </c>
      <c r="E165" s="24">
        <f>Data__2[[#This Row],[Project_2]]/K$4</f>
        <v>8.7558936396930589E-2</v>
      </c>
      <c r="F165" s="24">
        <f>Data__2[[#This Row],[Market]]/L$4</f>
        <v>-2.9415151258121029E-3</v>
      </c>
      <c r="G165" s="1">
        <f>L$24*Data__2[[#This Row],[Return Market]]*J$4</f>
        <v>-0.16341750698956148</v>
      </c>
      <c r="H165" s="1">
        <f>M$24*Data__2[[#This Row],[Return Market]]*K$4</f>
        <v>-0.17158838233903959</v>
      </c>
      <c r="I165" s="1"/>
      <c r="J165" s="1"/>
      <c r="K165" s="1"/>
      <c r="L165" s="1"/>
      <c r="M165" s="1"/>
    </row>
    <row r="166" spans="1:13">
      <c r="A166" s="1">
        <v>-19.023469269842579</v>
      </c>
      <c r="B166" s="1">
        <v>1.9668931956587361</v>
      </c>
      <c r="C166" s="1">
        <v>-68.759167039979474</v>
      </c>
      <c r="D166" s="24">
        <f>Data__2[[#This Row],[Project_1]]/J$4</f>
        <v>-0.12682312846561719</v>
      </c>
      <c r="E166" s="24">
        <f>Data__2[[#This Row],[Project_2]]/K$4</f>
        <v>1.3112621304391574E-2</v>
      </c>
      <c r="F166" s="24">
        <f>Data__2[[#This Row],[Market]]/L$4</f>
        <v>-6.8759167039979474E-2</v>
      </c>
      <c r="G166" s="1">
        <f>L$24*Data__2[[#This Row],[Return Market]]*J$4</f>
        <v>-3.8199537244433084</v>
      </c>
      <c r="H166" s="1">
        <f>M$24*Data__2[[#This Row],[Return Market]]*K$4</f>
        <v>-4.0109514106654744</v>
      </c>
      <c r="I166" s="1"/>
      <c r="J166" s="1"/>
      <c r="K166" s="1"/>
      <c r="L166" s="1"/>
      <c r="M166" s="1"/>
    </row>
    <row r="167" spans="1:13">
      <c r="A167" s="1">
        <v>46.749250656496486</v>
      </c>
      <c r="B167" s="1">
        <v>27.505921086635631</v>
      </c>
      <c r="C167" s="1">
        <v>402.40166475277499</v>
      </c>
      <c r="D167" s="24">
        <f>Data__2[[#This Row],[Project_1]]/J$4</f>
        <v>0.31166167104330988</v>
      </c>
      <c r="E167" s="24">
        <f>Data__2[[#This Row],[Project_2]]/K$4</f>
        <v>0.18337280724423755</v>
      </c>
      <c r="F167" s="24">
        <f>Data__2[[#This Row],[Market]]/L$4</f>
        <v>0.402401664752775</v>
      </c>
      <c r="G167" s="1">
        <f>L$24*Data__2[[#This Row],[Return Market]]*J$4</f>
        <v>22.355648041820857</v>
      </c>
      <c r="H167" s="1">
        <f>M$24*Data__2[[#This Row],[Return Market]]*K$4</f>
        <v>23.473430443911905</v>
      </c>
      <c r="I167" s="1"/>
      <c r="J167" s="1"/>
      <c r="K167" s="1"/>
      <c r="L167" s="1"/>
      <c r="M167" s="1"/>
    </row>
    <row r="168" spans="1:13">
      <c r="A168" s="1">
        <v>6.6042672380448657</v>
      </c>
      <c r="B168" s="1">
        <v>10.749573301220366</v>
      </c>
      <c r="C168" s="1">
        <v>-122.03333152366332</v>
      </c>
      <c r="D168" s="24">
        <f>Data__2[[#This Row],[Project_1]]/J$4</f>
        <v>4.4028448253632439E-2</v>
      </c>
      <c r="E168" s="24">
        <f>Data__2[[#This Row],[Project_2]]/K$4</f>
        <v>7.1663822008135772E-2</v>
      </c>
      <c r="F168" s="24">
        <f>Data__2[[#This Row],[Market]]/L$4</f>
        <v>-0.12203333152366332</v>
      </c>
      <c r="G168" s="1">
        <f>L$24*Data__2[[#This Row],[Return Market]]*J$4</f>
        <v>-6.7796295290924142</v>
      </c>
      <c r="H168" s="1">
        <f>M$24*Data__2[[#This Row],[Return Market]]*K$4</f>
        <v>-7.1186110055470362</v>
      </c>
      <c r="I168" s="1"/>
      <c r="J168" s="1"/>
      <c r="K168" s="1"/>
      <c r="L168" s="1"/>
      <c r="M168" s="1"/>
    </row>
    <row r="169" spans="1:13">
      <c r="A169" s="1">
        <v>46.529473603221263</v>
      </c>
      <c r="B169" s="1">
        <v>39.470782829756118</v>
      </c>
      <c r="C169" s="1">
        <v>371.87303875974027</v>
      </c>
      <c r="D169" s="24">
        <f>Data__2[[#This Row],[Project_1]]/J$4</f>
        <v>0.31019649068814176</v>
      </c>
      <c r="E169" s="24">
        <f>Data__2[[#This Row],[Project_2]]/K$4</f>
        <v>0.26313855219837412</v>
      </c>
      <c r="F169" s="24">
        <f>Data__2[[#This Row],[Market]]/L$4</f>
        <v>0.37187303875974026</v>
      </c>
      <c r="G169" s="1">
        <f>L$24*Data__2[[#This Row],[Return Market]]*J$4</f>
        <v>20.659613264430039</v>
      </c>
      <c r="H169" s="1">
        <f>M$24*Data__2[[#This Row],[Return Market]]*K$4</f>
        <v>21.692593927651544</v>
      </c>
      <c r="I169" s="1"/>
      <c r="J169" s="1"/>
      <c r="K169" s="1"/>
      <c r="L169" s="1"/>
      <c r="M169" s="1"/>
    </row>
    <row r="170" spans="1:13">
      <c r="A170" s="1">
        <v>0.27931999504730776</v>
      </c>
      <c r="B170" s="1">
        <v>5.9826410250534483</v>
      </c>
      <c r="C170" s="1">
        <v>170.01487309172262</v>
      </c>
      <c r="D170" s="24">
        <f>Data__2[[#This Row],[Project_1]]/J$4</f>
        <v>1.8621333003153849E-3</v>
      </c>
      <c r="E170" s="24">
        <f>Data__2[[#This Row],[Project_2]]/K$4</f>
        <v>3.9884273500356324E-2</v>
      </c>
      <c r="F170" s="24">
        <f>Data__2[[#This Row],[Market]]/L$4</f>
        <v>0.17001487309172261</v>
      </c>
      <c r="G170" s="1">
        <f>L$24*Data__2[[#This Row],[Return Market]]*J$4</f>
        <v>9.4452707273179328</v>
      </c>
      <c r="H170" s="1">
        <f>M$24*Data__2[[#This Row],[Return Market]]*K$4</f>
        <v>9.917534263683832</v>
      </c>
      <c r="I170" s="1"/>
      <c r="J170" s="1"/>
      <c r="K170" s="1"/>
      <c r="L170" s="1"/>
      <c r="M170" s="1"/>
    </row>
    <row r="171" spans="1:13">
      <c r="A171" s="1">
        <v>26.201293428739284</v>
      </c>
      <c r="B171" s="1">
        <v>9.2961557383097073</v>
      </c>
      <c r="C171" s="1">
        <v>21.212777838786664</v>
      </c>
      <c r="D171" s="24">
        <f>Data__2[[#This Row],[Project_1]]/J$4</f>
        <v>0.17467528952492856</v>
      </c>
      <c r="E171" s="24">
        <f>Data__2[[#This Row],[Project_2]]/K$4</f>
        <v>6.1974371588731383E-2</v>
      </c>
      <c r="F171" s="24">
        <f>Data__2[[#This Row],[Market]]/L$4</f>
        <v>2.1212777838786664E-2</v>
      </c>
      <c r="G171" s="1">
        <f>L$24*Data__2[[#This Row],[Return Market]]*J$4</f>
        <v>1.1784876577103716</v>
      </c>
      <c r="H171" s="1">
        <f>M$24*Data__2[[#This Row],[Return Market]]*K$4</f>
        <v>1.2374120405958902</v>
      </c>
      <c r="I171" s="1"/>
      <c r="J171" s="1"/>
      <c r="K171" s="1"/>
      <c r="L171" s="1"/>
      <c r="M171" s="1"/>
    </row>
    <row r="172" spans="1:13">
      <c r="A172" s="1">
        <v>56.888560534484583</v>
      </c>
      <c r="B172" s="1">
        <v>13.154301284316338</v>
      </c>
      <c r="C172" s="1">
        <v>129.70254273735782</v>
      </c>
      <c r="D172" s="24">
        <f>Data__2[[#This Row],[Project_1]]/J$4</f>
        <v>0.37925707022989724</v>
      </c>
      <c r="E172" s="24">
        <f>Data__2[[#This Row],[Project_2]]/K$4</f>
        <v>8.7695341895442258E-2</v>
      </c>
      <c r="F172" s="24">
        <f>Data__2[[#This Row],[Market]]/L$4</f>
        <v>0.12970254273735782</v>
      </c>
      <c r="G172" s="1">
        <f>L$24*Data__2[[#This Row],[Return Market]]*J$4</f>
        <v>7.2056968187421093</v>
      </c>
      <c r="H172" s="1">
        <f>M$24*Data__2[[#This Row],[Return Market]]*K$4</f>
        <v>7.565981659679216</v>
      </c>
      <c r="I172" s="1"/>
      <c r="J172" s="1"/>
      <c r="K172" s="1"/>
      <c r="L172" s="1"/>
      <c r="M172" s="1"/>
    </row>
    <row r="173" spans="1:13">
      <c r="A173" s="1">
        <v>2.6032089112313326</v>
      </c>
      <c r="B173" s="1">
        <v>-1.4270882057491523</v>
      </c>
      <c r="C173" s="1">
        <v>-81.887719142048013</v>
      </c>
      <c r="D173" s="24">
        <f>Data__2[[#This Row],[Project_1]]/J$4</f>
        <v>1.7354726074875551E-2</v>
      </c>
      <c r="E173" s="24">
        <f>Data__2[[#This Row],[Project_2]]/K$4</f>
        <v>-9.513921371661016E-3</v>
      </c>
      <c r="F173" s="24">
        <f>Data__2[[#This Row],[Market]]/L$4</f>
        <v>-8.188771914204801E-2</v>
      </c>
      <c r="G173" s="1">
        <f>L$24*Data__2[[#This Row],[Return Market]]*J$4</f>
        <v>-4.549317730113783</v>
      </c>
      <c r="H173" s="1">
        <f>M$24*Data__2[[#This Row],[Return Market]]*K$4</f>
        <v>-4.7767836166194737</v>
      </c>
      <c r="I173" s="1"/>
      <c r="J173" s="1"/>
      <c r="K173" s="1"/>
      <c r="L173" s="1"/>
      <c r="M173" s="1"/>
    </row>
    <row r="174" spans="1:13">
      <c r="A174" s="1">
        <v>2.6759180619430847</v>
      </c>
      <c r="B174" s="1">
        <v>3.3795921142608236</v>
      </c>
      <c r="C174" s="1">
        <v>260.56443033964337</v>
      </c>
      <c r="D174" s="24">
        <f>Data__2[[#This Row],[Project_1]]/J$4</f>
        <v>1.7839453746287232E-2</v>
      </c>
      <c r="E174" s="24">
        <f>Data__2[[#This Row],[Project_2]]/K$4</f>
        <v>2.2530614095072156E-2</v>
      </c>
      <c r="F174" s="24">
        <f>Data__2[[#This Row],[Market]]/L$4</f>
        <v>0.26056443033964338</v>
      </c>
      <c r="G174" s="1">
        <f>L$24*Data__2[[#This Row],[Return Market]]*J$4</f>
        <v>14.47580168553576</v>
      </c>
      <c r="H174" s="1">
        <f>M$24*Data__2[[#This Row],[Return Market]]*K$4</f>
        <v>15.19959176981255</v>
      </c>
      <c r="I174" s="1"/>
      <c r="J174" s="1"/>
      <c r="K174" s="1"/>
      <c r="L174" s="1"/>
      <c r="M174" s="1"/>
    </row>
    <row r="175" spans="1:13">
      <c r="A175" s="1">
        <v>-2.6591715574300192</v>
      </c>
      <c r="B175" s="1">
        <v>24.877637019758545</v>
      </c>
      <c r="C175" s="1">
        <v>61.045489002284945</v>
      </c>
      <c r="D175" s="24">
        <f>Data__2[[#This Row],[Project_1]]/J$4</f>
        <v>-1.7727810382866794E-2</v>
      </c>
      <c r="E175" s="24">
        <f>Data__2[[#This Row],[Project_2]]/K$4</f>
        <v>0.16585091346505695</v>
      </c>
      <c r="F175" s="24">
        <f>Data__2[[#This Row],[Market]]/L$4</f>
        <v>6.1045489002284944E-2</v>
      </c>
      <c r="G175" s="1">
        <f>L$24*Data__2[[#This Row],[Return Market]]*J$4</f>
        <v>3.3914160556825008</v>
      </c>
      <c r="H175" s="1">
        <f>M$24*Data__2[[#This Row],[Return Market]]*K$4</f>
        <v>3.5609868584666264</v>
      </c>
      <c r="I175" s="1"/>
      <c r="J175" s="1"/>
      <c r="K175" s="1"/>
      <c r="L175" s="1"/>
      <c r="M175" s="1"/>
    </row>
    <row r="176" spans="1:13">
      <c r="A176" s="1">
        <v>8.4137136857209729</v>
      </c>
      <c r="B176" s="1">
        <v>8.3399785916111693</v>
      </c>
      <c r="C176" s="1">
        <v>37.565333708478711</v>
      </c>
      <c r="D176" s="24">
        <f>Data__2[[#This Row],[Project_1]]/J$4</f>
        <v>5.6091424571473154E-2</v>
      </c>
      <c r="E176" s="24">
        <f>Data__2[[#This Row],[Project_2]]/K$4</f>
        <v>5.5599857277407794E-2</v>
      </c>
      <c r="F176" s="24">
        <f>Data__2[[#This Row],[Market]]/L$4</f>
        <v>3.7565333708478713E-2</v>
      </c>
      <c r="G176" s="1">
        <f>L$24*Data__2[[#This Row],[Return Market]]*J$4</f>
        <v>2.0869629838043755</v>
      </c>
      <c r="H176" s="1">
        <f>M$24*Data__2[[#This Row],[Return Market]]*K$4</f>
        <v>2.1913111329945947</v>
      </c>
      <c r="I176" s="1"/>
      <c r="J176" s="1"/>
      <c r="K176" s="1"/>
      <c r="L176" s="1"/>
      <c r="M176" s="1"/>
    </row>
    <row r="177" spans="1:13">
      <c r="A177" s="1">
        <v>-1.1832248493027073</v>
      </c>
      <c r="B177" s="1">
        <v>-11.401284435747158</v>
      </c>
      <c r="C177" s="1">
        <v>-1.8905844675121131</v>
      </c>
      <c r="D177" s="24">
        <f>Data__2[[#This Row],[Project_1]]/J$4</f>
        <v>-7.8881656620180488E-3</v>
      </c>
      <c r="E177" s="24">
        <f>Data__2[[#This Row],[Project_2]]/K$4</f>
        <v>-7.600856290498105E-2</v>
      </c>
      <c r="F177" s="24">
        <f>Data__2[[#This Row],[Market]]/L$4</f>
        <v>-1.8905844675121131E-3</v>
      </c>
      <c r="G177" s="1">
        <f>L$24*Data__2[[#This Row],[Return Market]]*J$4</f>
        <v>-0.10503247041733973</v>
      </c>
      <c r="H177" s="1">
        <f>M$24*Data__2[[#This Row],[Return Market]]*K$4</f>
        <v>-0.11028409393820673</v>
      </c>
      <c r="I177" s="1"/>
      <c r="J177" s="1"/>
      <c r="K177" s="1"/>
      <c r="L177" s="1"/>
      <c r="M177" s="1"/>
    </row>
    <row r="178" spans="1:13">
      <c r="A178" s="1">
        <v>31.910424661534666</v>
      </c>
      <c r="B178" s="1">
        <v>27.506620684242318</v>
      </c>
      <c r="C178" s="1">
        <v>179.2337762908582</v>
      </c>
      <c r="D178" s="24">
        <f>Data__2[[#This Row],[Project_1]]/J$4</f>
        <v>0.2127361644102311</v>
      </c>
      <c r="E178" s="24">
        <f>Data__2[[#This Row],[Project_2]]/K$4</f>
        <v>0.18337747122828213</v>
      </c>
      <c r="F178" s="24">
        <f>Data__2[[#This Row],[Market]]/L$4</f>
        <v>0.17923377629085821</v>
      </c>
      <c r="G178" s="1">
        <f>L$24*Data__2[[#This Row],[Return Market]]*J$4</f>
        <v>9.9574320161587995</v>
      </c>
      <c r="H178" s="1">
        <f>M$24*Data__2[[#This Row],[Return Market]]*K$4</f>
        <v>10.455303616966743</v>
      </c>
      <c r="I178" s="1"/>
      <c r="J178" s="1"/>
      <c r="K178" s="1"/>
      <c r="L178" s="1"/>
      <c r="M178" s="1"/>
    </row>
    <row r="179" spans="1:13">
      <c r="A179" s="1">
        <v>-18.650027446251087</v>
      </c>
      <c r="B179" s="1">
        <v>7.3879688119611808</v>
      </c>
      <c r="C179" s="1">
        <v>151.70170395267994</v>
      </c>
      <c r="D179" s="24">
        <f>Data__2[[#This Row],[Project_1]]/J$4</f>
        <v>-0.12433351630834058</v>
      </c>
      <c r="E179" s="24">
        <f>Data__2[[#This Row],[Project_2]]/K$4</f>
        <v>4.9253125413074542E-2</v>
      </c>
      <c r="F179" s="24">
        <f>Data__2[[#This Row],[Market]]/L$4</f>
        <v>0.15170170395267993</v>
      </c>
      <c r="G179" s="1">
        <f>L$24*Data__2[[#This Row],[Return Market]]*J$4</f>
        <v>8.4278724418155608</v>
      </c>
      <c r="H179" s="1">
        <f>M$24*Data__2[[#This Row],[Return Market]]*K$4</f>
        <v>8.8492660639063399</v>
      </c>
      <c r="I179" s="1"/>
      <c r="J179" s="1"/>
      <c r="K179" s="1"/>
      <c r="L179" s="1"/>
      <c r="M179" s="1"/>
    </row>
    <row r="180" spans="1:13">
      <c r="A180" s="1">
        <v>8.1346348561608881</v>
      </c>
      <c r="B180" s="1">
        <v>30.016329529834302</v>
      </c>
      <c r="C180" s="1">
        <v>205.57773054591351</v>
      </c>
      <c r="D180" s="24">
        <f>Data__2[[#This Row],[Project_1]]/J$4</f>
        <v>5.4230899041072589E-2</v>
      </c>
      <c r="E180" s="24">
        <f>Data__2[[#This Row],[Project_2]]/K$4</f>
        <v>0.20010886353222868</v>
      </c>
      <c r="F180" s="24">
        <f>Data__2[[#This Row],[Market]]/L$4</f>
        <v>0.20557773054591352</v>
      </c>
      <c r="G180" s="1">
        <f>L$24*Data__2[[#This Row],[Return Market]]*J$4</f>
        <v>11.420985030328541</v>
      </c>
      <c r="H180" s="1">
        <f>M$24*Data__2[[#This Row],[Return Market]]*K$4</f>
        <v>11.992034281844971</v>
      </c>
      <c r="I180" s="1"/>
      <c r="J180" s="1"/>
      <c r="K180" s="1"/>
      <c r="L180" s="1"/>
      <c r="M180" s="1"/>
    </row>
    <row r="181" spans="1:13">
      <c r="A181" s="1">
        <v>33.694730654973895</v>
      </c>
      <c r="B181" s="1">
        <v>18.554951027740287</v>
      </c>
      <c r="C181" s="1">
        <v>87.521573268061459</v>
      </c>
      <c r="D181" s="24">
        <f>Data__2[[#This Row],[Project_1]]/J$4</f>
        <v>0.22463153769982597</v>
      </c>
      <c r="E181" s="24">
        <f>Data__2[[#This Row],[Project_2]]/K$4</f>
        <v>0.12369967351826858</v>
      </c>
      <c r="F181" s="24">
        <f>Data__2[[#This Row],[Market]]/L$4</f>
        <v>8.7521573268061453E-2</v>
      </c>
      <c r="G181" s="1">
        <f>L$24*Data__2[[#This Row],[Return Market]]*J$4</f>
        <v>4.8623096260034204</v>
      </c>
      <c r="H181" s="1">
        <f>M$24*Data__2[[#This Row],[Return Market]]*K$4</f>
        <v>5.1054251073035912</v>
      </c>
      <c r="I181" s="1"/>
      <c r="J181" s="1"/>
      <c r="K181" s="1"/>
      <c r="L181" s="1"/>
      <c r="M181" s="1"/>
    </row>
    <row r="182" spans="1:13">
      <c r="A182" s="1">
        <v>21.43786904713712</v>
      </c>
      <c r="B182" s="1">
        <v>35.840930676795779</v>
      </c>
      <c r="C182" s="1">
        <v>499.58998002654835</v>
      </c>
      <c r="D182" s="24">
        <f>Data__2[[#This Row],[Project_1]]/J$4</f>
        <v>0.14291912698091414</v>
      </c>
      <c r="E182" s="24">
        <f>Data__2[[#This Row],[Project_2]]/K$4</f>
        <v>0.23893953784530519</v>
      </c>
      <c r="F182" s="24">
        <f>Data__2[[#This Row],[Market]]/L$4</f>
        <v>0.49958998002654836</v>
      </c>
      <c r="G182" s="1">
        <f>L$24*Data__2[[#This Row],[Return Market]]*J$4</f>
        <v>27.754998890363829</v>
      </c>
      <c r="H182" s="1">
        <f>M$24*Data__2[[#This Row],[Return Market]]*K$4</f>
        <v>29.142748834882024</v>
      </c>
      <c r="I182" s="1"/>
      <c r="J182" s="1"/>
      <c r="K182" s="1"/>
      <c r="L182" s="1"/>
      <c r="M182" s="1"/>
    </row>
    <row r="183" spans="1:13">
      <c r="A183" s="1">
        <v>-6.6060312246090191</v>
      </c>
      <c r="B183" s="1">
        <v>-8.8987224926872059</v>
      </c>
      <c r="C183" s="1">
        <v>-49.425958546373721</v>
      </c>
      <c r="D183" s="24">
        <f>Data__2[[#This Row],[Project_1]]/J$4</f>
        <v>-4.4040208164060131E-2</v>
      </c>
      <c r="E183" s="24">
        <f>Data__2[[#This Row],[Project_2]]/K$4</f>
        <v>-5.9324816617914708E-2</v>
      </c>
      <c r="F183" s="24">
        <f>Data__2[[#This Row],[Market]]/L$4</f>
        <v>-4.9425958546373723E-2</v>
      </c>
      <c r="G183" s="1">
        <f>L$24*Data__2[[#This Row],[Return Market]]*J$4</f>
        <v>-2.7458865859096546</v>
      </c>
      <c r="H183" s="1">
        <f>M$24*Data__2[[#This Row],[Return Market]]*K$4</f>
        <v>-2.8831809152051378</v>
      </c>
      <c r="I183" s="1"/>
      <c r="J183" s="1"/>
      <c r="K183" s="1"/>
      <c r="L183" s="1"/>
      <c r="M183" s="1"/>
    </row>
    <row r="184" spans="1:13">
      <c r="A184" s="1">
        <v>16.152416989072297</v>
      </c>
      <c r="B184" s="1">
        <v>9.6560438599601657</v>
      </c>
      <c r="C184" s="1">
        <v>80.421697978276143</v>
      </c>
      <c r="D184" s="24">
        <f>Data__2[[#This Row],[Project_1]]/J$4</f>
        <v>0.10768277992714864</v>
      </c>
      <c r="E184" s="24">
        <f>Data__2[[#This Row],[Project_2]]/K$4</f>
        <v>6.4373625733067777E-2</v>
      </c>
      <c r="F184" s="24">
        <f>Data__2[[#This Row],[Market]]/L$4</f>
        <v>8.0421697978276141E-2</v>
      </c>
      <c r="G184" s="1">
        <f>L$24*Data__2[[#This Row],[Return Market]]*J$4</f>
        <v>4.4678721099042358</v>
      </c>
      <c r="H184" s="1">
        <f>M$24*Data__2[[#This Row],[Return Market]]*K$4</f>
        <v>4.6912657153994477</v>
      </c>
      <c r="I184" s="1"/>
      <c r="J184" s="1"/>
      <c r="K184" s="1"/>
      <c r="L184" s="1"/>
      <c r="M184" s="1"/>
    </row>
    <row r="185" spans="1:13">
      <c r="A185" s="1">
        <v>-4.1850978373158512</v>
      </c>
      <c r="B185" s="1">
        <v>0.48322640449845977</v>
      </c>
      <c r="C185" s="1">
        <v>108.80476599638872</v>
      </c>
      <c r="D185" s="24">
        <f>Data__2[[#This Row],[Project_1]]/J$4</f>
        <v>-2.7900652248772341E-2</v>
      </c>
      <c r="E185" s="24">
        <f>Data__2[[#This Row],[Project_2]]/K$4</f>
        <v>3.2215093633230652E-3</v>
      </c>
      <c r="F185" s="24">
        <f>Data__2[[#This Row],[Market]]/L$4</f>
        <v>0.10880476599638872</v>
      </c>
      <c r="G185" s="1">
        <f>L$24*Data__2[[#This Row],[Return Market]]*J$4</f>
        <v>6.044709222021603</v>
      </c>
      <c r="H185" s="1">
        <f>M$24*Data__2[[#This Row],[Return Market]]*K$4</f>
        <v>6.3469446831226843</v>
      </c>
      <c r="I185" s="1"/>
      <c r="J185" s="1"/>
      <c r="K185" s="1"/>
      <c r="L185" s="1"/>
      <c r="M185" s="1"/>
    </row>
    <row r="186" spans="1:13">
      <c r="A186" s="1">
        <v>16.186901260597075</v>
      </c>
      <c r="B186" s="1">
        <v>22.454203528272828</v>
      </c>
      <c r="C186" s="1">
        <v>109.71443576507215</v>
      </c>
      <c r="D186" s="24">
        <f>Data__2[[#This Row],[Project_1]]/J$4</f>
        <v>0.10791267507064717</v>
      </c>
      <c r="E186" s="24">
        <f>Data__2[[#This Row],[Project_2]]/K$4</f>
        <v>0.14969469018848552</v>
      </c>
      <c r="F186" s="24">
        <f>Data__2[[#This Row],[Market]]/L$4</f>
        <v>0.10971443576507216</v>
      </c>
      <c r="G186" s="1">
        <f>L$24*Data__2[[#This Row],[Return Market]]*J$4</f>
        <v>6.095246431392904</v>
      </c>
      <c r="H186" s="1">
        <f>M$24*Data__2[[#This Row],[Return Market]]*K$4</f>
        <v>6.4000087529625507</v>
      </c>
      <c r="I186" s="1"/>
      <c r="J186" s="1"/>
      <c r="K186" s="1"/>
      <c r="L186" s="1"/>
      <c r="M186" s="1"/>
    </row>
    <row r="187" spans="1:13">
      <c r="A187" s="1">
        <v>11.474363971653839</v>
      </c>
      <c r="B187" s="1">
        <v>-9.0550799471127874</v>
      </c>
      <c r="C187" s="1">
        <v>-100.67152129279341</v>
      </c>
      <c r="D187" s="24">
        <f>Data__2[[#This Row],[Project_1]]/J$4</f>
        <v>7.649575981102559E-2</v>
      </c>
      <c r="E187" s="24">
        <f>Data__2[[#This Row],[Project_2]]/K$4</f>
        <v>-6.036719964741858E-2</v>
      </c>
      <c r="F187" s="24">
        <f>Data__2[[#This Row],[Market]]/L$4</f>
        <v>-0.10067152129279341</v>
      </c>
      <c r="G187" s="1">
        <f>L$24*Data__2[[#This Row],[Return Market]]*J$4</f>
        <v>-5.5928622940440853</v>
      </c>
      <c r="H187" s="1">
        <f>M$24*Data__2[[#This Row],[Return Market]]*K$4</f>
        <v>-5.8725054087462905</v>
      </c>
      <c r="I187" s="1"/>
      <c r="J187" s="1"/>
      <c r="K187" s="1"/>
      <c r="L187" s="1"/>
      <c r="M187" s="1"/>
    </row>
    <row r="188" spans="1:13">
      <c r="A188" s="1">
        <v>-5.6362718575735684</v>
      </c>
      <c r="B188" s="1">
        <v>2.0514269471037458</v>
      </c>
      <c r="C188" s="1">
        <v>29.411495299084486</v>
      </c>
      <c r="D188" s="24">
        <f>Data__2[[#This Row],[Project_1]]/J$4</f>
        <v>-3.7575145717157123E-2</v>
      </c>
      <c r="E188" s="24">
        <f>Data__2[[#This Row],[Project_2]]/K$4</f>
        <v>1.3676179647358306E-2</v>
      </c>
      <c r="F188" s="24">
        <f>Data__2[[#This Row],[Market]]/L$4</f>
        <v>2.9411495299084486E-2</v>
      </c>
      <c r="G188" s="1">
        <f>L$24*Data__2[[#This Row],[Return Market]]*J$4</f>
        <v>1.633971961060251</v>
      </c>
      <c r="H188" s="1">
        <f>M$24*Data__2[[#This Row],[Return Market]]*K$4</f>
        <v>1.7156705591132639</v>
      </c>
      <c r="I188" s="1"/>
      <c r="J188" s="1"/>
      <c r="K188" s="1"/>
      <c r="L188" s="1"/>
      <c r="M188" s="1"/>
    </row>
    <row r="189" spans="1:13">
      <c r="A189" s="1">
        <v>-1.5776534958352038</v>
      </c>
      <c r="B189" s="1">
        <v>32.436209656243257</v>
      </c>
      <c r="C189" s="1">
        <v>231.0384492702357</v>
      </c>
      <c r="D189" s="24">
        <f>Data__2[[#This Row],[Project_1]]/J$4</f>
        <v>-1.0517689972234692E-2</v>
      </c>
      <c r="E189" s="24">
        <f>Data__2[[#This Row],[Project_2]]/K$4</f>
        <v>0.21624139770828837</v>
      </c>
      <c r="F189" s="24">
        <f>Data__2[[#This Row],[Market]]/L$4</f>
        <v>0.2310384492702357</v>
      </c>
      <c r="G189" s="1">
        <f>L$24*Data__2[[#This Row],[Return Market]]*J$4</f>
        <v>12.835469403901998</v>
      </c>
      <c r="H189" s="1">
        <f>M$24*Data__2[[#This Row],[Return Market]]*K$4</f>
        <v>13.477242874097099</v>
      </c>
      <c r="I189" s="1"/>
      <c r="J189" s="1"/>
      <c r="K189" s="1"/>
      <c r="L189" s="1"/>
      <c r="M189" s="1"/>
    </row>
    <row r="190" spans="1:13">
      <c r="A190" s="1">
        <v>-0.32459482281606</v>
      </c>
      <c r="B190" s="1">
        <v>3.5560803751409908</v>
      </c>
      <c r="C190" s="1">
        <v>-97.531257612656219</v>
      </c>
      <c r="D190" s="24">
        <f>Data__2[[#This Row],[Project_1]]/J$4</f>
        <v>-2.1639654854404E-3</v>
      </c>
      <c r="E190" s="24">
        <f>Data__2[[#This Row],[Project_2]]/K$4</f>
        <v>2.3707202500939939E-2</v>
      </c>
      <c r="F190" s="24">
        <f>Data__2[[#This Row],[Market]]/L$4</f>
        <v>-9.7531257612656214E-2</v>
      </c>
      <c r="G190" s="1">
        <f>L$24*Data__2[[#This Row],[Return Market]]*J$4</f>
        <v>-5.4184032007031293</v>
      </c>
      <c r="H190" s="1">
        <f>M$24*Data__2[[#This Row],[Return Market]]*K$4</f>
        <v>-5.6893233607382863</v>
      </c>
      <c r="I190" s="1"/>
      <c r="J190" s="1"/>
      <c r="K190" s="1"/>
      <c r="L190" s="1"/>
      <c r="M190" s="1"/>
    </row>
    <row r="191" spans="1:13">
      <c r="A191" s="1">
        <v>55.14549055951926</v>
      </c>
      <c r="B191" s="1">
        <v>74.641901419720398</v>
      </c>
      <c r="C191" s="1">
        <v>608.14149094035713</v>
      </c>
      <c r="D191" s="24">
        <f>Data__2[[#This Row],[Project_1]]/J$4</f>
        <v>0.36763660373012841</v>
      </c>
      <c r="E191" s="24">
        <f>Data__2[[#This Row],[Project_2]]/K$4</f>
        <v>0.49761267613146931</v>
      </c>
      <c r="F191" s="24">
        <f>Data__2[[#This Row],[Market]]/L$4</f>
        <v>0.60814149094035708</v>
      </c>
      <c r="G191" s="1">
        <f>L$24*Data__2[[#This Row],[Return Market]]*J$4</f>
        <v>33.785638385575432</v>
      </c>
      <c r="H191" s="1">
        <f>M$24*Data__2[[#This Row],[Return Market]]*K$4</f>
        <v>35.474920304854209</v>
      </c>
      <c r="I191" s="1"/>
      <c r="J191" s="1"/>
      <c r="K191" s="1"/>
      <c r="L191" s="1"/>
      <c r="M191" s="1"/>
    </row>
    <row r="192" spans="1:13">
      <c r="A192" s="1">
        <v>27.6317402096333</v>
      </c>
      <c r="B192" s="1">
        <v>-8.4994980170456884</v>
      </c>
      <c r="C192" s="1">
        <v>38.700986387624255</v>
      </c>
      <c r="D192" s="24">
        <f>Data__2[[#This Row],[Project_1]]/J$4</f>
        <v>0.18421160139755532</v>
      </c>
      <c r="E192" s="24">
        <f>Data__2[[#This Row],[Project_2]]/K$4</f>
        <v>-5.6663320113637922E-2</v>
      </c>
      <c r="F192" s="24">
        <f>Data__2[[#This Row],[Market]]/L$4</f>
        <v>3.8700986387624252E-2</v>
      </c>
      <c r="G192" s="1">
        <f>L$24*Data__2[[#This Row],[Return Market]]*J$4</f>
        <v>2.150054799312461</v>
      </c>
      <c r="H192" s="1">
        <f>M$24*Data__2[[#This Row],[Return Market]]*K$4</f>
        <v>2.2575575392780842</v>
      </c>
      <c r="I192" s="1"/>
      <c r="J192" s="1"/>
      <c r="K192" s="1"/>
      <c r="L192" s="1"/>
      <c r="M192" s="1"/>
    </row>
    <row r="193" spans="1:13">
      <c r="A193" s="1">
        <v>39.661365271287792</v>
      </c>
      <c r="B193" s="1">
        <v>13.47086367935391</v>
      </c>
      <c r="C193" s="1">
        <v>318.91940091406309</v>
      </c>
      <c r="D193" s="24">
        <f>Data__2[[#This Row],[Project_1]]/J$4</f>
        <v>0.26440910180858529</v>
      </c>
      <c r="E193" s="24">
        <f>Data__2[[#This Row],[Project_2]]/K$4</f>
        <v>8.9805757862359392E-2</v>
      </c>
      <c r="F193" s="24">
        <f>Data__2[[#This Row],[Market]]/L$4</f>
        <v>0.31891940091406307</v>
      </c>
      <c r="G193" s="1">
        <f>L$24*Data__2[[#This Row],[Return Market]]*J$4</f>
        <v>17.717744495225745</v>
      </c>
      <c r="H193" s="1">
        <f>M$24*Data__2[[#This Row],[Return Market]]*K$4</f>
        <v>18.603631719987035</v>
      </c>
      <c r="I193" s="1"/>
      <c r="J193" s="1"/>
      <c r="K193" s="1"/>
      <c r="L193" s="1"/>
      <c r="M193" s="1"/>
    </row>
    <row r="194" spans="1:13">
      <c r="A194" s="1">
        <v>20.175854511629876</v>
      </c>
      <c r="B194" s="1">
        <v>-9.739311518748778</v>
      </c>
      <c r="C194" s="1">
        <v>-86.378319279541984</v>
      </c>
      <c r="D194" s="24">
        <f>Data__2[[#This Row],[Project_1]]/J$4</f>
        <v>0.13450569674419918</v>
      </c>
      <c r="E194" s="24">
        <f>Data__2[[#This Row],[Project_2]]/K$4</f>
        <v>-6.492874345832518E-2</v>
      </c>
      <c r="F194" s="24">
        <f>Data__2[[#This Row],[Market]]/L$4</f>
        <v>-8.6378319279541982E-2</v>
      </c>
      <c r="G194" s="1">
        <f>L$24*Data__2[[#This Row],[Return Market]]*J$4</f>
        <v>-4.7987955155301156</v>
      </c>
      <c r="H194" s="1">
        <f>M$24*Data__2[[#This Row],[Return Market]]*K$4</f>
        <v>-5.0387352913066223</v>
      </c>
      <c r="I194" s="1"/>
      <c r="J194" s="1"/>
      <c r="K194" s="1"/>
      <c r="L194" s="1"/>
      <c r="M194" s="1"/>
    </row>
    <row r="195" spans="1:13">
      <c r="A195" s="1">
        <v>45.880708286627467</v>
      </c>
      <c r="B195" s="1">
        <v>32.049283304464879</v>
      </c>
      <c r="C195" s="1">
        <v>203.0391391816045</v>
      </c>
      <c r="D195" s="24">
        <f>Data__2[[#This Row],[Project_1]]/J$4</f>
        <v>0.30587138857751645</v>
      </c>
      <c r="E195" s="24">
        <f>Data__2[[#This Row],[Project_2]]/K$4</f>
        <v>0.21366188869643252</v>
      </c>
      <c r="F195" s="24">
        <f>Data__2[[#This Row],[Market]]/L$4</f>
        <v>0.20303913918160449</v>
      </c>
      <c r="G195" s="1">
        <f>L$24*Data__2[[#This Row],[Return Market]]*J$4</f>
        <v>11.279952176755817</v>
      </c>
      <c r="H195" s="1">
        <f>M$24*Data__2[[#This Row],[Return Market]]*K$4</f>
        <v>11.843949785593612</v>
      </c>
      <c r="I195" s="1"/>
      <c r="J195" s="1"/>
      <c r="K195" s="1"/>
      <c r="L195" s="1"/>
      <c r="M195" s="1"/>
    </row>
    <row r="196" spans="1:13">
      <c r="A196" s="1">
        <v>7.1925473582492678</v>
      </c>
      <c r="B196" s="1">
        <v>5.8992920079491427</v>
      </c>
      <c r="C196" s="1">
        <v>174.47667248706458</v>
      </c>
      <c r="D196" s="24">
        <f>Data__2[[#This Row],[Project_1]]/J$4</f>
        <v>4.7950315721661786E-2</v>
      </c>
      <c r="E196" s="24">
        <f>Data__2[[#This Row],[Project_2]]/K$4</f>
        <v>3.9328613386327621E-2</v>
      </c>
      <c r="F196" s="24">
        <f>Data__2[[#This Row],[Market]]/L$4</f>
        <v>0.17447667248706458</v>
      </c>
      <c r="G196" s="1">
        <f>L$24*Data__2[[#This Row],[Return Market]]*J$4</f>
        <v>9.6931484715035996</v>
      </c>
      <c r="H196" s="1">
        <f>M$24*Data__2[[#This Row],[Return Market]]*K$4</f>
        <v>10.17780589507878</v>
      </c>
      <c r="I196" s="1"/>
      <c r="J196" s="1"/>
      <c r="K196" s="1"/>
      <c r="L196" s="1"/>
      <c r="M196" s="1"/>
    </row>
    <row r="197" spans="1:13">
      <c r="A197" s="1">
        <v>0.42625517236199428</v>
      </c>
      <c r="B197" s="1">
        <v>4.8152429479941592</v>
      </c>
      <c r="C197" s="1">
        <v>369.81739465469201</v>
      </c>
      <c r="D197" s="24">
        <f>Data__2[[#This Row],[Project_1]]/J$4</f>
        <v>2.8417011490799618E-3</v>
      </c>
      <c r="E197" s="24">
        <f>Data__2[[#This Row],[Project_2]]/K$4</f>
        <v>3.2101619653294396E-2</v>
      </c>
      <c r="F197" s="24">
        <f>Data__2[[#This Row],[Market]]/L$4</f>
        <v>0.36981739465469199</v>
      </c>
      <c r="G197" s="1">
        <f>L$24*Data__2[[#This Row],[Return Market]]*J$4</f>
        <v>20.54541081414958</v>
      </c>
      <c r="H197" s="1">
        <f>M$24*Data__2[[#This Row],[Return Market]]*K$4</f>
        <v>21.572681354857064</v>
      </c>
      <c r="I197" s="1"/>
      <c r="J197" s="1"/>
      <c r="K197" s="1"/>
      <c r="L197" s="1"/>
      <c r="M197" s="1"/>
    </row>
    <row r="198" spans="1:13">
      <c r="A198" s="1">
        <v>12.676727311416217</v>
      </c>
      <c r="B198" s="1">
        <v>12.387779057630439</v>
      </c>
      <c r="C198" s="1">
        <v>48.535042588341881</v>
      </c>
      <c r="D198" s="24">
        <f>Data__2[[#This Row],[Project_1]]/J$4</f>
        <v>8.4511515409441448E-2</v>
      </c>
      <c r="E198" s="24">
        <f>Data__2[[#This Row],[Project_2]]/K$4</f>
        <v>8.2585193717536268E-2</v>
      </c>
      <c r="F198" s="24">
        <f>Data__2[[#This Row],[Market]]/L$4</f>
        <v>4.8535042588341883E-2</v>
      </c>
      <c r="G198" s="1">
        <f>L$24*Data__2[[#This Row],[Return Market]]*J$4</f>
        <v>2.6963912549078852</v>
      </c>
      <c r="H198" s="1">
        <f>M$24*Data__2[[#This Row],[Return Market]]*K$4</f>
        <v>2.8312108176532802</v>
      </c>
      <c r="I198" s="1"/>
      <c r="J198" s="1"/>
      <c r="K198" s="1"/>
      <c r="L198" s="1"/>
      <c r="M198" s="1"/>
    </row>
    <row r="199" spans="1:13">
      <c r="A199" s="1">
        <v>9.8039109496189152</v>
      </c>
      <c r="B199" s="1">
        <v>15.921805815959598</v>
      </c>
      <c r="C199" s="1">
        <v>400.10225667678412</v>
      </c>
      <c r="D199" s="24">
        <f>Data__2[[#This Row],[Project_1]]/J$4</f>
        <v>6.5359406330792763E-2</v>
      </c>
      <c r="E199" s="24">
        <f>Data__2[[#This Row],[Project_2]]/K$4</f>
        <v>0.10614537210639732</v>
      </c>
      <c r="F199" s="24">
        <f>Data__2[[#This Row],[Market]]/L$4</f>
        <v>0.40010225667678412</v>
      </c>
      <c r="G199" s="1">
        <f>L$24*Data__2[[#This Row],[Return Market]]*J$4</f>
        <v>22.227903148710254</v>
      </c>
      <c r="H199" s="1">
        <f>M$24*Data__2[[#This Row],[Return Market]]*K$4</f>
        <v>23.339298306145771</v>
      </c>
      <c r="I199" s="1"/>
      <c r="J199" s="1"/>
      <c r="K199" s="1"/>
      <c r="L199" s="1"/>
      <c r="M199" s="1"/>
    </row>
    <row r="200" spans="1:13">
      <c r="A200" s="1">
        <v>25.910878564063204</v>
      </c>
      <c r="B200" s="1">
        <v>32.924348892519788</v>
      </c>
      <c r="C200" s="1">
        <v>335.66308575588442</v>
      </c>
      <c r="D200" s="24">
        <f>Data__2[[#This Row],[Project_1]]/J$4</f>
        <v>0.17273919042708802</v>
      </c>
      <c r="E200" s="24">
        <f>Data__2[[#This Row],[Project_2]]/K$4</f>
        <v>0.21949565928346526</v>
      </c>
      <c r="F200" s="24">
        <f>Data__2[[#This Row],[Market]]/L$4</f>
        <v>0.33566308575588444</v>
      </c>
      <c r="G200" s="1">
        <f>L$24*Data__2[[#This Row],[Return Market]]*J$4</f>
        <v>18.647949208660268</v>
      </c>
      <c r="H200" s="1">
        <f>M$24*Data__2[[#This Row],[Return Market]]*K$4</f>
        <v>19.580346669093288</v>
      </c>
      <c r="I200" s="1"/>
      <c r="J200" s="1"/>
      <c r="K200" s="1"/>
      <c r="L200" s="1"/>
      <c r="M200" s="1"/>
    </row>
    <row r="201" spans="1:13">
      <c r="A201" s="1">
        <v>-3.0748654655687453</v>
      </c>
      <c r="B201" s="1">
        <v>-0.73486403498966801</v>
      </c>
      <c r="C201" s="1">
        <v>-31.961573180684937</v>
      </c>
      <c r="D201" s="24">
        <f>Data__2[[#This Row],[Project_1]]/J$4</f>
        <v>-2.0499103103791636E-2</v>
      </c>
      <c r="E201" s="24">
        <f>Data__2[[#This Row],[Project_2]]/K$4</f>
        <v>-4.8990935665977871E-3</v>
      </c>
      <c r="F201" s="24">
        <f>Data__2[[#This Row],[Market]]/L$4</f>
        <v>-3.1961573180684939E-2</v>
      </c>
      <c r="G201" s="1">
        <f>L$24*Data__2[[#This Row],[Return Market]]*J$4</f>
        <v>-1.7756429544824988</v>
      </c>
      <c r="H201" s="1">
        <f>M$24*Data__2[[#This Row],[Return Market]]*K$4</f>
        <v>-1.8644251022066238</v>
      </c>
      <c r="I201" s="1"/>
      <c r="J201" s="1"/>
      <c r="K201" s="1"/>
      <c r="L201" s="1"/>
      <c r="M201" s="1"/>
    </row>
    <row r="202" spans="1:13">
      <c r="A202" s="1">
        <v>20.120429511646353</v>
      </c>
      <c r="B202" s="1">
        <v>20.895212436515479</v>
      </c>
      <c r="C202" s="1">
        <v>258.01854984006832</v>
      </c>
      <c r="D202" s="24">
        <f>Data__2[[#This Row],[Project_1]]/J$4</f>
        <v>0.13413619674430902</v>
      </c>
      <c r="E202" s="24">
        <f>Data__2[[#This Row],[Project_2]]/K$4</f>
        <v>0.13930141624343653</v>
      </c>
      <c r="F202" s="24">
        <f>Data__2[[#This Row],[Market]]/L$4</f>
        <v>0.25801854984006833</v>
      </c>
      <c r="G202" s="1">
        <f>L$24*Data__2[[#This Row],[Return Market]]*J$4</f>
        <v>14.334363880003814</v>
      </c>
      <c r="H202" s="1">
        <f>M$24*Data__2[[#This Row],[Return Market]]*K$4</f>
        <v>15.051082074004006</v>
      </c>
      <c r="I202" s="1"/>
      <c r="J202" s="1"/>
      <c r="K202" s="1"/>
      <c r="L202" s="1"/>
      <c r="M202" s="1"/>
    </row>
    <row r="203" spans="1:13">
      <c r="A203" s="1">
        <v>24.849039619734469</v>
      </c>
      <c r="B203" s="1">
        <v>-7.6225468104804861</v>
      </c>
      <c r="C203" s="1">
        <v>-208.17259328807296</v>
      </c>
      <c r="D203" s="24">
        <f>Data__2[[#This Row],[Project_1]]/J$4</f>
        <v>0.16566026413156312</v>
      </c>
      <c r="E203" s="24">
        <f>Data__2[[#This Row],[Project_2]]/K$4</f>
        <v>-5.0816978736536574E-2</v>
      </c>
      <c r="F203" s="24">
        <f>Data__2[[#This Row],[Market]]/L$4</f>
        <v>-0.20817259328807297</v>
      </c>
      <c r="G203" s="1">
        <f>L$24*Data__2[[#This Row],[Return Market]]*J$4</f>
        <v>-11.565144071559622</v>
      </c>
      <c r="H203" s="1">
        <f>M$24*Data__2[[#This Row],[Return Market]]*K$4</f>
        <v>-12.143401275137606</v>
      </c>
      <c r="I203" s="1"/>
      <c r="J203" s="1"/>
      <c r="K203" s="1"/>
      <c r="L203" s="1"/>
      <c r="M203" s="1"/>
    </row>
    <row r="204" spans="1:13">
      <c r="A204" s="1">
        <v>11.884349728801869</v>
      </c>
      <c r="B204" s="1">
        <v>6.0838978753665884</v>
      </c>
      <c r="C204" s="1">
        <v>98.079307425025689</v>
      </c>
      <c r="D204" s="24">
        <f>Data__2[[#This Row],[Project_1]]/J$4</f>
        <v>7.9228998192012456E-2</v>
      </c>
      <c r="E204" s="24">
        <f>Data__2[[#This Row],[Project_2]]/K$4</f>
        <v>4.055931916911059E-2</v>
      </c>
      <c r="F204" s="24">
        <f>Data__2[[#This Row],[Market]]/L$4</f>
        <v>9.8079307425025686E-2</v>
      </c>
      <c r="G204" s="1">
        <f>L$24*Data__2[[#This Row],[Return Market]]*J$4</f>
        <v>5.4488504125014332</v>
      </c>
      <c r="H204" s="1">
        <f>M$24*Data__2[[#This Row],[Return Market]]*K$4</f>
        <v>5.7212929331265059</v>
      </c>
      <c r="I204" s="1"/>
      <c r="J204" s="1"/>
      <c r="K204" s="1"/>
      <c r="L204" s="1"/>
      <c r="M204" s="1"/>
    </row>
    <row r="205" spans="1:13">
      <c r="A205" s="1">
        <v>49.251559357253214</v>
      </c>
      <c r="B205" s="1">
        <v>27.631064693512965</v>
      </c>
      <c r="C205" s="1">
        <v>343.0775406719174</v>
      </c>
      <c r="D205" s="24">
        <f>Data__2[[#This Row],[Project_1]]/J$4</f>
        <v>0.32834372904835474</v>
      </c>
      <c r="E205" s="24">
        <f>Data__2[[#This Row],[Project_2]]/K$4</f>
        <v>0.18420709795675311</v>
      </c>
      <c r="F205" s="24">
        <f>Data__2[[#This Row],[Market]]/L$4</f>
        <v>0.34307754067191742</v>
      </c>
      <c r="G205" s="1">
        <f>L$24*Data__2[[#This Row],[Return Market]]*J$4</f>
        <v>19.0598633706621</v>
      </c>
      <c r="H205" s="1">
        <f>M$24*Data__2[[#This Row],[Return Market]]*K$4</f>
        <v>20.012856539195209</v>
      </c>
      <c r="I205" s="1"/>
      <c r="J205" s="1"/>
      <c r="K205" s="1"/>
      <c r="L205" s="1"/>
      <c r="M205" s="1"/>
    </row>
    <row r="206" spans="1:13">
      <c r="A206" s="1">
        <v>23.154401835816003</v>
      </c>
      <c r="B206" s="1">
        <v>57.999865529959607</v>
      </c>
      <c r="C206" s="1">
        <v>522.19812126323791</v>
      </c>
      <c r="D206" s="24">
        <f>Data__2[[#This Row],[Project_1]]/J$4</f>
        <v>0.15436267890544003</v>
      </c>
      <c r="E206" s="24">
        <f>Data__2[[#This Row],[Project_2]]/K$4</f>
        <v>0.3866657701997307</v>
      </c>
      <c r="F206" s="24">
        <f>Data__2[[#This Row],[Market]]/L$4</f>
        <v>0.52219812126323795</v>
      </c>
      <c r="G206" s="1">
        <f>L$24*Data__2[[#This Row],[Return Market]]*J$4</f>
        <v>29.011006736846586</v>
      </c>
      <c r="H206" s="1">
        <f>M$24*Data__2[[#This Row],[Return Market]]*K$4</f>
        <v>30.461557073688919</v>
      </c>
      <c r="I206" s="1"/>
      <c r="J206" s="1"/>
      <c r="K206" s="1"/>
      <c r="L206" s="1"/>
      <c r="M206" s="1"/>
    </row>
    <row r="207" spans="1:13">
      <c r="A207" s="1">
        <v>46.481917344953061</v>
      </c>
      <c r="B207" s="1">
        <v>20.446411355523985</v>
      </c>
      <c r="C207" s="1">
        <v>299.81969205178086</v>
      </c>
      <c r="D207" s="24">
        <f>Data__2[[#This Row],[Project_1]]/J$4</f>
        <v>0.30987944896635372</v>
      </c>
      <c r="E207" s="24">
        <f>Data__2[[#This Row],[Project_2]]/K$4</f>
        <v>0.13630940903682656</v>
      </c>
      <c r="F207" s="24">
        <f>Data__2[[#This Row],[Market]]/L$4</f>
        <v>0.29981969205178088</v>
      </c>
      <c r="G207" s="1">
        <f>L$24*Data__2[[#This Row],[Return Market]]*J$4</f>
        <v>16.656649558432289</v>
      </c>
      <c r="H207" s="1">
        <f>M$24*Data__2[[#This Row],[Return Market]]*K$4</f>
        <v>17.489482036353905</v>
      </c>
      <c r="I207" s="1"/>
      <c r="J207" s="1"/>
      <c r="K207" s="1"/>
      <c r="L207" s="1"/>
      <c r="M207" s="1"/>
    </row>
    <row r="208" spans="1:13">
      <c r="A208" s="1">
        <v>-16.988409918846294</v>
      </c>
      <c r="B208" s="1">
        <v>-13.05526682080631</v>
      </c>
      <c r="C208" s="1">
        <v>-149.89226896407092</v>
      </c>
      <c r="D208" s="24">
        <f>Data__2[[#This Row],[Project_1]]/J$4</f>
        <v>-0.11325606612564196</v>
      </c>
      <c r="E208" s="24">
        <f>Data__2[[#This Row],[Project_2]]/K$4</f>
        <v>-8.7035112138708737E-2</v>
      </c>
      <c r="F208" s="24">
        <f>Data__2[[#This Row],[Market]]/L$4</f>
        <v>-0.14989226896407093</v>
      </c>
      <c r="G208" s="1">
        <f>L$24*Data__2[[#This Row],[Return Market]]*J$4</f>
        <v>-8.327348275781727</v>
      </c>
      <c r="H208" s="1">
        <f>M$24*Data__2[[#This Row],[Return Market]]*K$4</f>
        <v>-8.7437156895708164</v>
      </c>
      <c r="I208" s="1"/>
      <c r="J208" s="1"/>
      <c r="K208" s="1"/>
      <c r="L208" s="1"/>
      <c r="M208" s="1"/>
    </row>
    <row r="209" spans="1:13">
      <c r="A209" s="1">
        <v>-13.340925210150743</v>
      </c>
      <c r="B209" s="1">
        <v>2.1733352208484495</v>
      </c>
      <c r="C209" s="1">
        <v>79.13205326903109</v>
      </c>
      <c r="D209" s="24">
        <f>Data__2[[#This Row],[Project_1]]/J$4</f>
        <v>-8.8939501401004956E-2</v>
      </c>
      <c r="E209" s="24">
        <f>Data__2[[#This Row],[Project_2]]/K$4</f>
        <v>1.4488901472322997E-2</v>
      </c>
      <c r="F209" s="24">
        <f>Data__2[[#This Row],[Market]]/L$4</f>
        <v>7.9132053269031083E-2</v>
      </c>
      <c r="G209" s="1">
        <f>L$24*Data__2[[#This Row],[Return Market]]*J$4</f>
        <v>4.3962251816128433</v>
      </c>
      <c r="H209" s="1">
        <f>M$24*Data__2[[#This Row],[Return Market]]*K$4</f>
        <v>4.6160364406934855</v>
      </c>
      <c r="I209" s="1"/>
      <c r="J209" s="1"/>
      <c r="K209" s="1"/>
      <c r="L209" s="1"/>
      <c r="M209" s="1"/>
    </row>
    <row r="210" spans="1:13">
      <c r="A210" s="1">
        <v>6.8007912481667931</v>
      </c>
      <c r="B210" s="1">
        <v>4.1966235974825006</v>
      </c>
      <c r="C210" s="1">
        <v>-82.98433147346941</v>
      </c>
      <c r="D210" s="24">
        <f>Data__2[[#This Row],[Project_1]]/J$4</f>
        <v>4.5338608321111952E-2</v>
      </c>
      <c r="E210" s="24">
        <f>Data__2[[#This Row],[Project_2]]/K$4</f>
        <v>2.7977490649883339E-2</v>
      </c>
      <c r="F210" s="24">
        <f>Data__2[[#This Row],[Market]]/L$4</f>
        <v>-8.2984331473469411E-2</v>
      </c>
      <c r="G210" s="1">
        <f>L$24*Data__2[[#This Row],[Return Market]]*J$4</f>
        <v>-4.6102406374149725</v>
      </c>
      <c r="H210" s="1">
        <f>M$24*Data__2[[#This Row],[Return Market]]*K$4</f>
        <v>-4.8407526692857221</v>
      </c>
      <c r="I210" s="1"/>
      <c r="J210" s="1"/>
      <c r="K210" s="1"/>
      <c r="L210" s="1"/>
      <c r="M210" s="1"/>
    </row>
    <row r="211" spans="1:13">
      <c r="A211" s="1">
        <v>47.089309184187421</v>
      </c>
      <c r="B211" s="1">
        <v>36.346488498733621</v>
      </c>
      <c r="C211" s="1">
        <v>364.51773283215573</v>
      </c>
      <c r="D211" s="24">
        <f>Data__2[[#This Row],[Project_1]]/J$4</f>
        <v>0.31392872789458282</v>
      </c>
      <c r="E211" s="24">
        <f>Data__2[[#This Row],[Project_2]]/K$4</f>
        <v>0.24230992332489079</v>
      </c>
      <c r="F211" s="24">
        <f>Data__2[[#This Row],[Market]]/L$4</f>
        <v>0.36451773283215572</v>
      </c>
      <c r="G211" s="1">
        <f>L$24*Data__2[[#This Row],[Return Market]]*J$4</f>
        <v>20.250985157342008</v>
      </c>
      <c r="H211" s="1">
        <f>M$24*Data__2[[#This Row],[Return Market]]*K$4</f>
        <v>21.263534415209111</v>
      </c>
      <c r="I211" s="1"/>
      <c r="J211" s="1"/>
      <c r="K211" s="1"/>
      <c r="L211" s="1"/>
      <c r="M211" s="1"/>
    </row>
    <row r="212" spans="1:13">
      <c r="A212" s="1">
        <v>0.19473487093689457</v>
      </c>
      <c r="B212" s="1">
        <v>-10.092212907533195</v>
      </c>
      <c r="C212" s="1">
        <v>-230.99237385551214</v>
      </c>
      <c r="D212" s="24">
        <f>Data__2[[#This Row],[Project_1]]/J$4</f>
        <v>1.2982324729126304E-3</v>
      </c>
      <c r="E212" s="24">
        <f>Data__2[[#This Row],[Project_2]]/K$4</f>
        <v>-6.7281419383554641E-2</v>
      </c>
      <c r="F212" s="24">
        <f>Data__2[[#This Row],[Market]]/L$4</f>
        <v>-0.23099237385551213</v>
      </c>
      <c r="G212" s="1">
        <f>L$24*Data__2[[#This Row],[Return Market]]*J$4</f>
        <v>-12.832909658639577</v>
      </c>
      <c r="H212" s="1">
        <f>M$24*Data__2[[#This Row],[Return Market]]*K$4</f>
        <v>-13.474555141571559</v>
      </c>
      <c r="I212" s="1"/>
      <c r="J212" s="1"/>
      <c r="K212" s="1"/>
      <c r="L212" s="1"/>
      <c r="M212" s="1"/>
    </row>
    <row r="213" spans="1:13">
      <c r="A213" s="1">
        <v>21.342717268351045</v>
      </c>
      <c r="B213" s="1">
        <v>24.498925054643465</v>
      </c>
      <c r="C213" s="1">
        <v>352.40391649578459</v>
      </c>
      <c r="D213" s="24">
        <f>Data__2[[#This Row],[Project_1]]/J$4</f>
        <v>0.14228478178900697</v>
      </c>
      <c r="E213" s="24">
        <f>Data__2[[#This Row],[Project_2]]/K$4</f>
        <v>0.16332616703095643</v>
      </c>
      <c r="F213" s="24">
        <f>Data__2[[#This Row],[Market]]/L$4</f>
        <v>0.35240391649578456</v>
      </c>
      <c r="G213" s="1">
        <f>L$24*Data__2[[#This Row],[Return Market]]*J$4</f>
        <v>19.577995360876944</v>
      </c>
      <c r="H213" s="1">
        <f>M$24*Data__2[[#This Row],[Return Market]]*K$4</f>
        <v>20.556895128920793</v>
      </c>
      <c r="I213" s="1"/>
      <c r="J213" s="1"/>
      <c r="K213" s="1"/>
      <c r="L213" s="1"/>
      <c r="M213" s="1"/>
    </row>
    <row r="214" spans="1:13">
      <c r="A214" s="1">
        <v>7.7951859050923922</v>
      </c>
      <c r="B214" s="1">
        <v>-8.6842817813953062</v>
      </c>
      <c r="C214" s="1">
        <v>-53.456658416463853</v>
      </c>
      <c r="D214" s="24">
        <f>Data__2[[#This Row],[Project_1]]/J$4</f>
        <v>5.1967906033949282E-2</v>
      </c>
      <c r="E214" s="24">
        <f>Data__2[[#This Row],[Project_2]]/K$4</f>
        <v>-5.7895211875968709E-2</v>
      </c>
      <c r="F214" s="24">
        <f>Data__2[[#This Row],[Market]]/L$4</f>
        <v>-5.3456658416463854E-2</v>
      </c>
      <c r="G214" s="1">
        <f>L$24*Data__2[[#This Row],[Return Market]]*J$4</f>
        <v>-2.9698143564702177</v>
      </c>
      <c r="H214" s="1">
        <f>M$24*Data__2[[#This Row],[Return Market]]*K$4</f>
        <v>-3.1183050742937288</v>
      </c>
      <c r="I214" s="1"/>
      <c r="J214" s="1"/>
      <c r="K214" s="1"/>
      <c r="L214" s="1"/>
      <c r="M214" s="1"/>
    </row>
    <row r="215" spans="1:13">
      <c r="A215" s="1">
        <v>-16.455317477208105</v>
      </c>
      <c r="B215" s="1">
        <v>2.6072693436331242</v>
      </c>
      <c r="C215" s="1">
        <v>-82.225362910922371</v>
      </c>
      <c r="D215" s="24">
        <f>Data__2[[#This Row],[Project_1]]/J$4</f>
        <v>-0.1097021165147207</v>
      </c>
      <c r="E215" s="24">
        <f>Data__2[[#This Row],[Project_2]]/K$4</f>
        <v>1.738179562422083E-2</v>
      </c>
      <c r="F215" s="24">
        <f>Data__2[[#This Row],[Market]]/L$4</f>
        <v>-8.2225362910922375E-2</v>
      </c>
      <c r="G215" s="1">
        <f>L$24*Data__2[[#This Row],[Return Market]]*J$4</f>
        <v>-4.5680757172734712</v>
      </c>
      <c r="H215" s="1">
        <f>M$24*Data__2[[#This Row],[Return Market]]*K$4</f>
        <v>-4.796479503137145</v>
      </c>
      <c r="I215" s="1"/>
      <c r="J215" s="1"/>
      <c r="K215" s="1"/>
      <c r="L215" s="1"/>
      <c r="M215" s="1"/>
    </row>
    <row r="216" spans="1:13">
      <c r="A216" s="1">
        <v>28.680714768345503</v>
      </c>
      <c r="B216" s="1">
        <v>37.4638635038567</v>
      </c>
      <c r="C216" s="1">
        <v>303.90681540434053</v>
      </c>
      <c r="D216" s="24">
        <f>Data__2[[#This Row],[Project_1]]/J$4</f>
        <v>0.19120476512230336</v>
      </c>
      <c r="E216" s="24">
        <f>Data__2[[#This Row],[Project_2]]/K$4</f>
        <v>0.24975909002571134</v>
      </c>
      <c r="F216" s="24">
        <f>Data__2[[#This Row],[Market]]/L$4</f>
        <v>0.30390681540434056</v>
      </c>
      <c r="G216" s="1">
        <f>L$24*Data__2[[#This Row],[Return Market]]*J$4</f>
        <v>16.883711966907828</v>
      </c>
      <c r="H216" s="1">
        <f>M$24*Data__2[[#This Row],[Return Market]]*K$4</f>
        <v>17.727897565253222</v>
      </c>
      <c r="I216" s="1"/>
      <c r="J216" s="1"/>
      <c r="K216" s="1"/>
      <c r="L216" s="1"/>
      <c r="M216" s="1"/>
    </row>
    <row r="217" spans="1:13">
      <c r="A217" s="1">
        <v>32.230820642382042</v>
      </c>
      <c r="B217" s="1">
        <v>18.253880361461889</v>
      </c>
      <c r="C217" s="1">
        <v>116.08880162050278</v>
      </c>
      <c r="D217" s="24">
        <f>Data__2[[#This Row],[Project_1]]/J$4</f>
        <v>0.21487213761588028</v>
      </c>
      <c r="E217" s="24">
        <f>Data__2[[#This Row],[Project_2]]/K$4</f>
        <v>0.12169253574307926</v>
      </c>
      <c r="F217" s="24">
        <f>Data__2[[#This Row],[Market]]/L$4</f>
        <v>0.11608880162050278</v>
      </c>
      <c r="G217" s="1">
        <f>L$24*Data__2[[#This Row],[Return Market]]*J$4</f>
        <v>6.4493778678057172</v>
      </c>
      <c r="H217" s="1">
        <f>M$24*Data__2[[#This Row],[Return Market]]*K$4</f>
        <v>6.771846761196004</v>
      </c>
      <c r="I217" s="1"/>
      <c r="J217" s="1"/>
      <c r="K217" s="1"/>
      <c r="L217" s="1"/>
      <c r="M217" s="1"/>
    </row>
    <row r="218" spans="1:13">
      <c r="A218" s="1">
        <v>40.908197837104851</v>
      </c>
      <c r="B218" s="1">
        <v>24.923850033835983</v>
      </c>
      <c r="C218" s="1">
        <v>205.88127427031614</v>
      </c>
      <c r="D218" s="24">
        <f>Data__2[[#This Row],[Project_1]]/J$4</f>
        <v>0.27272131891403234</v>
      </c>
      <c r="E218" s="24">
        <f>Data__2[[#This Row],[Project_2]]/K$4</f>
        <v>0.16615900022557323</v>
      </c>
      <c r="F218" s="24">
        <f>Data__2[[#This Row],[Market]]/L$4</f>
        <v>0.20588127427031613</v>
      </c>
      <c r="G218" s="1">
        <f>L$24*Data__2[[#This Row],[Return Market]]*J$4</f>
        <v>11.437848570573133</v>
      </c>
      <c r="H218" s="1">
        <f>M$24*Data__2[[#This Row],[Return Market]]*K$4</f>
        <v>12.009740999101789</v>
      </c>
      <c r="I218" s="1"/>
      <c r="J218" s="1"/>
      <c r="K218" s="1"/>
      <c r="L218" s="1"/>
      <c r="M218" s="1"/>
    </row>
    <row r="219" spans="1:13">
      <c r="A219" s="1">
        <v>29.502003943795959</v>
      </c>
      <c r="B219" s="1">
        <v>25.877408077055772</v>
      </c>
      <c r="C219" s="1">
        <v>-33.433539296749458</v>
      </c>
      <c r="D219" s="24">
        <f>Data__2[[#This Row],[Project_1]]/J$4</f>
        <v>0.19668002629197306</v>
      </c>
      <c r="E219" s="24">
        <f>Data__2[[#This Row],[Project_2]]/K$4</f>
        <v>0.17251605384703847</v>
      </c>
      <c r="F219" s="24">
        <f>Data__2[[#This Row],[Market]]/L$4</f>
        <v>-3.3433539296749457E-2</v>
      </c>
      <c r="G219" s="1">
        <f>L$24*Data__2[[#This Row],[Return Market]]*J$4</f>
        <v>-1.8574188498194164</v>
      </c>
      <c r="H219" s="1">
        <f>M$24*Data__2[[#This Row],[Return Market]]*K$4</f>
        <v>-1.9502897923103877</v>
      </c>
      <c r="I219" s="1"/>
      <c r="J219" s="1"/>
      <c r="K219" s="1"/>
      <c r="L219" s="1"/>
      <c r="M219" s="1"/>
    </row>
    <row r="220" spans="1:13">
      <c r="A220" s="1">
        <v>10.445823786976652</v>
      </c>
      <c r="B220" s="1">
        <v>19.390974102656401</v>
      </c>
      <c r="C220" s="1">
        <v>168.93483663710128</v>
      </c>
      <c r="D220" s="24">
        <f>Data__2[[#This Row],[Project_1]]/J$4</f>
        <v>6.9638825246511007E-2</v>
      </c>
      <c r="E220" s="24">
        <f>Data__2[[#This Row],[Project_2]]/K$4</f>
        <v>0.129273160684376</v>
      </c>
      <c r="F220" s="24">
        <f>Data__2[[#This Row],[Market]]/L$4</f>
        <v>0.16893483663710129</v>
      </c>
      <c r="G220" s="1">
        <f>L$24*Data__2[[#This Row],[Return Market]]*J$4</f>
        <v>9.3852687020611931</v>
      </c>
      <c r="H220" s="1">
        <f>M$24*Data__2[[#This Row],[Return Market]]*K$4</f>
        <v>9.854532137164254</v>
      </c>
      <c r="I220" s="1"/>
      <c r="J220" s="1"/>
      <c r="K220" s="1"/>
      <c r="L220" s="1"/>
      <c r="M220" s="1"/>
    </row>
    <row r="221" spans="1:13">
      <c r="A221" s="1">
        <v>36.054093192707228</v>
      </c>
      <c r="B221" s="1">
        <v>24.308691977962731</v>
      </c>
      <c r="C221" s="1">
        <v>155.73937714464833</v>
      </c>
      <c r="D221" s="24">
        <f>Data__2[[#This Row],[Project_1]]/J$4</f>
        <v>0.24036062128471486</v>
      </c>
      <c r="E221" s="24">
        <f>Data__2[[#This Row],[Project_2]]/K$4</f>
        <v>0.16205794651975153</v>
      </c>
      <c r="F221" s="24">
        <f>Data__2[[#This Row],[Market]]/L$4</f>
        <v>0.15573937714464833</v>
      </c>
      <c r="G221" s="1">
        <f>L$24*Data__2[[#This Row],[Return Market]]*J$4</f>
        <v>8.6521876191471403</v>
      </c>
      <c r="H221" s="1">
        <f>M$24*Data__2[[#This Row],[Return Market]]*K$4</f>
        <v>9.0847970001044978</v>
      </c>
      <c r="I221" s="1"/>
      <c r="J221" s="1"/>
      <c r="K221" s="1"/>
      <c r="L221" s="1"/>
      <c r="M221" s="1"/>
    </row>
    <row r="222" spans="1:13">
      <c r="A222" s="1">
        <v>-6.0348191624414547</v>
      </c>
      <c r="B222" s="1">
        <v>14.851989429022009</v>
      </c>
      <c r="C222" s="1">
        <v>166.12746109395835</v>
      </c>
      <c r="D222" s="24">
        <f>Data__2[[#This Row],[Project_1]]/J$4</f>
        <v>-4.02321277496097E-2</v>
      </c>
      <c r="E222" s="24">
        <f>Data__2[[#This Row],[Project_2]]/K$4</f>
        <v>9.9013262860146722E-2</v>
      </c>
      <c r="F222" s="24">
        <f>Data__2[[#This Row],[Market]]/L$4</f>
        <v>0.16612746109395835</v>
      </c>
      <c r="G222" s="1">
        <f>L$24*Data__2[[#This Row],[Return Market]]*J$4</f>
        <v>9.2293033941088076</v>
      </c>
      <c r="H222" s="1">
        <f>M$24*Data__2[[#This Row],[Return Market]]*K$4</f>
        <v>9.6907685638142489</v>
      </c>
      <c r="I222" s="1"/>
      <c r="J222" s="1"/>
      <c r="K222" s="1"/>
      <c r="L222" s="1"/>
      <c r="M222" s="1"/>
    </row>
    <row r="223" spans="1:13">
      <c r="A223" s="1">
        <v>-25.596285972435538</v>
      </c>
      <c r="B223" s="1">
        <v>-10.778534968645086</v>
      </c>
      <c r="C223" s="1">
        <v>-235.60356043212465</v>
      </c>
      <c r="D223" s="24">
        <f>Data__2[[#This Row],[Project_1]]/J$4</f>
        <v>-0.17064190648290359</v>
      </c>
      <c r="E223" s="24">
        <f>Data__2[[#This Row],[Project_2]]/K$4</f>
        <v>-7.1856899790967238E-2</v>
      </c>
      <c r="F223" s="24">
        <f>Data__2[[#This Row],[Market]]/L$4</f>
        <v>-0.23560356043212466</v>
      </c>
      <c r="G223" s="1">
        <f>L$24*Data__2[[#This Row],[Return Market]]*J$4</f>
        <v>-13.089086690673607</v>
      </c>
      <c r="H223" s="1">
        <f>M$24*Data__2[[#This Row],[Return Market]]*K$4</f>
        <v>-13.743541025207289</v>
      </c>
      <c r="I223" s="1"/>
      <c r="J223" s="1"/>
      <c r="K223" s="1"/>
      <c r="L223" s="1"/>
      <c r="M223" s="1"/>
    </row>
    <row r="224" spans="1:13">
      <c r="A224" s="1">
        <v>20.680760878143754</v>
      </c>
      <c r="B224" s="1">
        <v>33.297929373108595</v>
      </c>
      <c r="C224" s="1">
        <v>396.47149132687099</v>
      </c>
      <c r="D224" s="24">
        <f>Data__2[[#This Row],[Project_1]]/J$4</f>
        <v>0.13787173918762502</v>
      </c>
      <c r="E224" s="24">
        <f>Data__2[[#This Row],[Project_2]]/K$4</f>
        <v>0.22198619582072396</v>
      </c>
      <c r="F224" s="24">
        <f>Data__2[[#This Row],[Market]]/L$4</f>
        <v>0.39647149132687098</v>
      </c>
      <c r="G224" s="1">
        <f>L$24*Data__2[[#This Row],[Return Market]]*J$4</f>
        <v>22.026193962603969</v>
      </c>
      <c r="H224" s="1">
        <f>M$24*Data__2[[#This Row],[Return Market]]*K$4</f>
        <v>23.12750366073417</v>
      </c>
      <c r="I224" s="1"/>
      <c r="J224" s="1"/>
      <c r="K224" s="1"/>
      <c r="L224" s="1"/>
      <c r="M224" s="1"/>
    </row>
    <row r="225" spans="1:13">
      <c r="A225" s="1">
        <v>5.2987887178051443</v>
      </c>
      <c r="B225" s="1">
        <v>14.561533689751158</v>
      </c>
      <c r="C225" s="1">
        <v>174.34568536907574</v>
      </c>
      <c r="D225" s="24">
        <f>Data__2[[#This Row],[Project_1]]/J$4</f>
        <v>3.5325258118700964E-2</v>
      </c>
      <c r="E225" s="24">
        <f>Data__2[[#This Row],[Project_2]]/K$4</f>
        <v>9.7076891265007723E-2</v>
      </c>
      <c r="F225" s="24">
        <f>Data__2[[#This Row],[Market]]/L$4</f>
        <v>0.17434568536907574</v>
      </c>
      <c r="G225" s="1">
        <f>L$24*Data__2[[#This Row],[Return Market]]*J$4</f>
        <v>9.6858714093931084</v>
      </c>
      <c r="H225" s="1">
        <f>M$24*Data__2[[#This Row],[Return Market]]*K$4</f>
        <v>10.170164979862765</v>
      </c>
      <c r="I225" s="1"/>
      <c r="J225" s="1"/>
      <c r="K225" s="1"/>
      <c r="L225" s="1"/>
      <c r="M225" s="1"/>
    </row>
    <row r="226" spans="1:13">
      <c r="A226" s="1">
        <v>20.949916844677904</v>
      </c>
      <c r="B226" s="1">
        <v>15.050074465956913</v>
      </c>
      <c r="C226" s="1">
        <v>70.244000836327629</v>
      </c>
      <c r="D226" s="24">
        <f>Data__2[[#This Row],[Project_1]]/J$4</f>
        <v>0.1396661122978527</v>
      </c>
      <c r="E226" s="24">
        <f>Data__2[[#This Row],[Project_2]]/K$4</f>
        <v>0.10033382977304608</v>
      </c>
      <c r="F226" s="24">
        <f>Data__2[[#This Row],[Market]]/L$4</f>
        <v>7.0244000836327633E-2</v>
      </c>
      <c r="G226" s="1">
        <f>L$24*Data__2[[#This Row],[Return Market]]*J$4</f>
        <v>3.902444490907095</v>
      </c>
      <c r="H226" s="1">
        <f>M$24*Data__2[[#This Row],[Return Market]]*K$4</f>
        <v>4.0975667154524507</v>
      </c>
      <c r="I226" s="1"/>
      <c r="J226" s="1"/>
      <c r="K226" s="1"/>
      <c r="L226" s="1"/>
      <c r="M226" s="1"/>
    </row>
    <row r="227" spans="1:13">
      <c r="A227" s="1">
        <v>-5.7694397146704546</v>
      </c>
      <c r="B227" s="1">
        <v>10.290209030167166</v>
      </c>
      <c r="C227" s="1">
        <v>183.53665646459058</v>
      </c>
      <c r="D227" s="24">
        <f>Data__2[[#This Row],[Project_1]]/J$4</f>
        <v>-3.8462931431136362E-2</v>
      </c>
      <c r="E227" s="24">
        <f>Data__2[[#This Row],[Project_2]]/K$4</f>
        <v>6.8601393534447774E-2</v>
      </c>
      <c r="F227" s="24">
        <f>Data__2[[#This Row],[Market]]/L$4</f>
        <v>0.18353665646459058</v>
      </c>
      <c r="G227" s="1">
        <f>L$24*Data__2[[#This Row],[Return Market]]*J$4</f>
        <v>10.196480914699487</v>
      </c>
      <c r="H227" s="1">
        <f>M$24*Data__2[[#This Row],[Return Market]]*K$4</f>
        <v>10.706304960434466</v>
      </c>
      <c r="I227" s="1"/>
      <c r="J227" s="1"/>
      <c r="K227" s="1"/>
      <c r="L227" s="1"/>
      <c r="M227" s="1"/>
    </row>
    <row r="228" spans="1:13">
      <c r="A228" s="1">
        <v>12.819910320949209</v>
      </c>
      <c r="B228" s="1">
        <v>27.639452279860574</v>
      </c>
      <c r="C228" s="1">
        <v>213.65875189885151</v>
      </c>
      <c r="D228" s="24">
        <f>Data__2[[#This Row],[Project_1]]/J$4</f>
        <v>8.5466068806328052E-2</v>
      </c>
      <c r="E228" s="24">
        <f>Data__2[[#This Row],[Project_2]]/K$4</f>
        <v>0.18426301519907048</v>
      </c>
      <c r="F228" s="24">
        <f>Data__2[[#This Row],[Market]]/L$4</f>
        <v>0.2136587518988515</v>
      </c>
      <c r="G228" s="1">
        <f>L$24*Data__2[[#This Row],[Return Market]]*J$4</f>
        <v>11.869930661047318</v>
      </c>
      <c r="H228" s="1">
        <f>M$24*Data__2[[#This Row],[Return Market]]*K$4</f>
        <v>12.463427194099687</v>
      </c>
      <c r="I228" s="1"/>
      <c r="J228" s="1"/>
      <c r="K228" s="1"/>
      <c r="L228" s="1"/>
      <c r="M228" s="1"/>
    </row>
    <row r="229" spans="1:13">
      <c r="A229" s="1">
        <v>-27.464264629039462</v>
      </c>
      <c r="B229" s="1">
        <v>7.964971499825749</v>
      </c>
      <c r="C229" s="1">
        <v>133.96059629707008</v>
      </c>
      <c r="D229" s="24">
        <f>Data__2[[#This Row],[Project_1]]/J$4</f>
        <v>-0.18309509752692976</v>
      </c>
      <c r="E229" s="24">
        <f>Data__2[[#This Row],[Project_2]]/K$4</f>
        <v>5.3099809998838329E-2</v>
      </c>
      <c r="F229" s="24">
        <f>Data__2[[#This Row],[Market]]/L$4</f>
        <v>0.13396059629707008</v>
      </c>
      <c r="G229" s="1">
        <f>L$24*Data__2[[#This Row],[Return Market]]*J$4</f>
        <v>7.4422553498372341</v>
      </c>
      <c r="H229" s="1">
        <f>M$24*Data__2[[#This Row],[Return Market]]*K$4</f>
        <v>7.8143681173290984</v>
      </c>
      <c r="I229" s="1"/>
      <c r="J229" s="1"/>
      <c r="K229" s="1"/>
      <c r="L229" s="1"/>
      <c r="M229" s="1"/>
    </row>
    <row r="230" spans="1:13">
      <c r="A230" s="1">
        <v>20.046973306627784</v>
      </c>
      <c r="B230" s="1">
        <v>13.548292585252769</v>
      </c>
      <c r="C230" s="1">
        <v>173.86244099423044</v>
      </c>
      <c r="D230" s="24">
        <f>Data__2[[#This Row],[Project_1]]/J$4</f>
        <v>0.13364648871085189</v>
      </c>
      <c r="E230" s="24">
        <f>Data__2[[#This Row],[Project_2]]/K$4</f>
        <v>9.0321950568351794E-2</v>
      </c>
      <c r="F230" s="24">
        <f>Data__2[[#This Row],[Market]]/L$4</f>
        <v>0.17386244099423043</v>
      </c>
      <c r="G230" s="1">
        <f>L$24*Data__2[[#This Row],[Return Market]]*J$4</f>
        <v>9.6590244996794787</v>
      </c>
      <c r="H230" s="1">
        <f>M$24*Data__2[[#This Row],[Return Market]]*K$4</f>
        <v>10.141975724663455</v>
      </c>
      <c r="I230" s="1"/>
      <c r="J230" s="1"/>
      <c r="K230" s="1"/>
      <c r="L230" s="1"/>
      <c r="M230" s="1"/>
    </row>
    <row r="231" spans="1:13">
      <c r="A231" s="1">
        <v>32.404019432984455</v>
      </c>
      <c r="B231" s="1">
        <v>34.145315262908952</v>
      </c>
      <c r="C231" s="1">
        <v>330.0814929237813</v>
      </c>
      <c r="D231" s="24">
        <f>Data__2[[#This Row],[Project_1]]/J$4</f>
        <v>0.21602679621989637</v>
      </c>
      <c r="E231" s="24">
        <f>Data__2[[#This Row],[Project_2]]/K$4</f>
        <v>0.22763543508605968</v>
      </c>
      <c r="F231" s="24">
        <f>Data__2[[#This Row],[Market]]/L$4</f>
        <v>0.33008149292378131</v>
      </c>
      <c r="G231" s="1">
        <f>L$24*Data__2[[#This Row],[Return Market]]*J$4</f>
        <v>18.337860717987869</v>
      </c>
      <c r="H231" s="1">
        <f>M$24*Data__2[[#This Row],[Return Market]]*K$4</f>
        <v>19.254753753887268</v>
      </c>
      <c r="I231" s="1"/>
      <c r="J231" s="1"/>
      <c r="K231" s="1"/>
      <c r="L231" s="1"/>
      <c r="M231" s="1"/>
    </row>
    <row r="232" spans="1:13">
      <c r="A232" s="1">
        <v>27.379611765175063</v>
      </c>
      <c r="B232" s="1">
        <v>29.347832416298246</v>
      </c>
      <c r="C232" s="1">
        <v>299.64159457592802</v>
      </c>
      <c r="D232" s="24">
        <f>Data__2[[#This Row],[Project_1]]/J$4</f>
        <v>0.1825307451011671</v>
      </c>
      <c r="E232" s="24">
        <f>Data__2[[#This Row],[Project_2]]/K$4</f>
        <v>0.19565221610865496</v>
      </c>
      <c r="F232" s="24">
        <f>Data__2[[#This Row],[Market]]/L$4</f>
        <v>0.29964159457592804</v>
      </c>
      <c r="G232" s="1">
        <f>L$24*Data__2[[#This Row],[Return Market]]*J$4</f>
        <v>16.646755254218245</v>
      </c>
      <c r="H232" s="1">
        <f>M$24*Data__2[[#This Row],[Return Market]]*K$4</f>
        <v>17.479093016929159</v>
      </c>
      <c r="I232" s="1"/>
      <c r="J232" s="1"/>
      <c r="K232" s="1"/>
      <c r="L232" s="1"/>
      <c r="M232" s="1"/>
    </row>
    <row r="233" spans="1:13">
      <c r="A233" s="1">
        <v>41.68966705367496</v>
      </c>
      <c r="B233" s="1">
        <v>29.977404780015</v>
      </c>
      <c r="C233" s="1">
        <v>35.972652211310233</v>
      </c>
      <c r="D233" s="24">
        <f>Data__2[[#This Row],[Project_1]]/J$4</f>
        <v>0.27793111369116641</v>
      </c>
      <c r="E233" s="24">
        <f>Data__2[[#This Row],[Project_2]]/K$4</f>
        <v>0.19984936520009999</v>
      </c>
      <c r="F233" s="24">
        <f>Data__2[[#This Row],[Market]]/L$4</f>
        <v>3.5972652211310234E-2</v>
      </c>
      <c r="G233" s="1">
        <f>L$24*Data__2[[#This Row],[Return Market]]*J$4</f>
        <v>1.9984806784061264</v>
      </c>
      <c r="H233" s="1">
        <f>M$24*Data__2[[#This Row],[Return Market]]*K$4</f>
        <v>2.0984047123264333</v>
      </c>
      <c r="I233" s="1"/>
      <c r="J233" s="1"/>
      <c r="K233" s="1"/>
      <c r="L233" s="1"/>
      <c r="M233" s="1"/>
    </row>
    <row r="234" spans="1:13">
      <c r="A234" s="1">
        <v>-25.485278770938166</v>
      </c>
      <c r="B234" s="1">
        <v>-2.8746469758930786</v>
      </c>
      <c r="C234" s="1">
        <v>-39.161107917474055</v>
      </c>
      <c r="D234" s="24">
        <f>Data__2[[#This Row],[Project_1]]/J$4</f>
        <v>-0.16990185847292111</v>
      </c>
      <c r="E234" s="24">
        <f>Data__2[[#This Row],[Project_2]]/K$4</f>
        <v>-1.9164313172620524E-2</v>
      </c>
      <c r="F234" s="24">
        <f>Data__2[[#This Row],[Market]]/L$4</f>
        <v>-3.9161107917474056E-2</v>
      </c>
      <c r="G234" s="1">
        <f>L$24*Data__2[[#This Row],[Return Market]]*J$4</f>
        <v>-2.1756171065263388</v>
      </c>
      <c r="H234" s="1">
        <f>M$24*Data__2[[#This Row],[Return Market]]*K$4</f>
        <v>-2.2843979618526564</v>
      </c>
      <c r="I234" s="1"/>
      <c r="J234" s="1"/>
      <c r="K234" s="1"/>
      <c r="L234" s="1"/>
      <c r="M234" s="1"/>
    </row>
    <row r="235" spans="1:13">
      <c r="A235" s="1">
        <v>-3.2577011737889041</v>
      </c>
      <c r="B235" s="1">
        <v>6.5315501709417321</v>
      </c>
      <c r="C235" s="1">
        <v>-16.291317780096335</v>
      </c>
      <c r="D235" s="24">
        <f>Data__2[[#This Row],[Project_1]]/J$4</f>
        <v>-2.1718007825259362E-2</v>
      </c>
      <c r="E235" s="24">
        <f>Data__2[[#This Row],[Project_2]]/K$4</f>
        <v>4.3543667806278212E-2</v>
      </c>
      <c r="F235" s="24">
        <f>Data__2[[#This Row],[Market]]/L$4</f>
        <v>-1.6291317780096334E-2</v>
      </c>
      <c r="G235" s="1">
        <f>L$24*Data__2[[#This Row],[Return Market]]*J$4</f>
        <v>-0.9050732100053529</v>
      </c>
      <c r="H235" s="1">
        <f>M$24*Data__2[[#This Row],[Return Market]]*K$4</f>
        <v>-0.9503268705056207</v>
      </c>
      <c r="I235" s="1"/>
      <c r="J235" s="1"/>
      <c r="K235" s="1"/>
      <c r="L235" s="1"/>
      <c r="M235" s="1"/>
    </row>
    <row r="236" spans="1:13">
      <c r="A236" s="1">
        <v>-1.1388830803042804</v>
      </c>
      <c r="B236" s="1">
        <v>-4.6327565261242931</v>
      </c>
      <c r="C236" s="1">
        <v>9.8856869049951683</v>
      </c>
      <c r="D236" s="24">
        <f>Data__2[[#This Row],[Project_1]]/J$4</f>
        <v>-7.5925538686952027E-3</v>
      </c>
      <c r="E236" s="24">
        <f>Data__2[[#This Row],[Project_2]]/K$4</f>
        <v>-3.0885043507495286E-2</v>
      </c>
      <c r="F236" s="24">
        <f>Data__2[[#This Row],[Market]]/L$4</f>
        <v>9.8856869049951685E-3</v>
      </c>
      <c r="G236" s="1">
        <f>L$24*Data__2[[#This Row],[Return Market]]*J$4</f>
        <v>0.54920482805528781</v>
      </c>
      <c r="H236" s="1">
        <f>M$24*Data__2[[#This Row],[Return Market]]*K$4</f>
        <v>0.57666506945805218</v>
      </c>
      <c r="I236" s="1"/>
      <c r="J236" s="1"/>
      <c r="K236" s="1"/>
      <c r="L236" s="1"/>
      <c r="M236" s="1"/>
    </row>
    <row r="237" spans="1:13">
      <c r="A237" s="1">
        <v>20.860255118047192</v>
      </c>
      <c r="B237" s="1">
        <v>20.428534809612994</v>
      </c>
      <c r="C237" s="1">
        <v>174.8319671361368</v>
      </c>
      <c r="D237" s="24">
        <f>Data__2[[#This Row],[Project_1]]/J$4</f>
        <v>0.13906836745364795</v>
      </c>
      <c r="E237" s="24">
        <f>Data__2[[#This Row],[Project_2]]/K$4</f>
        <v>0.13619023206408662</v>
      </c>
      <c r="F237" s="24">
        <f>Data__2[[#This Row],[Market]]/L$4</f>
        <v>0.1748319671361368</v>
      </c>
      <c r="G237" s="1">
        <f>L$24*Data__2[[#This Row],[Return Market]]*J$4</f>
        <v>9.7128870631187212</v>
      </c>
      <c r="H237" s="1">
        <f>M$24*Data__2[[#This Row],[Return Market]]*K$4</f>
        <v>10.19853141627466</v>
      </c>
      <c r="I237" s="1"/>
      <c r="J237" s="1"/>
      <c r="K237" s="1"/>
      <c r="L237" s="1"/>
      <c r="M237" s="1"/>
    </row>
    <row r="238" spans="1:13">
      <c r="A238" s="1">
        <v>-9.7431252986305452</v>
      </c>
      <c r="B238" s="1">
        <v>-5.6719644148064479</v>
      </c>
      <c r="C238" s="1">
        <v>-141.33949505387298</v>
      </c>
      <c r="D238" s="24">
        <f>Data__2[[#This Row],[Project_1]]/J$4</f>
        <v>-6.4954168657536962E-2</v>
      </c>
      <c r="E238" s="24">
        <f>Data__2[[#This Row],[Project_2]]/K$4</f>
        <v>-3.7813096098709649E-2</v>
      </c>
      <c r="F238" s="24">
        <f>Data__2[[#This Row],[Market]]/L$4</f>
        <v>-0.14133949505387297</v>
      </c>
      <c r="G238" s="1">
        <f>L$24*Data__2[[#This Row],[Return Market]]*J$4</f>
        <v>-7.8521941696596187</v>
      </c>
      <c r="H238" s="1">
        <f>M$24*Data__2[[#This Row],[Return Market]]*K$4</f>
        <v>-8.2448038781425996</v>
      </c>
      <c r="I238" s="1"/>
      <c r="J238" s="1"/>
      <c r="K238" s="1"/>
      <c r="L238" s="1"/>
      <c r="M238" s="1"/>
    </row>
    <row r="239" spans="1:13">
      <c r="A239" s="1">
        <v>-1.3508274285708115</v>
      </c>
      <c r="B239" s="1">
        <v>19.608317787518828</v>
      </c>
      <c r="C239" s="1">
        <v>174.19998468419732</v>
      </c>
      <c r="D239" s="24">
        <f>Data__2[[#This Row],[Project_1]]/J$4</f>
        <v>-9.0055161904720772E-3</v>
      </c>
      <c r="E239" s="24">
        <f>Data__2[[#This Row],[Project_2]]/K$4</f>
        <v>0.13072211858345886</v>
      </c>
      <c r="F239" s="24">
        <f>Data__2[[#This Row],[Market]]/L$4</f>
        <v>0.17419998468419731</v>
      </c>
      <c r="G239" s="1">
        <f>L$24*Data__2[[#This Row],[Return Market]]*J$4</f>
        <v>9.6777769268998615</v>
      </c>
      <c r="H239" s="1">
        <f>M$24*Data__2[[#This Row],[Return Market]]*K$4</f>
        <v>10.161665773244856</v>
      </c>
      <c r="I239" s="1"/>
      <c r="J239" s="1"/>
      <c r="K239" s="1"/>
      <c r="L239" s="1"/>
      <c r="M239" s="1"/>
    </row>
    <row r="240" spans="1:13">
      <c r="A240" s="1">
        <v>20.63405035612822</v>
      </c>
      <c r="B240" s="1">
        <v>4.5797368313417008</v>
      </c>
      <c r="C240" s="1">
        <v>135.41058584399829</v>
      </c>
      <c r="D240" s="24">
        <f>Data__2[[#This Row],[Project_1]]/J$4</f>
        <v>0.13756033570752146</v>
      </c>
      <c r="E240" s="24">
        <f>Data__2[[#This Row],[Project_2]]/K$4</f>
        <v>3.0531578875611341E-2</v>
      </c>
      <c r="F240" s="24">
        <f>Data__2[[#This Row],[Market]]/L$4</f>
        <v>0.13541058584399829</v>
      </c>
      <c r="G240" s="1">
        <f>L$24*Data__2[[#This Row],[Return Market]]*J$4</f>
        <v>7.5228103246665805</v>
      </c>
      <c r="H240" s="1">
        <f>M$24*Data__2[[#This Row],[Return Market]]*K$4</f>
        <v>7.8989508408999098</v>
      </c>
      <c r="I240" s="1"/>
      <c r="J240" s="1"/>
      <c r="K240" s="1"/>
      <c r="L240" s="1"/>
      <c r="M240" s="1"/>
    </row>
    <row r="241" spans="1:13">
      <c r="A241" s="1">
        <v>13.864625829250272</v>
      </c>
      <c r="B241" s="1">
        <v>27.285941145166298</v>
      </c>
      <c r="C241" s="1">
        <v>287.22448192079139</v>
      </c>
      <c r="D241" s="24">
        <f>Data__2[[#This Row],[Project_1]]/J$4</f>
        <v>9.2430838861668488E-2</v>
      </c>
      <c r="E241" s="24">
        <f>Data__2[[#This Row],[Project_2]]/K$4</f>
        <v>0.18190627430110864</v>
      </c>
      <c r="F241" s="24">
        <f>Data__2[[#This Row],[Market]]/L$4</f>
        <v>0.28722448192079136</v>
      </c>
      <c r="G241" s="1">
        <f>L$24*Data__2[[#This Row],[Return Market]]*J$4</f>
        <v>15.956915662266205</v>
      </c>
      <c r="H241" s="1">
        <f>M$24*Data__2[[#This Row],[Return Market]]*K$4</f>
        <v>16.754761445379518</v>
      </c>
      <c r="I241" s="1"/>
      <c r="J241" s="1"/>
      <c r="K241" s="1"/>
      <c r="L241" s="1"/>
      <c r="M241" s="1"/>
    </row>
    <row r="242" spans="1:13">
      <c r="A242" s="1">
        <v>9.5451456092554974</v>
      </c>
      <c r="B242" s="1">
        <v>16.462162201984587</v>
      </c>
      <c r="C242" s="1">
        <v>34.607340745904871</v>
      </c>
      <c r="D242" s="24">
        <f>Data__2[[#This Row],[Project_1]]/J$4</f>
        <v>6.3634304061703312E-2</v>
      </c>
      <c r="E242" s="24">
        <f>Data__2[[#This Row],[Project_2]]/K$4</f>
        <v>0.10974774801323058</v>
      </c>
      <c r="F242" s="24">
        <f>Data__2[[#This Row],[Market]]/L$4</f>
        <v>3.4607340745904873E-2</v>
      </c>
      <c r="G242" s="1">
        <f>L$24*Data__2[[#This Row],[Return Market]]*J$4</f>
        <v>1.9226300414391617</v>
      </c>
      <c r="H242" s="1">
        <f>M$24*Data__2[[#This Row],[Return Market]]*K$4</f>
        <v>2.0187615435111201</v>
      </c>
      <c r="I242" s="1"/>
      <c r="J242" s="1"/>
      <c r="K242" s="1"/>
      <c r="L242" s="1"/>
      <c r="M242" s="1"/>
    </row>
    <row r="243" spans="1:13">
      <c r="A243" s="1">
        <v>5.3297392777755528</v>
      </c>
      <c r="B243" s="1">
        <v>17.902125420709602</v>
      </c>
      <c r="C243" s="1">
        <v>157.01154280081732</v>
      </c>
      <c r="D243" s="24">
        <f>Data__2[[#This Row],[Project_1]]/J$4</f>
        <v>3.553159518517035E-2</v>
      </c>
      <c r="E243" s="24">
        <f>Data__2[[#This Row],[Project_2]]/K$4</f>
        <v>0.11934750280473068</v>
      </c>
      <c r="F243" s="24">
        <f>Data__2[[#This Row],[Market]]/L$4</f>
        <v>0.15701154280081733</v>
      </c>
      <c r="G243" s="1">
        <f>L$24*Data__2[[#This Row],[Return Market]]*J$4</f>
        <v>8.7228634889343066</v>
      </c>
      <c r="H243" s="1">
        <f>M$24*Data__2[[#This Row],[Return Market]]*K$4</f>
        <v>9.1590066633810228</v>
      </c>
      <c r="I243" s="1"/>
      <c r="J243" s="1"/>
      <c r="K243" s="1"/>
      <c r="L243" s="1"/>
      <c r="M243" s="1"/>
    </row>
    <row r="244" spans="1:13">
      <c r="A244" s="1">
        <v>-3.2670739039135519</v>
      </c>
      <c r="B244" s="1">
        <v>-0.93917485282410595</v>
      </c>
      <c r="C244" s="1">
        <v>-245.92925735316192</v>
      </c>
      <c r="D244" s="24">
        <f>Data__2[[#This Row],[Project_1]]/J$4</f>
        <v>-2.1780492692757013E-2</v>
      </c>
      <c r="E244" s="24">
        <f>Data__2[[#This Row],[Project_2]]/K$4</f>
        <v>-6.26116568549404E-3</v>
      </c>
      <c r="F244" s="24">
        <f>Data__2[[#This Row],[Market]]/L$4</f>
        <v>-0.24592925735316193</v>
      </c>
      <c r="G244" s="1">
        <f>L$24*Data__2[[#This Row],[Return Market]]*J$4</f>
        <v>-13.662736519620124</v>
      </c>
      <c r="H244" s="1">
        <f>M$24*Data__2[[#This Row],[Return Market]]*K$4</f>
        <v>-14.345873345601131</v>
      </c>
      <c r="I244" s="1"/>
      <c r="J244" s="1"/>
      <c r="K244" s="1"/>
      <c r="L244" s="1"/>
      <c r="M244" s="1"/>
    </row>
    <row r="245" spans="1:13">
      <c r="A245" s="1">
        <v>11.403288532516266</v>
      </c>
      <c r="B245" s="1">
        <v>15.809291943829951</v>
      </c>
      <c r="C245" s="1">
        <v>144.78809653449946</v>
      </c>
      <c r="D245" s="24">
        <f>Data__2[[#This Row],[Project_1]]/J$4</f>
        <v>7.6021923550108436E-2</v>
      </c>
      <c r="E245" s="24">
        <f>Data__2[[#This Row],[Project_2]]/K$4</f>
        <v>0.10539527962553301</v>
      </c>
      <c r="F245" s="24">
        <f>Data__2[[#This Row],[Market]]/L$4</f>
        <v>0.14478809653449945</v>
      </c>
      <c r="G245" s="1">
        <f>L$24*Data__2[[#This Row],[Return Market]]*J$4</f>
        <v>8.0437831408055338</v>
      </c>
      <c r="H245" s="1">
        <f>M$24*Data__2[[#This Row],[Return Market]]*K$4</f>
        <v>8.4459722978458132</v>
      </c>
      <c r="I245" s="1"/>
      <c r="J245" s="1"/>
      <c r="K245" s="1"/>
      <c r="L245" s="1"/>
      <c r="M245" s="1"/>
    </row>
    <row r="246" spans="1:13">
      <c r="A246" s="1">
        <v>50.194910586545525</v>
      </c>
      <c r="B246" s="1">
        <v>35.116259846749756</v>
      </c>
      <c r="C246" s="1">
        <v>436.23181350775536</v>
      </c>
      <c r="D246" s="24">
        <f>Data__2[[#This Row],[Project_1]]/J$4</f>
        <v>0.33463273724363685</v>
      </c>
      <c r="E246" s="24">
        <f>Data__2[[#This Row],[Project_2]]/K$4</f>
        <v>0.23410839897833172</v>
      </c>
      <c r="F246" s="24">
        <f>Data__2[[#This Row],[Market]]/L$4</f>
        <v>0.43623181350775536</v>
      </c>
      <c r="G246" s="1">
        <f>L$24*Data__2[[#This Row],[Return Market]]*J$4</f>
        <v>24.235100750430881</v>
      </c>
      <c r="H246" s="1">
        <f>M$24*Data__2[[#This Row],[Return Market]]*K$4</f>
        <v>25.44685578795243</v>
      </c>
      <c r="I246" s="1"/>
      <c r="J246" s="1"/>
      <c r="K246" s="1"/>
      <c r="L246" s="1"/>
      <c r="M246" s="1"/>
    </row>
    <row r="247" spans="1:13">
      <c r="A247" s="1">
        <v>23.710993480649641</v>
      </c>
      <c r="B247" s="1">
        <v>22.003106207651058</v>
      </c>
      <c r="C247" s="1">
        <v>133.98088835067591</v>
      </c>
      <c r="D247" s="24">
        <f>Data__2[[#This Row],[Project_1]]/J$4</f>
        <v>0.15807328987099761</v>
      </c>
      <c r="E247" s="24">
        <f>Data__2[[#This Row],[Project_2]]/K$4</f>
        <v>0.14668737471767371</v>
      </c>
      <c r="F247" s="24">
        <f>Data__2[[#This Row],[Market]]/L$4</f>
        <v>0.13398088835067593</v>
      </c>
      <c r="G247" s="1">
        <f>L$24*Data__2[[#This Row],[Return Market]]*J$4</f>
        <v>7.4433826861486709</v>
      </c>
      <c r="H247" s="1">
        <f>M$24*Data__2[[#This Row],[Return Market]]*K$4</f>
        <v>7.8155518204561059</v>
      </c>
      <c r="I247" s="1"/>
      <c r="J247" s="1"/>
      <c r="K247" s="1"/>
      <c r="L247" s="1"/>
      <c r="M247" s="1"/>
    </row>
    <row r="248" spans="1:13">
      <c r="A248" s="1">
        <v>22.547116154691018</v>
      </c>
      <c r="B248" s="1">
        <v>21.6966209900683</v>
      </c>
      <c r="C248" s="1">
        <v>126.08221039254501</v>
      </c>
      <c r="D248" s="24">
        <f>Data__2[[#This Row],[Project_1]]/J$4</f>
        <v>0.15031410769794012</v>
      </c>
      <c r="E248" s="24">
        <f>Data__2[[#This Row],[Project_2]]/K$4</f>
        <v>0.14464413993378866</v>
      </c>
      <c r="F248" s="24">
        <f>Data__2[[#This Row],[Market]]/L$4</f>
        <v>0.126082210392545</v>
      </c>
      <c r="G248" s="1">
        <f>L$24*Data__2[[#This Row],[Return Market]]*J$4</f>
        <v>7.0045672440302855</v>
      </c>
      <c r="H248" s="1">
        <f>M$24*Data__2[[#This Row],[Return Market]]*K$4</f>
        <v>7.354795606231801</v>
      </c>
      <c r="I248" s="1"/>
      <c r="J248" s="1"/>
      <c r="K248" s="1"/>
      <c r="L248" s="1"/>
      <c r="M248" s="1"/>
    </row>
    <row r="249" spans="1:13">
      <c r="A249" s="1">
        <v>12.007907706894525</v>
      </c>
      <c r="B249" s="1">
        <v>6.1197426971557096</v>
      </c>
      <c r="C249" s="1">
        <v>153.43811857000509</v>
      </c>
      <c r="D249" s="24">
        <f>Data__2[[#This Row],[Project_1]]/J$4</f>
        <v>8.0052718045963492E-2</v>
      </c>
      <c r="E249" s="24">
        <f>Data__2[[#This Row],[Project_2]]/K$4</f>
        <v>4.0798284647704734E-2</v>
      </c>
      <c r="F249" s="24">
        <f>Data__2[[#This Row],[Market]]/L$4</f>
        <v>0.15343811857000508</v>
      </c>
      <c r="G249" s="1">
        <f>L$24*Data__2[[#This Row],[Return Market]]*J$4</f>
        <v>8.5243399205558479</v>
      </c>
      <c r="H249" s="1">
        <f>M$24*Data__2[[#This Row],[Return Market]]*K$4</f>
        <v>8.9505569165836416</v>
      </c>
      <c r="I249" s="1"/>
      <c r="J249" s="1"/>
      <c r="K249" s="1"/>
      <c r="L249" s="1"/>
      <c r="M249" s="1"/>
    </row>
    <row r="250" spans="1:13">
      <c r="A250" s="1">
        <v>11.438770071220551</v>
      </c>
      <c r="B250" s="1">
        <v>-0.18746998187429575</v>
      </c>
      <c r="C250" s="1">
        <v>304.69103457600073</v>
      </c>
      <c r="D250" s="24">
        <f>Data__2[[#This Row],[Project_1]]/J$4</f>
        <v>7.6258467141470346E-2</v>
      </c>
      <c r="E250" s="24">
        <f>Data__2[[#This Row],[Project_2]]/K$4</f>
        <v>-1.2497998791619717E-3</v>
      </c>
      <c r="F250" s="24">
        <f>Data__2[[#This Row],[Market]]/L$4</f>
        <v>0.30469103457600072</v>
      </c>
      <c r="G250" s="1">
        <f>L$24*Data__2[[#This Row],[Return Market]]*J$4</f>
        <v>16.927279698666727</v>
      </c>
      <c r="H250" s="1">
        <f>M$24*Data__2[[#This Row],[Return Market]]*K$4</f>
        <v>17.773643683600067</v>
      </c>
      <c r="I250" s="1"/>
      <c r="J250" s="1"/>
      <c r="K250" s="1"/>
      <c r="L250" s="1"/>
      <c r="M250" s="1"/>
    </row>
    <row r="251" spans="1:13">
      <c r="A251" s="1">
        <v>10.574520346905581</v>
      </c>
      <c r="B251" s="1">
        <v>13.827139824824382</v>
      </c>
      <c r="C251" s="1">
        <v>162.40158549189636</v>
      </c>
      <c r="D251" s="24">
        <f>Data__2[[#This Row],[Project_1]]/J$4</f>
        <v>7.0496802312703874E-2</v>
      </c>
      <c r="E251" s="24">
        <f>Data__2[[#This Row],[Project_2]]/K$4</f>
        <v>9.2180932165495874E-2</v>
      </c>
      <c r="F251" s="24">
        <f>Data__2[[#This Row],[Market]]/L$4</f>
        <v>0.16240158549189634</v>
      </c>
      <c r="G251" s="1">
        <f>L$24*Data__2[[#This Row],[Return Market]]*J$4</f>
        <v>9.0223103051053641</v>
      </c>
      <c r="H251" s="1">
        <f>M$24*Data__2[[#This Row],[Return Market]]*K$4</f>
        <v>9.4734258203606316</v>
      </c>
      <c r="I251" s="1"/>
      <c r="J251" s="1"/>
      <c r="K251" s="1"/>
      <c r="L251" s="1"/>
      <c r="M251" s="1"/>
    </row>
    <row r="252" spans="1:13">
      <c r="A252" s="1">
        <v>27.06438234786777</v>
      </c>
      <c r="B252" s="1">
        <v>36.459282571871491</v>
      </c>
      <c r="C252" s="1">
        <v>173.61024169320393</v>
      </c>
      <c r="D252" s="24">
        <f>Data__2[[#This Row],[Project_1]]/J$4</f>
        <v>0.18042921565245179</v>
      </c>
      <c r="E252" s="24">
        <f>Data__2[[#This Row],[Project_2]]/K$4</f>
        <v>0.24306188381247659</v>
      </c>
      <c r="F252" s="24">
        <f>Data__2[[#This Row],[Market]]/L$4</f>
        <v>0.17361024169320394</v>
      </c>
      <c r="G252" s="1">
        <f>L$24*Data__2[[#This Row],[Return Market]]*J$4</f>
        <v>9.6450134274002313</v>
      </c>
      <c r="H252" s="1">
        <f>M$24*Data__2[[#This Row],[Return Market]]*K$4</f>
        <v>10.127264098770244</v>
      </c>
      <c r="I252" s="1"/>
      <c r="J252" s="1"/>
      <c r="K252" s="1"/>
      <c r="L252" s="1"/>
      <c r="M252" s="1"/>
    </row>
    <row r="253" spans="1:13">
      <c r="A253" s="1">
        <v>26.688603578507799</v>
      </c>
      <c r="B253" s="1">
        <v>31.352965344836061</v>
      </c>
      <c r="C253" s="1">
        <v>384.42344556165136</v>
      </c>
      <c r="D253" s="24">
        <f>Data__2[[#This Row],[Project_1]]/J$4</f>
        <v>0.17792402385671865</v>
      </c>
      <c r="E253" s="24">
        <f>Data__2[[#This Row],[Project_2]]/K$4</f>
        <v>0.20901976896557375</v>
      </c>
      <c r="F253" s="24">
        <f>Data__2[[#This Row],[Market]]/L$4</f>
        <v>0.38442344556165137</v>
      </c>
      <c r="G253" s="1">
        <f>L$24*Data__2[[#This Row],[Return Market]]*J$4</f>
        <v>21.356858086758436</v>
      </c>
      <c r="H253" s="1">
        <f>M$24*Data__2[[#This Row],[Return Market]]*K$4</f>
        <v>22.424700991096358</v>
      </c>
      <c r="I253" s="1"/>
      <c r="J253" s="1"/>
      <c r="K253" s="1"/>
      <c r="L253" s="1"/>
      <c r="M253" s="1"/>
    </row>
    <row r="254" spans="1:13">
      <c r="A254" s="1">
        <v>14.569069115511759</v>
      </c>
      <c r="B254" s="1">
        <v>28.035045292664492</v>
      </c>
      <c r="C254" s="1">
        <v>150.65246833001675</v>
      </c>
      <c r="D254" s="24">
        <f>Data__2[[#This Row],[Project_1]]/J$4</f>
        <v>9.7127127436745064E-2</v>
      </c>
      <c r="E254" s="24">
        <f>Data__2[[#This Row],[Project_2]]/K$4</f>
        <v>0.18690030195109661</v>
      </c>
      <c r="F254" s="24">
        <f>Data__2[[#This Row],[Market]]/L$4</f>
        <v>0.15065246833001675</v>
      </c>
      <c r="G254" s="1">
        <f>L$24*Data__2[[#This Row],[Return Market]]*J$4</f>
        <v>8.3695815738898283</v>
      </c>
      <c r="H254" s="1">
        <f>M$24*Data__2[[#This Row],[Return Market]]*K$4</f>
        <v>8.7880606525843223</v>
      </c>
      <c r="I254" s="1"/>
      <c r="J254" s="1"/>
      <c r="K254" s="1"/>
      <c r="L254" s="1"/>
      <c r="M254" s="1"/>
    </row>
    <row r="255" spans="1:13">
      <c r="A255" s="1">
        <v>31.434409360062144</v>
      </c>
      <c r="B255" s="1">
        <v>35.014946063213692</v>
      </c>
      <c r="C255" s="1">
        <v>398.68866284232803</v>
      </c>
      <c r="D255" s="24">
        <f>Data__2[[#This Row],[Project_1]]/J$4</f>
        <v>0.20956272906708096</v>
      </c>
      <c r="E255" s="24">
        <f>Data__2[[#This Row],[Project_2]]/K$4</f>
        <v>0.23343297375475794</v>
      </c>
      <c r="F255" s="24">
        <f>Data__2[[#This Row],[Market]]/L$4</f>
        <v>0.39868866284232801</v>
      </c>
      <c r="G255" s="1">
        <f>L$24*Data__2[[#This Row],[Return Market]]*J$4</f>
        <v>22.149370157907136</v>
      </c>
      <c r="H255" s="1">
        <f>M$24*Data__2[[#This Row],[Return Market]]*K$4</f>
        <v>23.256838665802498</v>
      </c>
      <c r="I255" s="1"/>
      <c r="J255" s="1"/>
      <c r="K255" s="1"/>
      <c r="L255" s="1"/>
      <c r="M255" s="1"/>
    </row>
    <row r="256" spans="1:13">
      <c r="A256" s="1">
        <v>-6.1238926274455032</v>
      </c>
      <c r="B256" s="1">
        <v>0.57828410108326267</v>
      </c>
      <c r="C256" s="1">
        <v>-138.68606612617887</v>
      </c>
      <c r="D256" s="24">
        <f>Data__2[[#This Row],[Project_1]]/J$4</f>
        <v>-4.0825950849636687E-2</v>
      </c>
      <c r="E256" s="24">
        <f>Data__2[[#This Row],[Project_2]]/K$4</f>
        <v>3.8552273405550843E-3</v>
      </c>
      <c r="F256" s="24">
        <f>Data__2[[#This Row],[Market]]/L$4</f>
        <v>-0.13868606612617887</v>
      </c>
      <c r="G256" s="1">
        <f>L$24*Data__2[[#This Row],[Return Market]]*J$4</f>
        <v>-7.70478145145439</v>
      </c>
      <c r="H256" s="1">
        <f>M$24*Data__2[[#This Row],[Return Market]]*K$4</f>
        <v>-8.0900205240271106</v>
      </c>
      <c r="I256" s="1"/>
      <c r="J256" s="1"/>
      <c r="K256" s="1"/>
      <c r="L256" s="1"/>
      <c r="M256" s="1"/>
    </row>
    <row r="257" spans="1:13">
      <c r="A257" s="1">
        <v>28.974587317053562</v>
      </c>
      <c r="B257" s="1">
        <v>17.889576287858674</v>
      </c>
      <c r="C257" s="1">
        <v>245.18075309746601</v>
      </c>
      <c r="D257" s="24">
        <f>Data__2[[#This Row],[Project_1]]/J$4</f>
        <v>0.19316391544702374</v>
      </c>
      <c r="E257" s="24">
        <f>Data__2[[#This Row],[Project_2]]/K$4</f>
        <v>0.11926384191905783</v>
      </c>
      <c r="F257" s="24">
        <f>Data__2[[#This Row],[Market]]/L$4</f>
        <v>0.24518075309746601</v>
      </c>
      <c r="G257" s="1">
        <f>L$24*Data__2[[#This Row],[Return Market]]*J$4</f>
        <v>13.621152949859237</v>
      </c>
      <c r="H257" s="1">
        <f>M$24*Data__2[[#This Row],[Return Market]]*K$4</f>
        <v>14.302210597352202</v>
      </c>
      <c r="I257" s="1"/>
      <c r="J257" s="1"/>
      <c r="K257" s="1"/>
      <c r="L257" s="1"/>
      <c r="M257" s="1"/>
    </row>
    <row r="258" spans="1:13">
      <c r="A258" s="1">
        <v>31.336543632546064</v>
      </c>
      <c r="B258" s="1">
        <v>23.50048474472592</v>
      </c>
      <c r="C258" s="1">
        <v>5.1361200654203145</v>
      </c>
      <c r="D258" s="24">
        <f>Data__2[[#This Row],[Project_1]]/J$4</f>
        <v>0.20891029088364044</v>
      </c>
      <c r="E258" s="24">
        <f>Data__2[[#This Row],[Project_2]]/K$4</f>
        <v>0.15666989829817279</v>
      </c>
      <c r="F258" s="24">
        <f>Data__2[[#This Row],[Market]]/L$4</f>
        <v>5.1361200654203142E-3</v>
      </c>
      <c r="G258" s="1">
        <f>L$24*Data__2[[#This Row],[Return Market]]*J$4</f>
        <v>0.28534000363446221</v>
      </c>
      <c r="H258" s="1">
        <f>M$24*Data__2[[#This Row],[Return Market]]*K$4</f>
        <v>0.29960700381618538</v>
      </c>
      <c r="I258" s="1"/>
      <c r="J258" s="1"/>
      <c r="K258" s="1"/>
      <c r="L258" s="1"/>
      <c r="M258" s="1"/>
    </row>
    <row r="259" spans="1:13">
      <c r="A259" s="1">
        <v>14.135899367676517</v>
      </c>
      <c r="B259" s="1">
        <v>11.350681273150494</v>
      </c>
      <c r="C259" s="1">
        <v>89.202011029748078</v>
      </c>
      <c r="D259" s="24">
        <f>Data__2[[#This Row],[Project_1]]/J$4</f>
        <v>9.423932911784344E-2</v>
      </c>
      <c r="E259" s="24">
        <f>Data__2[[#This Row],[Project_2]]/K$4</f>
        <v>7.5671208487669964E-2</v>
      </c>
      <c r="F259" s="24">
        <f>Data__2[[#This Row],[Market]]/L$4</f>
        <v>8.9202011029748077E-2</v>
      </c>
      <c r="G259" s="1">
        <f>L$24*Data__2[[#This Row],[Return Market]]*J$4</f>
        <v>4.9556672794304539</v>
      </c>
      <c r="H259" s="1">
        <f>M$24*Data__2[[#This Row],[Return Market]]*K$4</f>
        <v>5.203450643401978</v>
      </c>
      <c r="I259" s="1"/>
      <c r="J259" s="1"/>
      <c r="K259" s="1"/>
      <c r="L259" s="1"/>
      <c r="M259" s="1"/>
    </row>
    <row r="260" spans="1:13">
      <c r="A260" s="1">
        <v>-12.571218914585515</v>
      </c>
      <c r="B260" s="1">
        <v>-8.6942078918054193</v>
      </c>
      <c r="C260" s="1">
        <v>-202.53068524218389</v>
      </c>
      <c r="D260" s="24">
        <f>Data__2[[#This Row],[Project_1]]/J$4</f>
        <v>-8.3808126097236771E-2</v>
      </c>
      <c r="E260" s="24">
        <f>Data__2[[#This Row],[Project_2]]/K$4</f>
        <v>-5.796138594536946E-2</v>
      </c>
      <c r="F260" s="24">
        <f>Data__2[[#This Row],[Market]]/L$4</f>
        <v>-0.2025306852421839</v>
      </c>
      <c r="G260" s="1">
        <f>L$24*Data__2[[#This Row],[Return Market]]*J$4</f>
        <v>-11.251704735676896</v>
      </c>
      <c r="H260" s="1">
        <f>M$24*Data__2[[#This Row],[Return Market]]*K$4</f>
        <v>-11.814289972460742</v>
      </c>
      <c r="I260" s="1"/>
      <c r="J260" s="1"/>
      <c r="K260" s="1"/>
      <c r="L260" s="1"/>
      <c r="M260" s="1"/>
    </row>
    <row r="261" spans="1:13">
      <c r="A261" s="1">
        <v>20.247482630454844</v>
      </c>
      <c r="B261" s="1">
        <v>9.1542402204586537E-2</v>
      </c>
      <c r="C261" s="1">
        <v>-83.896860638038362</v>
      </c>
      <c r="D261" s="24">
        <f>Data__2[[#This Row],[Project_1]]/J$4</f>
        <v>0.13498321753636564</v>
      </c>
      <c r="E261" s="24">
        <f>Data__2[[#This Row],[Project_2]]/K$4</f>
        <v>6.1028268136391025E-4</v>
      </c>
      <c r="F261" s="24">
        <f>Data__2[[#This Row],[Market]]/L$4</f>
        <v>-8.3896860638038362E-2</v>
      </c>
      <c r="G261" s="1">
        <f>L$24*Data__2[[#This Row],[Return Market]]*J$4</f>
        <v>-4.660936702113248</v>
      </c>
      <c r="H261" s="1">
        <f>M$24*Data__2[[#This Row],[Return Market]]*K$4</f>
        <v>-4.8939835372189107</v>
      </c>
      <c r="I261" s="1"/>
      <c r="J261" s="1"/>
      <c r="K261" s="1"/>
      <c r="L261" s="1"/>
      <c r="M261" s="1"/>
    </row>
    <row r="262" spans="1:13">
      <c r="A262" s="1">
        <v>20.814649222093223</v>
      </c>
      <c r="B262" s="1">
        <v>11.069484676881718</v>
      </c>
      <c r="C262" s="1">
        <v>68.253585760577892</v>
      </c>
      <c r="D262" s="24">
        <f>Data__2[[#This Row],[Project_1]]/J$4</f>
        <v>0.13876432814728815</v>
      </c>
      <c r="E262" s="24">
        <f>Data__2[[#This Row],[Project_2]]/K$4</f>
        <v>7.3796564512544779E-2</v>
      </c>
      <c r="F262" s="24">
        <f>Data__2[[#This Row],[Market]]/L$4</f>
        <v>6.8253585760577898E-2</v>
      </c>
      <c r="G262" s="1">
        <f>L$24*Data__2[[#This Row],[Return Market]]*J$4</f>
        <v>3.7918658755876651</v>
      </c>
      <c r="H262" s="1">
        <f>M$24*Data__2[[#This Row],[Return Market]]*K$4</f>
        <v>3.9814591693670489</v>
      </c>
      <c r="I262" s="1"/>
      <c r="J262" s="1"/>
      <c r="K262" s="1"/>
      <c r="L262" s="1"/>
      <c r="M262" s="1"/>
    </row>
    <row r="263" spans="1:13">
      <c r="A263" s="1">
        <v>19.518705002420695</v>
      </c>
      <c r="B263" s="1">
        <v>6.0237852887416068</v>
      </c>
      <c r="C263" s="1">
        <v>84.84207106491769</v>
      </c>
      <c r="D263" s="24">
        <f>Data__2[[#This Row],[Project_1]]/J$4</f>
        <v>0.13012470001613796</v>
      </c>
      <c r="E263" s="24">
        <f>Data__2[[#This Row],[Project_2]]/K$4</f>
        <v>4.015856859161071E-2</v>
      </c>
      <c r="F263" s="24">
        <f>Data__2[[#This Row],[Market]]/L$4</f>
        <v>8.4842071064917687E-2</v>
      </c>
      <c r="G263" s="1">
        <f>L$24*Data__2[[#This Row],[Return Market]]*J$4</f>
        <v>4.7134483924954331</v>
      </c>
      <c r="H263" s="1">
        <f>M$24*Data__2[[#This Row],[Return Market]]*K$4</f>
        <v>4.9491208121202046</v>
      </c>
      <c r="I263" s="1"/>
      <c r="J263" s="1"/>
      <c r="K263" s="1"/>
      <c r="L263" s="1"/>
      <c r="M263" s="1"/>
    </row>
    <row r="264" spans="1:13">
      <c r="A264" s="1">
        <v>11.001205264321156</v>
      </c>
      <c r="B264" s="1">
        <v>33.88563053119514</v>
      </c>
      <c r="C264" s="1">
        <v>121.96151460580265</v>
      </c>
      <c r="D264" s="24">
        <f>Data__2[[#This Row],[Project_1]]/J$4</f>
        <v>7.3341368428807702E-2</v>
      </c>
      <c r="E264" s="24">
        <f>Data__2[[#This Row],[Project_2]]/K$4</f>
        <v>0.22590420354130095</v>
      </c>
      <c r="F264" s="24">
        <f>Data__2[[#This Row],[Market]]/L$4</f>
        <v>0.12196151460580265</v>
      </c>
      <c r="G264" s="1">
        <f>L$24*Data__2[[#This Row],[Return Market]]*J$4</f>
        <v>6.7756397003223769</v>
      </c>
      <c r="H264" s="1">
        <f>M$24*Data__2[[#This Row],[Return Market]]*K$4</f>
        <v>7.1144216853384972</v>
      </c>
      <c r="I264" s="1"/>
      <c r="J264" s="1"/>
      <c r="K264" s="1"/>
      <c r="L264" s="1"/>
      <c r="M264" s="1"/>
    </row>
    <row r="265" spans="1:13">
      <c r="A265" s="1">
        <v>26.733833536721018</v>
      </c>
      <c r="B265" s="1">
        <v>6.8701673158973282</v>
      </c>
      <c r="C265" s="1">
        <v>9.6545698669424098</v>
      </c>
      <c r="D265" s="24">
        <f>Data__2[[#This Row],[Project_1]]/J$4</f>
        <v>0.17822555691147346</v>
      </c>
      <c r="E265" s="24">
        <f>Data__2[[#This Row],[Project_2]]/K$4</f>
        <v>4.5801115439315525E-2</v>
      </c>
      <c r="F265" s="24">
        <f>Data__2[[#This Row],[Market]]/L$4</f>
        <v>9.6545698669424102E-3</v>
      </c>
      <c r="G265" s="1">
        <f>L$24*Data__2[[#This Row],[Return Market]]*J$4</f>
        <v>0.53636499260791237</v>
      </c>
      <c r="H265" s="1">
        <f>M$24*Data__2[[#This Row],[Return Market]]*K$4</f>
        <v>0.56318324223830807</v>
      </c>
      <c r="I265" s="1"/>
      <c r="J265" s="1"/>
      <c r="K265" s="1"/>
      <c r="L265" s="1"/>
      <c r="M265" s="1"/>
    </row>
    <row r="266" spans="1:13">
      <c r="A266" s="1">
        <v>36.151523121527596</v>
      </c>
      <c r="B266" s="1">
        <v>45.775203360794521</v>
      </c>
      <c r="C266" s="1">
        <v>359.87567607993464</v>
      </c>
      <c r="D266" s="24">
        <f>Data__2[[#This Row],[Project_1]]/J$4</f>
        <v>0.24101015414351731</v>
      </c>
      <c r="E266" s="24">
        <f>Data__2[[#This Row],[Project_2]]/K$4</f>
        <v>0.30516802240529678</v>
      </c>
      <c r="F266" s="24">
        <f>Data__2[[#This Row],[Market]]/L$4</f>
        <v>0.35987567607993465</v>
      </c>
      <c r="G266" s="1">
        <f>L$24*Data__2[[#This Row],[Return Market]]*J$4</f>
        <v>19.993093115551947</v>
      </c>
      <c r="H266" s="1">
        <f>M$24*Data__2[[#This Row],[Return Market]]*K$4</f>
        <v>20.992747771329547</v>
      </c>
      <c r="I266" s="1"/>
      <c r="J266" s="1"/>
      <c r="K266" s="1"/>
      <c r="L266" s="1"/>
      <c r="M266" s="1"/>
    </row>
    <row r="267" spans="1:13">
      <c r="A267" s="1">
        <v>32.691818224903429</v>
      </c>
      <c r="B267" s="1">
        <v>10.332443547943429</v>
      </c>
      <c r="C267" s="1">
        <v>223.14913367499253</v>
      </c>
      <c r="D267" s="24">
        <f>Data__2[[#This Row],[Project_1]]/J$4</f>
        <v>0.21794545483268954</v>
      </c>
      <c r="E267" s="24">
        <f>Data__2[[#This Row],[Project_2]]/K$4</f>
        <v>6.8882956986289531E-2</v>
      </c>
      <c r="F267" s="24">
        <f>Data__2[[#This Row],[Market]]/L$4</f>
        <v>0.22314913367499253</v>
      </c>
      <c r="G267" s="1">
        <f>L$24*Data__2[[#This Row],[Return Market]]*J$4</f>
        <v>12.397174093055154</v>
      </c>
      <c r="H267" s="1">
        <f>M$24*Data__2[[#This Row],[Return Market]]*K$4</f>
        <v>13.017032797707916</v>
      </c>
      <c r="I267" s="1"/>
      <c r="J267" s="1"/>
      <c r="K267" s="1"/>
      <c r="L267" s="1"/>
      <c r="M267" s="1"/>
    </row>
    <row r="268" spans="1:13">
      <c r="A268" s="1">
        <v>24.56799307196119</v>
      </c>
      <c r="B268" s="1">
        <v>21.344626377748892</v>
      </c>
      <c r="C268" s="1">
        <v>292.527553840542</v>
      </c>
      <c r="D268" s="24">
        <f>Data__2[[#This Row],[Project_1]]/J$4</f>
        <v>0.16378662047974127</v>
      </c>
      <c r="E268" s="24">
        <f>Data__2[[#This Row],[Project_2]]/K$4</f>
        <v>0.14229750918499262</v>
      </c>
      <c r="F268" s="24">
        <f>Data__2[[#This Row],[Market]]/L$4</f>
        <v>0.29252755384054202</v>
      </c>
      <c r="G268" s="1">
        <f>L$24*Data__2[[#This Row],[Return Market]]*J$4</f>
        <v>16.251530768919018</v>
      </c>
      <c r="H268" s="1">
        <f>M$24*Data__2[[#This Row],[Return Market]]*K$4</f>
        <v>17.064107307364974</v>
      </c>
      <c r="I268" s="1"/>
      <c r="J268" s="1"/>
      <c r="K268" s="1"/>
      <c r="L268" s="1"/>
      <c r="M268" s="1"/>
    </row>
    <row r="269" spans="1:13">
      <c r="A269" s="1">
        <v>18.780854859114271</v>
      </c>
      <c r="B269" s="1">
        <v>4.3017051322455035</v>
      </c>
      <c r="C269" s="1">
        <v>166.14836263919824</v>
      </c>
      <c r="D269" s="24">
        <f>Data__2[[#This Row],[Project_1]]/J$4</f>
        <v>0.12520569906076182</v>
      </c>
      <c r="E269" s="24">
        <f>Data__2[[#This Row],[Project_2]]/K$4</f>
        <v>2.8678034214970023E-2</v>
      </c>
      <c r="F269" s="24">
        <f>Data__2[[#This Row],[Market]]/L$4</f>
        <v>0.16614836263919824</v>
      </c>
      <c r="G269" s="1">
        <f>L$24*Data__2[[#This Row],[Return Market]]*J$4</f>
        <v>9.2304645910665801</v>
      </c>
      <c r="H269" s="1">
        <f>M$24*Data__2[[#This Row],[Return Market]]*K$4</f>
        <v>9.691987820619909</v>
      </c>
      <c r="I269" s="1"/>
      <c r="J269" s="1"/>
      <c r="K269" s="1"/>
      <c r="L269" s="1"/>
      <c r="M269" s="1"/>
    </row>
    <row r="270" spans="1:13">
      <c r="A270" s="1">
        <v>25.979770282435837</v>
      </c>
      <c r="B270" s="1">
        <v>2.1259861766813373</v>
      </c>
      <c r="C270" s="1">
        <v>212.52467250543953</v>
      </c>
      <c r="D270" s="24">
        <f>Data__2[[#This Row],[Project_1]]/J$4</f>
        <v>0.17319846854957224</v>
      </c>
      <c r="E270" s="24">
        <f>Data__2[[#This Row],[Project_2]]/K$4</f>
        <v>1.4173241177875582E-2</v>
      </c>
      <c r="F270" s="24">
        <f>Data__2[[#This Row],[Market]]/L$4</f>
        <v>0.21252467250543952</v>
      </c>
      <c r="G270" s="1">
        <f>L$24*Data__2[[#This Row],[Return Market]]*J$4</f>
        <v>11.80692625030221</v>
      </c>
      <c r="H270" s="1">
        <f>M$24*Data__2[[#This Row],[Return Market]]*K$4</f>
        <v>12.397272562817321</v>
      </c>
      <c r="I270" s="1"/>
      <c r="J270" s="1"/>
      <c r="K270" s="1"/>
      <c r="L270" s="1"/>
      <c r="M270" s="1"/>
    </row>
    <row r="271" spans="1:13">
      <c r="A271" s="1">
        <v>10.39714614399743</v>
      </c>
      <c r="B271" s="1">
        <v>31.560355344857882</v>
      </c>
      <c r="C271" s="1">
        <v>356.27961147031039</v>
      </c>
      <c r="D271" s="24">
        <f>Data__2[[#This Row],[Project_1]]/J$4</f>
        <v>6.9314307626649529E-2</v>
      </c>
      <c r="E271" s="24">
        <f>Data__2[[#This Row],[Project_2]]/K$4</f>
        <v>0.21040236896571921</v>
      </c>
      <c r="F271" s="24">
        <f>Data__2[[#This Row],[Market]]/L$4</f>
        <v>0.3562796114703104</v>
      </c>
      <c r="G271" s="1">
        <f>L$24*Data__2[[#This Row],[Return Market]]*J$4</f>
        <v>19.7933117483506</v>
      </c>
      <c r="H271" s="1">
        <f>M$24*Data__2[[#This Row],[Return Market]]*K$4</f>
        <v>20.782977335768134</v>
      </c>
      <c r="I271" s="1"/>
      <c r="J271" s="1"/>
      <c r="K271" s="1"/>
      <c r="L271" s="1"/>
      <c r="M271" s="1"/>
    </row>
    <row r="272" spans="1:13">
      <c r="A272" s="1">
        <v>42.737759693010332</v>
      </c>
      <c r="B272" s="1">
        <v>27.181111254083444</v>
      </c>
      <c r="C272" s="1">
        <v>94.726282101168707</v>
      </c>
      <c r="D272" s="24">
        <f>Data__2[[#This Row],[Project_1]]/J$4</f>
        <v>0.28491839795340224</v>
      </c>
      <c r="E272" s="24">
        <f>Data__2[[#This Row],[Project_2]]/K$4</f>
        <v>0.18120740836055629</v>
      </c>
      <c r="F272" s="24">
        <f>Data__2[[#This Row],[Market]]/L$4</f>
        <v>9.4726282101168707E-2</v>
      </c>
      <c r="G272" s="1">
        <f>L$24*Data__2[[#This Row],[Return Market]]*J$4</f>
        <v>5.2625712278427113</v>
      </c>
      <c r="H272" s="1">
        <f>M$24*Data__2[[#This Row],[Return Market]]*K$4</f>
        <v>5.5256997892348485</v>
      </c>
      <c r="I272" s="1"/>
      <c r="J272" s="1"/>
      <c r="K272" s="1"/>
      <c r="L272" s="1"/>
      <c r="M272" s="1"/>
    </row>
    <row r="273" spans="1:13">
      <c r="A273" s="1">
        <v>31.157756863401577</v>
      </c>
      <c r="B273" s="1">
        <v>23.175394201726419</v>
      </c>
      <c r="C273" s="1">
        <v>248.68590374933939</v>
      </c>
      <c r="D273" s="24">
        <f>Data__2[[#This Row],[Project_1]]/J$4</f>
        <v>0.20771837908934385</v>
      </c>
      <c r="E273" s="24">
        <f>Data__2[[#This Row],[Project_2]]/K$4</f>
        <v>0.15450262801150946</v>
      </c>
      <c r="F273" s="24">
        <f>Data__2[[#This Row],[Market]]/L$4</f>
        <v>0.24868590374933938</v>
      </c>
      <c r="G273" s="1">
        <f>L$24*Data__2[[#This Row],[Return Market]]*J$4</f>
        <v>13.815883541629983</v>
      </c>
      <c r="H273" s="1">
        <f>M$24*Data__2[[#This Row],[Return Market]]*K$4</f>
        <v>14.506677718711483</v>
      </c>
      <c r="I273" s="1"/>
      <c r="J273" s="1"/>
      <c r="K273" s="1"/>
      <c r="L273" s="1"/>
      <c r="M273" s="1"/>
    </row>
    <row r="274" spans="1:13">
      <c r="A274" s="1">
        <v>12.392069203051374</v>
      </c>
      <c r="B274" s="1">
        <v>20.227017684923378</v>
      </c>
      <c r="C274" s="1">
        <v>317.66341517582816</v>
      </c>
      <c r="D274" s="24">
        <f>Data__2[[#This Row],[Project_1]]/J$4</f>
        <v>8.2613794687009162E-2</v>
      </c>
      <c r="E274" s="24">
        <f>Data__2[[#This Row],[Project_2]]/K$4</f>
        <v>0.13484678456615587</v>
      </c>
      <c r="F274" s="24">
        <f>Data__2[[#This Row],[Market]]/L$4</f>
        <v>0.31766341517582819</v>
      </c>
      <c r="G274" s="1">
        <f>L$24*Data__2[[#This Row],[Return Market]]*J$4</f>
        <v>17.647967509768254</v>
      </c>
      <c r="H274" s="1">
        <f>M$24*Data__2[[#This Row],[Return Market]]*K$4</f>
        <v>18.530365885256668</v>
      </c>
      <c r="I274" s="1"/>
      <c r="J274" s="1"/>
      <c r="K274" s="1"/>
      <c r="L274" s="1"/>
      <c r="M274" s="1"/>
    </row>
    <row r="275" spans="1:13">
      <c r="A275" s="1">
        <v>-25.801907723712844</v>
      </c>
      <c r="B275" s="1">
        <v>-3.6718759932426916</v>
      </c>
      <c r="C275" s="1">
        <v>-251.790860305774</v>
      </c>
      <c r="D275" s="24">
        <f>Data__2[[#This Row],[Project_1]]/J$4</f>
        <v>-0.17201271815808564</v>
      </c>
      <c r="E275" s="24">
        <f>Data__2[[#This Row],[Project_2]]/K$4</f>
        <v>-2.4479173288284611E-2</v>
      </c>
      <c r="F275" s="24">
        <f>Data__2[[#This Row],[Market]]/L$4</f>
        <v>-0.25179086030577402</v>
      </c>
      <c r="G275" s="1">
        <f>L$24*Data__2[[#This Row],[Return Market]]*J$4</f>
        <v>-13.988381128098572</v>
      </c>
      <c r="H275" s="1">
        <f>M$24*Data__2[[#This Row],[Return Market]]*K$4</f>
        <v>-14.687800184503505</v>
      </c>
      <c r="I275" s="1"/>
      <c r="J275" s="1"/>
      <c r="K275" s="1"/>
      <c r="L275" s="1"/>
      <c r="M275" s="1"/>
    </row>
    <row r="276" spans="1:13">
      <c r="A276" s="1">
        <v>12.712922849644968</v>
      </c>
      <c r="B276" s="1">
        <v>18.199208273139377</v>
      </c>
      <c r="C276" s="1">
        <v>54.858566508991188</v>
      </c>
      <c r="D276" s="24">
        <f>Data__2[[#This Row],[Project_1]]/J$4</f>
        <v>8.4752818997633123E-2</v>
      </c>
      <c r="E276" s="24">
        <f>Data__2[[#This Row],[Project_2]]/K$4</f>
        <v>0.12132805515426251</v>
      </c>
      <c r="F276" s="24">
        <f>Data__2[[#This Row],[Market]]/L$4</f>
        <v>5.4858566508991187E-2</v>
      </c>
      <c r="G276" s="1">
        <f>L$24*Data__2[[#This Row],[Return Market]]*J$4</f>
        <v>3.0476981393884026</v>
      </c>
      <c r="H276" s="1">
        <f>M$24*Data__2[[#This Row],[Return Market]]*K$4</f>
        <v>3.2000830463578231</v>
      </c>
      <c r="I276" s="1"/>
      <c r="J276" s="1"/>
      <c r="K276" s="1"/>
      <c r="L276" s="1"/>
      <c r="M276" s="1"/>
    </row>
    <row r="277" spans="1:13">
      <c r="A277" s="1">
        <v>-8.9779500176628559</v>
      </c>
      <c r="B277" s="1">
        <v>-0.75418744243546598</v>
      </c>
      <c r="C277" s="1">
        <v>-136.85250505361842</v>
      </c>
      <c r="D277" s="24">
        <f>Data__2[[#This Row],[Project_1]]/J$4</f>
        <v>-5.9853000117752374E-2</v>
      </c>
      <c r="E277" s="24">
        <f>Data__2[[#This Row],[Project_2]]/K$4</f>
        <v>-5.0279162829031067E-3</v>
      </c>
      <c r="F277" s="24">
        <f>Data__2[[#This Row],[Market]]/L$4</f>
        <v>-0.13685250505361843</v>
      </c>
      <c r="G277" s="1">
        <f>L$24*Data__2[[#This Row],[Return Market]]*J$4</f>
        <v>-7.602916947423255</v>
      </c>
      <c r="H277" s="1">
        <f>M$24*Data__2[[#This Row],[Return Market]]*K$4</f>
        <v>-7.983062794794419</v>
      </c>
      <c r="I277" s="1"/>
      <c r="J277" s="1"/>
      <c r="K277" s="1"/>
      <c r="L277" s="1"/>
      <c r="M277" s="1"/>
    </row>
    <row r="278" spans="1:13">
      <c r="A278" s="1">
        <v>1.6013084169051712</v>
      </c>
      <c r="B278" s="1">
        <v>-9.1603147960581452</v>
      </c>
      <c r="C278" s="1">
        <v>259.24537232200692</v>
      </c>
      <c r="D278" s="24">
        <f>Data__2[[#This Row],[Project_1]]/J$4</f>
        <v>1.0675389446034475E-2</v>
      </c>
      <c r="E278" s="24">
        <f>Data__2[[#This Row],[Project_2]]/K$4</f>
        <v>-6.1068765307054303E-2</v>
      </c>
      <c r="F278" s="24">
        <f>Data__2[[#This Row],[Market]]/L$4</f>
        <v>0.2592453723220069</v>
      </c>
      <c r="G278" s="1">
        <f>L$24*Data__2[[#This Row],[Return Market]]*J$4</f>
        <v>14.402520684555956</v>
      </c>
      <c r="H278" s="1">
        <f>M$24*Data__2[[#This Row],[Return Market]]*K$4</f>
        <v>15.122646718783756</v>
      </c>
      <c r="I278" s="1"/>
      <c r="J278" s="1"/>
      <c r="K278" s="1"/>
      <c r="L278" s="1"/>
      <c r="M278" s="1"/>
    </row>
    <row r="279" spans="1:13">
      <c r="A279" s="1">
        <v>7.7561255713422446</v>
      </c>
      <c r="B279" s="1">
        <v>5.5729279132380647</v>
      </c>
      <c r="C279" s="1">
        <v>141.734877348894</v>
      </c>
      <c r="D279" s="24">
        <f>Data__2[[#This Row],[Project_1]]/J$4</f>
        <v>5.1707503808948299E-2</v>
      </c>
      <c r="E279" s="24">
        <f>Data__2[[#This Row],[Project_2]]/K$4</f>
        <v>3.7152852754920432E-2</v>
      </c>
      <c r="F279" s="24">
        <f>Data__2[[#This Row],[Market]]/L$4</f>
        <v>0.14173487734889401</v>
      </c>
      <c r="G279" s="1">
        <f>L$24*Data__2[[#This Row],[Return Market]]*J$4</f>
        <v>7.8741598527163426</v>
      </c>
      <c r="H279" s="1">
        <f>M$24*Data__2[[#This Row],[Return Market]]*K$4</f>
        <v>8.2678678453521606</v>
      </c>
      <c r="I279" s="1"/>
      <c r="J279" s="1"/>
      <c r="K279" s="1"/>
      <c r="L279" s="1"/>
      <c r="M279" s="1"/>
    </row>
    <row r="280" spans="1:13">
      <c r="A280" s="1">
        <v>28.647998997470957</v>
      </c>
      <c r="B280" s="1">
        <v>18.835035355428431</v>
      </c>
      <c r="C280" s="1">
        <v>154.02554552454623</v>
      </c>
      <c r="D280" s="24">
        <f>Data__2[[#This Row],[Project_1]]/J$4</f>
        <v>0.19098665998313971</v>
      </c>
      <c r="E280" s="24">
        <f>Data__2[[#This Row],[Project_2]]/K$4</f>
        <v>0.12556690236952286</v>
      </c>
      <c r="F280" s="24">
        <f>Data__2[[#This Row],[Market]]/L$4</f>
        <v>0.15402554552454623</v>
      </c>
      <c r="G280" s="1">
        <f>L$24*Data__2[[#This Row],[Return Market]]*J$4</f>
        <v>8.5569747513636898</v>
      </c>
      <c r="H280" s="1">
        <f>M$24*Data__2[[#This Row],[Return Market]]*K$4</f>
        <v>8.984823488931875</v>
      </c>
      <c r="I280" s="1"/>
      <c r="J280" s="1"/>
      <c r="K280" s="1"/>
      <c r="L280" s="1"/>
      <c r="M280" s="1"/>
    </row>
    <row r="281" spans="1:13">
      <c r="A281" s="1">
        <v>4.3324997196722723</v>
      </c>
      <c r="B281" s="1">
        <v>9.286259436528109</v>
      </c>
      <c r="C281" s="1">
        <v>-44.711684313683264</v>
      </c>
      <c r="D281" s="24">
        <f>Data__2[[#This Row],[Project_1]]/J$4</f>
        <v>2.8883331464481816E-2</v>
      </c>
      <c r="E281" s="24">
        <f>Data__2[[#This Row],[Project_2]]/K$4</f>
        <v>6.1908396243520729E-2</v>
      </c>
      <c r="F281" s="24">
        <f>Data__2[[#This Row],[Market]]/L$4</f>
        <v>-4.4711684313683261E-2</v>
      </c>
      <c r="G281" s="1">
        <f>L$24*Data__2[[#This Row],[Return Market]]*J$4</f>
        <v>-2.4839824618712951</v>
      </c>
      <c r="H281" s="1">
        <f>M$24*Data__2[[#This Row],[Return Market]]*K$4</f>
        <v>-2.6081815849648602</v>
      </c>
      <c r="I281" s="1"/>
      <c r="J281" s="1"/>
      <c r="K281" s="1"/>
      <c r="L281" s="1"/>
      <c r="M281" s="1"/>
    </row>
    <row r="282" spans="1:13">
      <c r="A282" s="1">
        <v>31.284533488930915</v>
      </c>
      <c r="B282" s="1">
        <v>17.315736737462043</v>
      </c>
      <c r="C282" s="1">
        <v>96.871988764804684</v>
      </c>
      <c r="D282" s="24">
        <f>Data__2[[#This Row],[Project_1]]/J$4</f>
        <v>0.20856355659287276</v>
      </c>
      <c r="E282" s="24">
        <f>Data__2[[#This Row],[Project_2]]/K$4</f>
        <v>0.11543824491641362</v>
      </c>
      <c r="F282" s="24">
        <f>Data__2[[#This Row],[Market]]/L$4</f>
        <v>9.6871988764804684E-2</v>
      </c>
      <c r="G282" s="1">
        <f>L$24*Data__2[[#This Row],[Return Market]]*J$4</f>
        <v>5.3817771536002663</v>
      </c>
      <c r="H282" s="1">
        <f>M$24*Data__2[[#This Row],[Return Market]]*K$4</f>
        <v>5.6508660112802813</v>
      </c>
      <c r="I282" s="1"/>
      <c r="J282" s="1"/>
      <c r="K282" s="1"/>
      <c r="L282" s="1"/>
      <c r="M282" s="1"/>
    </row>
    <row r="283" spans="1:13">
      <c r="A283" s="1">
        <v>31.588570858730638</v>
      </c>
      <c r="B283" s="1">
        <v>19.592513369848461</v>
      </c>
      <c r="C283" s="1">
        <v>164.29430214738574</v>
      </c>
      <c r="D283" s="24">
        <f>Data__2[[#This Row],[Project_1]]/J$4</f>
        <v>0.21059047239153758</v>
      </c>
      <c r="E283" s="24">
        <f>Data__2[[#This Row],[Project_2]]/K$4</f>
        <v>0.13061675579898974</v>
      </c>
      <c r="F283" s="24">
        <f>Data__2[[#This Row],[Market]]/L$4</f>
        <v>0.16429430214738575</v>
      </c>
      <c r="G283" s="1">
        <f>L$24*Data__2[[#This Row],[Return Market]]*J$4</f>
        <v>9.1274612304103293</v>
      </c>
      <c r="H283" s="1">
        <f>M$24*Data__2[[#This Row],[Return Market]]*K$4</f>
        <v>9.583834291930847</v>
      </c>
      <c r="I283" s="1"/>
      <c r="J283" s="1"/>
      <c r="K283" s="1"/>
      <c r="L283" s="1"/>
      <c r="M283" s="1"/>
    </row>
    <row r="284" spans="1:13">
      <c r="A284" s="1">
        <v>-12.723933829454452</v>
      </c>
      <c r="B284" s="1">
        <v>-4.4351646214032101</v>
      </c>
      <c r="C284" s="1">
        <v>-59.005546387639328</v>
      </c>
      <c r="D284" s="24">
        <f>Data__2[[#This Row],[Project_1]]/J$4</f>
        <v>-8.4826225529696347E-2</v>
      </c>
      <c r="E284" s="24">
        <f>Data__2[[#This Row],[Project_2]]/K$4</f>
        <v>-2.9567764142688066E-2</v>
      </c>
      <c r="F284" s="24">
        <f>Data__2[[#This Row],[Market]]/L$4</f>
        <v>-5.9005546387639329E-2</v>
      </c>
      <c r="G284" s="1">
        <f>L$24*Data__2[[#This Row],[Return Market]]*J$4</f>
        <v>-3.2780859104244109</v>
      </c>
      <c r="H284" s="1">
        <f>M$24*Data__2[[#This Row],[Return Market]]*K$4</f>
        <v>-3.4419902059456322</v>
      </c>
      <c r="I284" s="1"/>
      <c r="J284" s="1"/>
      <c r="K284" s="1"/>
      <c r="L284" s="1"/>
      <c r="M284" s="1"/>
    </row>
    <row r="285" spans="1:13">
      <c r="A285" s="1">
        <v>5.095457364879219</v>
      </c>
      <c r="B285" s="1">
        <v>23.210339579583099</v>
      </c>
      <c r="C285" s="1">
        <v>337.5605498749</v>
      </c>
      <c r="D285" s="24">
        <f>Data__2[[#This Row],[Project_1]]/J$4</f>
        <v>3.3969715765861462E-2</v>
      </c>
      <c r="E285" s="24">
        <f>Data__2[[#This Row],[Project_2]]/K$4</f>
        <v>0.15473559719722066</v>
      </c>
      <c r="F285" s="24">
        <f>Data__2[[#This Row],[Market]]/L$4</f>
        <v>0.33756054987490003</v>
      </c>
      <c r="G285" s="1">
        <f>L$24*Data__2[[#This Row],[Return Market]]*J$4</f>
        <v>18.753363881938913</v>
      </c>
      <c r="H285" s="1">
        <f>M$24*Data__2[[#This Row],[Return Market]]*K$4</f>
        <v>19.69103207603586</v>
      </c>
      <c r="I285" s="1"/>
      <c r="J285" s="1"/>
      <c r="K285" s="1"/>
      <c r="L285" s="1"/>
      <c r="M285" s="1"/>
    </row>
    <row r="286" spans="1:13">
      <c r="A286" s="1">
        <v>7.3102761239659273</v>
      </c>
      <c r="B286" s="1">
        <v>4.9659742372104256</v>
      </c>
      <c r="C286" s="1">
        <v>-10.011105959214817</v>
      </c>
      <c r="D286" s="24">
        <f>Data__2[[#This Row],[Project_1]]/J$4</f>
        <v>4.8735174159772847E-2</v>
      </c>
      <c r="E286" s="24">
        <f>Data__2[[#This Row],[Project_2]]/K$4</f>
        <v>3.3106494914736169E-2</v>
      </c>
      <c r="F286" s="24">
        <f>Data__2[[#This Row],[Market]]/L$4</f>
        <v>-1.0011105959214816E-2</v>
      </c>
      <c r="G286" s="1">
        <f>L$24*Data__2[[#This Row],[Return Market]]*J$4</f>
        <v>-0.5561725532897126</v>
      </c>
      <c r="H286" s="1">
        <f>M$24*Data__2[[#This Row],[Return Market]]*K$4</f>
        <v>-0.58398118095419838</v>
      </c>
      <c r="I286" s="1"/>
      <c r="J286" s="1"/>
      <c r="K286" s="1"/>
      <c r="L286" s="1"/>
      <c r="M286" s="1"/>
    </row>
    <row r="287" spans="1:13">
      <c r="A287" s="1">
        <v>6.164098862905993</v>
      </c>
      <c r="B287" s="1">
        <v>19.590852542966324</v>
      </c>
      <c r="C287" s="1">
        <v>24.780516646443957</v>
      </c>
      <c r="D287" s="24">
        <f>Data__2[[#This Row],[Project_1]]/J$4</f>
        <v>4.1093992419373289E-2</v>
      </c>
      <c r="E287" s="24">
        <f>Data__2[[#This Row],[Project_2]]/K$4</f>
        <v>0.13060568361977551</v>
      </c>
      <c r="F287" s="24">
        <f>Data__2[[#This Row],[Market]]/L$4</f>
        <v>2.4780516646443956E-2</v>
      </c>
      <c r="G287" s="1">
        <f>L$24*Data__2[[#This Row],[Return Market]]*J$4</f>
        <v>1.3766953692468882</v>
      </c>
      <c r="H287" s="1">
        <f>M$24*Data__2[[#This Row],[Return Market]]*K$4</f>
        <v>1.4455301377092327</v>
      </c>
      <c r="I287" s="1"/>
      <c r="J287" s="1"/>
      <c r="K287" s="1"/>
      <c r="L287" s="1"/>
      <c r="M287" s="1"/>
    </row>
    <row r="288" spans="1:13">
      <c r="A288" s="1">
        <v>0.18332954180398175</v>
      </c>
      <c r="B288" s="1">
        <v>-12.762425853993172</v>
      </c>
      <c r="C288" s="1">
        <v>-51.32562173376661</v>
      </c>
      <c r="D288" s="24">
        <f>Data__2[[#This Row],[Project_1]]/J$4</f>
        <v>1.2221969453598783E-3</v>
      </c>
      <c r="E288" s="24">
        <f>Data__2[[#This Row],[Project_2]]/K$4</f>
        <v>-8.5082839026621143E-2</v>
      </c>
      <c r="F288" s="24">
        <f>Data__2[[#This Row],[Market]]/L$4</f>
        <v>-5.1325621733766612E-2</v>
      </c>
      <c r="G288" s="1">
        <f>L$24*Data__2[[#This Row],[Return Market]]*J$4</f>
        <v>-2.8514234296537042</v>
      </c>
      <c r="H288" s="1">
        <f>M$24*Data__2[[#This Row],[Return Market]]*K$4</f>
        <v>-2.9939946011363894</v>
      </c>
      <c r="I288" s="1"/>
      <c r="J288" s="1"/>
      <c r="K288" s="1"/>
      <c r="L288" s="1"/>
      <c r="M288" s="1"/>
    </row>
    <row r="289" spans="1:13">
      <c r="A289" s="1">
        <v>-1.3501748219020797</v>
      </c>
      <c r="B289" s="1">
        <v>-2.3699152573037203</v>
      </c>
      <c r="C289" s="1">
        <v>123.32643218903272</v>
      </c>
      <c r="D289" s="24">
        <f>Data__2[[#This Row],[Project_1]]/J$4</f>
        <v>-9.0011654793471976E-3</v>
      </c>
      <c r="E289" s="24">
        <f>Data__2[[#This Row],[Project_2]]/K$4</f>
        <v>-1.5799435048691468E-2</v>
      </c>
      <c r="F289" s="24">
        <f>Data__2[[#This Row],[Market]]/L$4</f>
        <v>0.12332643218903272</v>
      </c>
      <c r="G289" s="1">
        <f>L$24*Data__2[[#This Row],[Return Market]]*J$4</f>
        <v>6.8514684549462697</v>
      </c>
      <c r="H289" s="1">
        <f>M$24*Data__2[[#This Row],[Return Market]]*K$4</f>
        <v>7.1940418776935848</v>
      </c>
      <c r="I289" s="1"/>
      <c r="J289" s="1"/>
      <c r="K289" s="1"/>
      <c r="L289" s="1"/>
      <c r="M289" s="1"/>
    </row>
    <row r="290" spans="1:13">
      <c r="A290" s="1">
        <v>8.9333016547254758</v>
      </c>
      <c r="B290" s="1">
        <v>34.027026116422093</v>
      </c>
      <c r="C290" s="1">
        <v>372.39930277005436</v>
      </c>
      <c r="D290" s="24">
        <f>Data__2[[#This Row],[Project_1]]/J$4</f>
        <v>5.9555344364836504E-2</v>
      </c>
      <c r="E290" s="24">
        <f>Data__2[[#This Row],[Project_2]]/K$4</f>
        <v>0.22684684077614728</v>
      </c>
      <c r="F290" s="24">
        <f>Data__2[[#This Row],[Market]]/L$4</f>
        <v>0.37239930277005434</v>
      </c>
      <c r="G290" s="1">
        <f>L$24*Data__2[[#This Row],[Return Market]]*J$4</f>
        <v>20.688850153891934</v>
      </c>
      <c r="H290" s="1">
        <f>M$24*Data__2[[#This Row],[Return Market]]*K$4</f>
        <v>21.723292661586534</v>
      </c>
      <c r="I290" s="1"/>
      <c r="J290" s="1"/>
      <c r="K290" s="1"/>
      <c r="L290" s="1"/>
      <c r="M290" s="1"/>
    </row>
    <row r="291" spans="1:13">
      <c r="A291" s="1">
        <v>-3.2607640472386237</v>
      </c>
      <c r="B291" s="1">
        <v>-8.1890754054557178</v>
      </c>
      <c r="C291" s="1">
        <v>-110.68407180705947</v>
      </c>
      <c r="D291" s="24">
        <f>Data__2[[#This Row],[Project_1]]/J$4</f>
        <v>-2.1738426981590824E-2</v>
      </c>
      <c r="E291" s="24">
        <f>Data__2[[#This Row],[Project_2]]/K$4</f>
        <v>-5.4593836036371454E-2</v>
      </c>
      <c r="F291" s="24">
        <f>Data__2[[#This Row],[Market]]/L$4</f>
        <v>-0.11068407180705947</v>
      </c>
      <c r="G291" s="1">
        <f>L$24*Data__2[[#This Row],[Return Market]]*J$4</f>
        <v>-6.1491151003921996</v>
      </c>
      <c r="H291" s="1">
        <f>M$24*Data__2[[#This Row],[Return Market]]*K$4</f>
        <v>-6.4565708554118109</v>
      </c>
      <c r="I291" s="1"/>
      <c r="J291" s="1"/>
      <c r="K291" s="1"/>
      <c r="L291" s="1"/>
      <c r="M291" s="1"/>
    </row>
    <row r="292" spans="1:13">
      <c r="A292" s="1">
        <v>0.69812712996823123</v>
      </c>
      <c r="B292" s="1">
        <v>1.8434116522705413</v>
      </c>
      <c r="C292" s="1">
        <v>-65.66752081111386</v>
      </c>
      <c r="D292" s="24">
        <f>Data__2[[#This Row],[Project_1]]/J$4</f>
        <v>4.6541808664548748E-3</v>
      </c>
      <c r="E292" s="24">
        <f>Data__2[[#This Row],[Project_2]]/K$4</f>
        <v>1.2289411015136942E-2</v>
      </c>
      <c r="F292" s="24">
        <f>Data__2[[#This Row],[Market]]/L$4</f>
        <v>-6.5667520811113864E-2</v>
      </c>
      <c r="G292" s="1">
        <f>L$24*Data__2[[#This Row],[Return Market]]*J$4</f>
        <v>-3.6481956006174414</v>
      </c>
      <c r="H292" s="1">
        <f>M$24*Data__2[[#This Row],[Return Market]]*K$4</f>
        <v>-3.8306053806483136</v>
      </c>
      <c r="I292" s="1"/>
      <c r="J292" s="1"/>
      <c r="K292" s="1"/>
      <c r="L292" s="1"/>
      <c r="M292" s="1"/>
    </row>
    <row r="293" spans="1:13">
      <c r="A293" s="1">
        <v>12.121130547791225</v>
      </c>
      <c r="B293" s="1">
        <v>-2.4722262401923096</v>
      </c>
      <c r="C293" s="1">
        <v>-112.95941138060675</v>
      </c>
      <c r="D293" s="24">
        <f>Data__2[[#This Row],[Project_1]]/J$4</f>
        <v>8.0807536985274833E-2</v>
      </c>
      <c r="E293" s="24">
        <f>Data__2[[#This Row],[Project_2]]/K$4</f>
        <v>-1.6481508267948732E-2</v>
      </c>
      <c r="F293" s="24">
        <f>Data__2[[#This Row],[Market]]/L$4</f>
        <v>-0.11295941138060675</v>
      </c>
      <c r="G293" s="1">
        <f>L$24*Data__2[[#This Row],[Return Market]]*J$4</f>
        <v>-6.2755228544781598</v>
      </c>
      <c r="H293" s="1">
        <f>M$24*Data__2[[#This Row],[Return Market]]*K$4</f>
        <v>-6.5892989972020688</v>
      </c>
      <c r="I293" s="1"/>
      <c r="J293" s="1"/>
      <c r="K293" s="1"/>
      <c r="L293" s="1"/>
      <c r="M293" s="1"/>
    </row>
    <row r="294" spans="1:13">
      <c r="A294" s="1">
        <v>23.972853879658274</v>
      </c>
      <c r="B294" s="1">
        <v>9.6603929666580211</v>
      </c>
      <c r="C294" s="1">
        <v>-32.021399027550316</v>
      </c>
      <c r="D294" s="24">
        <f>Data__2[[#This Row],[Project_1]]/J$4</f>
        <v>0.15981902586438848</v>
      </c>
      <c r="E294" s="24">
        <f>Data__2[[#This Row],[Project_2]]/K$4</f>
        <v>6.4402619777720146E-2</v>
      </c>
      <c r="F294" s="24">
        <f>Data__2[[#This Row],[Market]]/L$4</f>
        <v>-3.2021399027550315E-2</v>
      </c>
      <c r="G294" s="1">
        <f>L$24*Data__2[[#This Row],[Return Market]]*J$4</f>
        <v>-1.7789666126416861</v>
      </c>
      <c r="H294" s="1">
        <f>M$24*Data__2[[#This Row],[Return Market]]*K$4</f>
        <v>-1.8679149432737709</v>
      </c>
      <c r="I294" s="1"/>
      <c r="J294" s="1"/>
      <c r="K294" s="1"/>
      <c r="L294" s="1"/>
      <c r="M294" s="1"/>
    </row>
    <row r="295" spans="1:13">
      <c r="A295" s="1">
        <v>31.185056338347536</v>
      </c>
      <c r="B295" s="1">
        <v>-1.4856372981262282</v>
      </c>
      <c r="C295" s="1">
        <v>-58.232440562949478</v>
      </c>
      <c r="D295" s="24">
        <f>Data__2[[#This Row],[Project_1]]/J$4</f>
        <v>0.20790037558898358</v>
      </c>
      <c r="E295" s="24">
        <f>Data__2[[#This Row],[Project_2]]/K$4</f>
        <v>-9.9042486541748558E-3</v>
      </c>
      <c r="F295" s="24">
        <f>Data__2[[#This Row],[Market]]/L$4</f>
        <v>-5.8232440562949475E-2</v>
      </c>
      <c r="G295" s="1">
        <f>L$24*Data__2[[#This Row],[Return Market]]*J$4</f>
        <v>-3.23513558683053</v>
      </c>
      <c r="H295" s="1">
        <f>M$24*Data__2[[#This Row],[Return Market]]*K$4</f>
        <v>-3.3968923661720574</v>
      </c>
      <c r="I295" s="1"/>
      <c r="J295" s="1"/>
      <c r="K295" s="1"/>
      <c r="L295" s="1"/>
      <c r="M295" s="1"/>
    </row>
    <row r="296" spans="1:13">
      <c r="A296" s="1">
        <v>34.235052752969409</v>
      </c>
      <c r="B296" s="1">
        <v>31.933681133623132</v>
      </c>
      <c r="C296" s="1">
        <v>233.39419465287475</v>
      </c>
      <c r="D296" s="24">
        <f>Data__2[[#This Row],[Project_1]]/J$4</f>
        <v>0.22823368501979607</v>
      </c>
      <c r="E296" s="24">
        <f>Data__2[[#This Row],[Project_2]]/K$4</f>
        <v>0.21289120755748756</v>
      </c>
      <c r="F296" s="24">
        <f>Data__2[[#This Row],[Market]]/L$4</f>
        <v>0.23339419465287475</v>
      </c>
      <c r="G296" s="1">
        <f>L$24*Data__2[[#This Row],[Return Market]]*J$4</f>
        <v>12.966344147381944</v>
      </c>
      <c r="H296" s="1">
        <f>M$24*Data__2[[#This Row],[Return Market]]*K$4</f>
        <v>13.614661354751046</v>
      </c>
      <c r="I296" s="1"/>
      <c r="J296" s="1"/>
      <c r="K296" s="1"/>
      <c r="L296" s="1"/>
      <c r="M296" s="1"/>
    </row>
    <row r="297" spans="1:13">
      <c r="A297" s="1">
        <v>-28.837464041903424</v>
      </c>
      <c r="B297" s="1">
        <v>9.7494789716718113</v>
      </c>
      <c r="C297" s="1">
        <v>127.7571071775985</v>
      </c>
      <c r="D297" s="24">
        <f>Data__2[[#This Row],[Project_1]]/J$4</f>
        <v>-0.19224976027935617</v>
      </c>
      <c r="E297" s="24">
        <f>Data__2[[#This Row],[Project_2]]/K$4</f>
        <v>6.499652647781208E-2</v>
      </c>
      <c r="F297" s="24">
        <f>Data__2[[#This Row],[Market]]/L$4</f>
        <v>0.1277571071775985</v>
      </c>
      <c r="G297" s="1">
        <f>L$24*Data__2[[#This Row],[Return Market]]*J$4</f>
        <v>7.0976170654221464</v>
      </c>
      <c r="H297" s="1">
        <f>M$24*Data__2[[#This Row],[Return Market]]*K$4</f>
        <v>7.4524979186932558</v>
      </c>
      <c r="I297" s="1"/>
      <c r="J297" s="1"/>
      <c r="K297" s="1"/>
      <c r="L297" s="1"/>
      <c r="M297" s="1"/>
    </row>
    <row r="298" spans="1:13">
      <c r="A298" s="1">
        <v>4.184975527239458</v>
      </c>
      <c r="B298" s="1">
        <v>-2.9567683295368852E-2</v>
      </c>
      <c r="C298" s="1">
        <v>-114.77562800688131</v>
      </c>
      <c r="D298" s="24">
        <f>Data__2[[#This Row],[Project_1]]/J$4</f>
        <v>2.7899836848263054E-2</v>
      </c>
      <c r="E298" s="24">
        <f>Data__2[[#This Row],[Project_2]]/K$4</f>
        <v>-1.9711788863579236E-4</v>
      </c>
      <c r="F298" s="24">
        <f>Data__2[[#This Row],[Market]]/L$4</f>
        <v>-0.11477562800688131</v>
      </c>
      <c r="G298" s="1">
        <f>L$24*Data__2[[#This Row],[Return Market]]*J$4</f>
        <v>-6.3764237781600803</v>
      </c>
      <c r="H298" s="1">
        <f>M$24*Data__2[[#This Row],[Return Market]]*K$4</f>
        <v>-6.6952449670680849</v>
      </c>
      <c r="I298" s="1"/>
      <c r="J298" s="1"/>
      <c r="K298" s="1"/>
      <c r="L298" s="1"/>
      <c r="M298" s="1"/>
    </row>
    <row r="299" spans="1:13">
      <c r="A299" s="1">
        <v>2.4096972233179379</v>
      </c>
      <c r="B299" s="1">
        <v>-1.8121241449732395</v>
      </c>
      <c r="C299" s="1">
        <v>-304.30955477628993</v>
      </c>
      <c r="D299" s="24">
        <f>Data__2[[#This Row],[Project_1]]/J$4</f>
        <v>1.6064648155452919E-2</v>
      </c>
      <c r="E299" s="24">
        <f>Data__2[[#This Row],[Project_2]]/K$4</f>
        <v>-1.208082763315493E-2</v>
      </c>
      <c r="F299" s="24">
        <f>Data__2[[#This Row],[Market]]/L$4</f>
        <v>-0.3043095547762899</v>
      </c>
      <c r="G299" s="1">
        <f>L$24*Data__2[[#This Row],[Return Market]]*J$4</f>
        <v>-16.906086376460568</v>
      </c>
      <c r="H299" s="1">
        <f>M$24*Data__2[[#This Row],[Return Market]]*K$4</f>
        <v>-17.7513906952836</v>
      </c>
      <c r="I299" s="1"/>
      <c r="J299" s="1"/>
      <c r="K299" s="1"/>
      <c r="L299" s="1"/>
      <c r="M299" s="1"/>
    </row>
    <row r="300" spans="1:13">
      <c r="A300" s="1">
        <v>13.511155399766432</v>
      </c>
      <c r="B300" s="1">
        <v>25.231448573226618</v>
      </c>
      <c r="C300" s="1">
        <v>349.42512465202418</v>
      </c>
      <c r="D300" s="24">
        <f>Data__2[[#This Row],[Project_1]]/J$4</f>
        <v>9.0074369331776219E-2</v>
      </c>
      <c r="E300" s="24">
        <f>Data__2[[#This Row],[Project_2]]/K$4</f>
        <v>0.16820965715484412</v>
      </c>
      <c r="F300" s="24">
        <f>Data__2[[#This Row],[Market]]/L$4</f>
        <v>0.34942512465202419</v>
      </c>
      <c r="G300" s="1">
        <f>L$24*Data__2[[#This Row],[Return Market]]*J$4</f>
        <v>19.412506925112478</v>
      </c>
      <c r="H300" s="1">
        <f>M$24*Data__2[[#This Row],[Return Market]]*K$4</f>
        <v>20.383132271368101</v>
      </c>
      <c r="I300" s="1"/>
      <c r="J300" s="1"/>
      <c r="K300" s="1"/>
      <c r="L300" s="1"/>
      <c r="M300" s="1"/>
    </row>
    <row r="301" spans="1:13">
      <c r="A301" s="1">
        <v>3.6878900065581357</v>
      </c>
      <c r="B301" s="1">
        <v>-1.3546713547161122</v>
      </c>
      <c r="C301" s="1">
        <v>118.45368327884336</v>
      </c>
      <c r="D301" s="24">
        <f>Data__2[[#This Row],[Project_1]]/J$4</f>
        <v>2.4585933377054239E-2</v>
      </c>
      <c r="E301" s="24">
        <f>Data__2[[#This Row],[Project_2]]/K$4</f>
        <v>-9.0311423647740814E-3</v>
      </c>
      <c r="F301" s="24">
        <f>Data__2[[#This Row],[Market]]/L$4</f>
        <v>0.11845368327884336</v>
      </c>
      <c r="G301" s="1">
        <f>L$24*Data__2[[#This Row],[Return Market]]*J$4</f>
        <v>6.5807601821579711</v>
      </c>
      <c r="H301" s="1">
        <f>M$24*Data__2[[#This Row],[Return Market]]*K$4</f>
        <v>6.9097981912658719</v>
      </c>
      <c r="I301" s="1"/>
      <c r="J301" s="1"/>
      <c r="K301" s="1"/>
      <c r="L301" s="1"/>
      <c r="M301" s="1"/>
    </row>
    <row r="302" spans="1:13">
      <c r="A302" s="1">
        <v>-6.6953316279461639</v>
      </c>
      <c r="B302" s="1">
        <v>-4.8215333500732847</v>
      </c>
      <c r="C302" s="1">
        <v>-190.71814126581592</v>
      </c>
      <c r="D302" s="24">
        <f>Data__2[[#This Row],[Project_1]]/J$4</f>
        <v>-4.463554418630776E-2</v>
      </c>
      <c r="E302" s="24">
        <f>Data__2[[#This Row],[Project_2]]/K$4</f>
        <v>-3.2143555667155231E-2</v>
      </c>
      <c r="F302" s="24">
        <f>Data__2[[#This Row],[Market]]/L$4</f>
        <v>-0.1907181412658159</v>
      </c>
      <c r="G302" s="1">
        <f>L$24*Data__2[[#This Row],[Return Market]]*J$4</f>
        <v>-10.595452292545341</v>
      </c>
      <c r="H302" s="1">
        <f>M$24*Data__2[[#This Row],[Return Market]]*K$4</f>
        <v>-11.12522490717261</v>
      </c>
      <c r="I302" s="1"/>
      <c r="J302" s="1"/>
      <c r="K302" s="1"/>
      <c r="L302" s="1"/>
      <c r="M302" s="1"/>
    </row>
    <row r="303" spans="1:13">
      <c r="A303" s="1">
        <v>-3.4653023080041265</v>
      </c>
      <c r="B303" s="1">
        <v>-9.6155355075312841</v>
      </c>
      <c r="C303" s="1">
        <v>-100.83765543855981</v>
      </c>
      <c r="D303" s="24">
        <f>Data__2[[#This Row],[Project_1]]/J$4</f>
        <v>-2.3102015386694177E-2</v>
      </c>
      <c r="E303" s="24">
        <f>Data__2[[#This Row],[Project_2]]/K$4</f>
        <v>-6.4103570050208558E-2</v>
      </c>
      <c r="F303" s="24">
        <f>Data__2[[#This Row],[Market]]/L$4</f>
        <v>-0.10083765543855981</v>
      </c>
      <c r="G303" s="1">
        <f>L$24*Data__2[[#This Row],[Return Market]]*J$4</f>
        <v>-5.6020919688088853</v>
      </c>
      <c r="H303" s="1">
        <f>M$24*Data__2[[#This Row],[Return Market]]*K$4</f>
        <v>-5.8821965672493297</v>
      </c>
      <c r="I303" s="1"/>
      <c r="J303" s="1"/>
      <c r="K303" s="1"/>
      <c r="L303" s="1"/>
      <c r="M303" s="1"/>
    </row>
    <row r="304" spans="1:13">
      <c r="A304" s="1">
        <v>-12.667227987371</v>
      </c>
      <c r="B304" s="1">
        <v>-5.0664443107265384</v>
      </c>
      <c r="C304" s="1">
        <v>47.003712664411715</v>
      </c>
      <c r="D304" s="24">
        <f>Data__2[[#This Row],[Project_1]]/J$4</f>
        <v>-8.4448186582473328E-2</v>
      </c>
      <c r="E304" s="24">
        <f>Data__2[[#This Row],[Project_2]]/K$4</f>
        <v>-3.3776295404843587E-2</v>
      </c>
      <c r="F304" s="24">
        <f>Data__2[[#This Row],[Market]]/L$4</f>
        <v>4.7003712664411716E-2</v>
      </c>
      <c r="G304" s="1">
        <f>L$24*Data__2[[#This Row],[Return Market]]*J$4</f>
        <v>2.6113173702450982</v>
      </c>
      <c r="H304" s="1">
        <f>M$24*Data__2[[#This Row],[Return Market]]*K$4</f>
        <v>2.741883238757354</v>
      </c>
      <c r="I304" s="1"/>
      <c r="J304" s="1"/>
      <c r="K304" s="1"/>
      <c r="L304" s="1"/>
      <c r="M304" s="1"/>
    </row>
    <row r="305" spans="1:13">
      <c r="A305" s="1">
        <v>-1.7869573300794244</v>
      </c>
      <c r="B305" s="1">
        <v>16.349288796669548</v>
      </c>
      <c r="C305" s="1">
        <v>56.996983306606637</v>
      </c>
      <c r="D305" s="24">
        <f>Data__2[[#This Row],[Project_1]]/J$4</f>
        <v>-1.1913048867196163E-2</v>
      </c>
      <c r="E305" s="24">
        <f>Data__2[[#This Row],[Project_2]]/K$4</f>
        <v>0.10899525864446365</v>
      </c>
      <c r="F305" s="24">
        <f>Data__2[[#This Row],[Market]]/L$4</f>
        <v>5.6996983306606637E-2</v>
      </c>
      <c r="G305" s="1">
        <f>L$24*Data__2[[#This Row],[Return Market]]*J$4</f>
        <v>3.1664990725892612</v>
      </c>
      <c r="H305" s="1">
        <f>M$24*Data__2[[#This Row],[Return Market]]*K$4</f>
        <v>3.324824026218725</v>
      </c>
      <c r="I305" s="1"/>
      <c r="J305" s="1"/>
      <c r="K305" s="1"/>
      <c r="L305" s="1"/>
      <c r="M305" s="1"/>
    </row>
    <row r="306" spans="1:13">
      <c r="A306" s="1">
        <v>-18.082426999205321</v>
      </c>
      <c r="B306" s="1">
        <v>-5.5284639942675433</v>
      </c>
      <c r="C306" s="1">
        <v>-19.498224336590738</v>
      </c>
      <c r="D306" s="24">
        <f>Data__2[[#This Row],[Project_1]]/J$4</f>
        <v>-0.12054951332803547</v>
      </c>
      <c r="E306" s="24">
        <f>Data__2[[#This Row],[Project_2]]/K$4</f>
        <v>-3.6856426628450289E-2</v>
      </c>
      <c r="F306" s="24">
        <f>Data__2[[#This Row],[Market]]/L$4</f>
        <v>-1.9498224336590739E-2</v>
      </c>
      <c r="G306" s="1">
        <f>L$24*Data__2[[#This Row],[Return Market]]*J$4</f>
        <v>-1.0832346853661534</v>
      </c>
      <c r="H306" s="1">
        <f>M$24*Data__2[[#This Row],[Return Market]]*K$4</f>
        <v>-1.1373964196344613</v>
      </c>
      <c r="I306" s="1"/>
      <c r="J306" s="1"/>
      <c r="K306" s="1"/>
      <c r="L306" s="1"/>
      <c r="M306" s="1"/>
    </row>
    <row r="307" spans="1:13">
      <c r="A307" s="1">
        <v>33.654626926257052</v>
      </c>
      <c r="B307" s="1">
        <v>35.137844230521317</v>
      </c>
      <c r="C307" s="1">
        <v>322.60867632874692</v>
      </c>
      <c r="D307" s="24">
        <f>Data__2[[#This Row],[Project_1]]/J$4</f>
        <v>0.22436417950838033</v>
      </c>
      <c r="E307" s="24">
        <f>Data__2[[#This Row],[Project_2]]/K$4</f>
        <v>0.23425229487014212</v>
      </c>
      <c r="F307" s="24">
        <f>Data__2[[#This Row],[Market]]/L$4</f>
        <v>0.3226086763287469</v>
      </c>
      <c r="G307" s="1">
        <f>L$24*Data__2[[#This Row],[Return Market]]*J$4</f>
        <v>17.92270424048596</v>
      </c>
      <c r="H307" s="1">
        <f>M$24*Data__2[[#This Row],[Return Market]]*K$4</f>
        <v>18.818839452510261</v>
      </c>
      <c r="I307" s="1"/>
      <c r="J307" s="1"/>
      <c r="K307" s="1"/>
      <c r="L307" s="1"/>
      <c r="M307" s="1"/>
    </row>
    <row r="308" spans="1:13">
      <c r="A308" s="1">
        <v>-7.767639447556931</v>
      </c>
      <c r="B308" s="1">
        <v>-9.2038884407819204</v>
      </c>
      <c r="C308" s="1">
        <v>-89.160492380067694</v>
      </c>
      <c r="D308" s="24">
        <f>Data__2[[#This Row],[Project_1]]/J$4</f>
        <v>-5.1784262983712873E-2</v>
      </c>
      <c r="E308" s="24">
        <f>Data__2[[#This Row],[Project_2]]/K$4</f>
        <v>-6.1359256271879471E-2</v>
      </c>
      <c r="F308" s="24">
        <f>Data__2[[#This Row],[Market]]/L$4</f>
        <v>-8.9160492380067694E-2</v>
      </c>
      <c r="G308" s="1">
        <f>L$24*Data__2[[#This Row],[Return Market]]*J$4</f>
        <v>-4.9533606877815446</v>
      </c>
      <c r="H308" s="1">
        <f>M$24*Data__2[[#This Row],[Return Market]]*K$4</f>
        <v>-5.201028722170622</v>
      </c>
      <c r="I308" s="1"/>
      <c r="J308" s="1"/>
      <c r="K308" s="1"/>
      <c r="L308" s="1"/>
      <c r="M308" s="1"/>
    </row>
    <row r="309" spans="1:13">
      <c r="A309" s="1">
        <v>5.8746659740341025</v>
      </c>
      <c r="B309" s="1">
        <v>-11.892857013013938</v>
      </c>
      <c r="C309" s="1">
        <v>-93.70863607605628</v>
      </c>
      <c r="D309" s="24">
        <f>Data__2[[#This Row],[Project_1]]/J$4</f>
        <v>3.9164439826894014E-2</v>
      </c>
      <c r="E309" s="24">
        <f>Data__2[[#This Row],[Project_2]]/K$4</f>
        <v>-7.9285713420092913E-2</v>
      </c>
      <c r="F309" s="24">
        <f>Data__2[[#This Row],[Market]]/L$4</f>
        <v>-9.3708636076056284E-2</v>
      </c>
      <c r="G309" s="1">
        <f>L$24*Data__2[[#This Row],[Return Market]]*J$4</f>
        <v>-5.2060353375586885</v>
      </c>
      <c r="H309" s="1">
        <f>M$24*Data__2[[#This Row],[Return Market]]*K$4</f>
        <v>-5.4663371044366231</v>
      </c>
      <c r="I309" s="1"/>
      <c r="J309" s="1"/>
      <c r="K309" s="1"/>
      <c r="L309" s="1"/>
      <c r="M309" s="1"/>
    </row>
    <row r="310" spans="1:13">
      <c r="A310" s="1">
        <v>11.003984774584582</v>
      </c>
      <c r="B310" s="1">
        <v>10.045598670401581</v>
      </c>
      <c r="C310" s="1">
        <v>105.73537777745325</v>
      </c>
      <c r="D310" s="24">
        <f>Data__2[[#This Row],[Project_1]]/J$4</f>
        <v>7.3359898497230555E-2</v>
      </c>
      <c r="E310" s="24">
        <f>Data__2[[#This Row],[Project_2]]/K$4</f>
        <v>6.6970657802677205E-2</v>
      </c>
      <c r="F310" s="24">
        <f>Data__2[[#This Row],[Market]]/L$4</f>
        <v>0.10573537777745325</v>
      </c>
      <c r="G310" s="1">
        <f>L$24*Data__2[[#This Row],[Return Market]]*J$4</f>
        <v>5.8741876543029647</v>
      </c>
      <c r="H310" s="1">
        <f>M$24*Data__2[[#This Row],[Return Market]]*K$4</f>
        <v>6.1678970370181139</v>
      </c>
      <c r="I310" s="1"/>
      <c r="J310" s="1"/>
      <c r="K310" s="1"/>
      <c r="L310" s="1"/>
      <c r="M310" s="1"/>
    </row>
    <row r="311" spans="1:13">
      <c r="A311" s="1">
        <v>8.2238274466851458</v>
      </c>
      <c r="B311" s="1">
        <v>20.810542766972812</v>
      </c>
      <c r="C311" s="1">
        <v>118.535371663517</v>
      </c>
      <c r="D311" s="24">
        <f>Data__2[[#This Row],[Project_1]]/J$4</f>
        <v>5.4825516311234307E-2</v>
      </c>
      <c r="E311" s="24">
        <f>Data__2[[#This Row],[Project_2]]/K$4</f>
        <v>0.13873695177981873</v>
      </c>
      <c r="F311" s="24">
        <f>Data__2[[#This Row],[Market]]/L$4</f>
        <v>0.11853537166351699</v>
      </c>
      <c r="G311" s="1">
        <f>L$24*Data__2[[#This Row],[Return Market]]*J$4</f>
        <v>6.5852984257509517</v>
      </c>
      <c r="H311" s="1">
        <f>M$24*Data__2[[#This Row],[Return Market]]*K$4</f>
        <v>6.9145633470385004</v>
      </c>
      <c r="I311" s="1"/>
      <c r="J311" s="1"/>
      <c r="K311" s="1"/>
      <c r="L311" s="1"/>
      <c r="M311" s="1"/>
    </row>
    <row r="312" spans="1:13">
      <c r="A312" s="1">
        <v>-35.337256084007386</v>
      </c>
      <c r="B312" s="1">
        <v>-0.74010962259985646</v>
      </c>
      <c r="C312" s="1">
        <v>-146.79448877029856</v>
      </c>
      <c r="D312" s="24">
        <f>Data__2[[#This Row],[Project_1]]/J$4</f>
        <v>-0.2355817072267159</v>
      </c>
      <c r="E312" s="24">
        <f>Data__2[[#This Row],[Project_2]]/K$4</f>
        <v>-4.9340641506657101E-3</v>
      </c>
      <c r="F312" s="24">
        <f>Data__2[[#This Row],[Market]]/L$4</f>
        <v>-0.14679448877029855</v>
      </c>
      <c r="G312" s="1">
        <f>L$24*Data__2[[#This Row],[Return Market]]*J$4</f>
        <v>-8.1552493761277063</v>
      </c>
      <c r="H312" s="1">
        <f>M$24*Data__2[[#This Row],[Return Market]]*K$4</f>
        <v>-8.5630118449340937</v>
      </c>
      <c r="I312" s="1"/>
      <c r="J312" s="1"/>
      <c r="K312" s="1"/>
      <c r="L312" s="1"/>
      <c r="M312" s="1"/>
    </row>
    <row r="313" spans="1:13">
      <c r="A313" s="1">
        <v>-14.758958533957571</v>
      </c>
      <c r="B313" s="1">
        <v>-0.41893343139035188</v>
      </c>
      <c r="C313" s="1">
        <v>-100.7146342061541</v>
      </c>
      <c r="D313" s="24">
        <f>Data__2[[#This Row],[Project_1]]/J$4</f>
        <v>-9.8393056893050473E-2</v>
      </c>
      <c r="E313" s="24">
        <f>Data__2[[#This Row],[Project_2]]/K$4</f>
        <v>-2.7928895426023461E-3</v>
      </c>
      <c r="F313" s="24">
        <f>Data__2[[#This Row],[Market]]/L$4</f>
        <v>-0.10071463420615411</v>
      </c>
      <c r="G313" s="1">
        <f>L$24*Data__2[[#This Row],[Return Market]]*J$4</f>
        <v>-5.5952574558974559</v>
      </c>
      <c r="H313" s="1">
        <f>M$24*Data__2[[#This Row],[Return Market]]*K$4</f>
        <v>-5.8750203286923313</v>
      </c>
      <c r="I313" s="1"/>
      <c r="J313" s="1"/>
      <c r="K313" s="1"/>
      <c r="L313" s="1"/>
      <c r="M313" s="1"/>
    </row>
    <row r="314" spans="1:13">
      <c r="A314" s="1">
        <v>34.271232604065361</v>
      </c>
      <c r="B314" s="1">
        <v>25.738652789039072</v>
      </c>
      <c r="C314" s="1">
        <v>263.31493720940068</v>
      </c>
      <c r="D314" s="24">
        <f>Data__2[[#This Row],[Project_1]]/J$4</f>
        <v>0.22847488402710239</v>
      </c>
      <c r="E314" s="24">
        <f>Data__2[[#This Row],[Project_2]]/K$4</f>
        <v>0.17159101859359382</v>
      </c>
      <c r="F314" s="24">
        <f>Data__2[[#This Row],[Market]]/L$4</f>
        <v>0.26331493720940069</v>
      </c>
      <c r="G314" s="1">
        <f>L$24*Data__2[[#This Row],[Return Market]]*J$4</f>
        <v>14.6286076227445</v>
      </c>
      <c r="H314" s="1">
        <f>M$24*Data__2[[#This Row],[Return Market]]*K$4</f>
        <v>15.360038003881728</v>
      </c>
      <c r="I314" s="1"/>
      <c r="J314" s="1"/>
      <c r="K314" s="1"/>
      <c r="L314" s="1"/>
      <c r="M314" s="1"/>
    </row>
    <row r="315" spans="1:13">
      <c r="A315" s="1">
        <v>11.486134713134469</v>
      </c>
      <c r="B315" s="1">
        <v>25.967423300658297</v>
      </c>
      <c r="C315" s="1">
        <v>337.52522588689419</v>
      </c>
      <c r="D315" s="24">
        <f>Data__2[[#This Row],[Project_1]]/J$4</f>
        <v>7.6574231420896463E-2</v>
      </c>
      <c r="E315" s="24">
        <f>Data__2[[#This Row],[Project_2]]/K$4</f>
        <v>0.17311615533772198</v>
      </c>
      <c r="F315" s="24">
        <f>Data__2[[#This Row],[Market]]/L$4</f>
        <v>0.33752522588689421</v>
      </c>
      <c r="G315" s="1">
        <f>L$24*Data__2[[#This Row],[Return Market]]*J$4</f>
        <v>18.751401438160812</v>
      </c>
      <c r="H315" s="1">
        <f>M$24*Data__2[[#This Row],[Return Market]]*K$4</f>
        <v>19.688971510068853</v>
      </c>
      <c r="I315" s="1"/>
      <c r="J315" s="1"/>
      <c r="K315" s="1"/>
      <c r="L315" s="1"/>
      <c r="M315" s="1"/>
    </row>
    <row r="316" spans="1:13">
      <c r="A316" s="1">
        <v>32.052298817031939</v>
      </c>
      <c r="B316" s="1">
        <v>30.781657997212832</v>
      </c>
      <c r="C316" s="1">
        <v>268.11362682565311</v>
      </c>
      <c r="D316" s="24">
        <f>Data__2[[#This Row],[Project_1]]/J$4</f>
        <v>0.21368199211354627</v>
      </c>
      <c r="E316" s="24">
        <f>Data__2[[#This Row],[Project_2]]/K$4</f>
        <v>0.20521105331475223</v>
      </c>
      <c r="F316" s="24">
        <f>Data__2[[#This Row],[Market]]/L$4</f>
        <v>0.2681136268256531</v>
      </c>
      <c r="G316" s="1">
        <f>L$24*Data__2[[#This Row],[Return Market]]*J$4</f>
        <v>14.895201490314077</v>
      </c>
      <c r="H316" s="1">
        <f>M$24*Data__2[[#This Row],[Return Market]]*K$4</f>
        <v>15.639961564829784</v>
      </c>
      <c r="I316" s="1"/>
      <c r="J316" s="1"/>
      <c r="K316" s="1"/>
      <c r="L316" s="1"/>
      <c r="M316" s="1"/>
    </row>
    <row r="317" spans="1:13">
      <c r="A317" s="1">
        <v>-22.080204260441811</v>
      </c>
      <c r="B317" s="1">
        <v>-16.911947039100788</v>
      </c>
      <c r="C317" s="1">
        <v>-159.55741624188417</v>
      </c>
      <c r="D317" s="24">
        <f>Data__2[[#This Row],[Project_1]]/J$4</f>
        <v>-0.14720136173627874</v>
      </c>
      <c r="E317" s="24">
        <f>Data__2[[#This Row],[Project_2]]/K$4</f>
        <v>-0.11274631359400525</v>
      </c>
      <c r="F317" s="24">
        <f>Data__2[[#This Row],[Market]]/L$4</f>
        <v>-0.15955741624188416</v>
      </c>
      <c r="G317" s="1">
        <f>L$24*Data__2[[#This Row],[Return Market]]*J$4</f>
        <v>-8.8643009023269084</v>
      </c>
      <c r="H317" s="1">
        <f>M$24*Data__2[[#This Row],[Return Market]]*K$4</f>
        <v>-9.3075159474432549</v>
      </c>
      <c r="I317" s="1"/>
      <c r="J317" s="1"/>
      <c r="K317" s="1"/>
      <c r="L317" s="1"/>
      <c r="M317" s="1"/>
    </row>
    <row r="318" spans="1:13">
      <c r="A318" s="1">
        <v>-4.0639984039283199</v>
      </c>
      <c r="B318" s="1">
        <v>15.842256516301319</v>
      </c>
      <c r="C318" s="1">
        <v>41.030787832216099</v>
      </c>
      <c r="D318" s="24">
        <f>Data__2[[#This Row],[Project_1]]/J$4</f>
        <v>-2.7093322692855467E-2</v>
      </c>
      <c r="E318" s="24">
        <f>Data__2[[#This Row],[Project_2]]/K$4</f>
        <v>0.1056150434420088</v>
      </c>
      <c r="F318" s="24">
        <f>Data__2[[#This Row],[Market]]/L$4</f>
        <v>4.1030787832216101E-2</v>
      </c>
      <c r="G318" s="1">
        <f>L$24*Data__2[[#This Row],[Return Market]]*J$4</f>
        <v>2.2794882129008971</v>
      </c>
      <c r="H318" s="1">
        <f>M$24*Data__2[[#This Row],[Return Market]]*K$4</f>
        <v>2.3934626235459424</v>
      </c>
      <c r="I318" s="1"/>
      <c r="J318" s="1"/>
      <c r="K318" s="1"/>
      <c r="L318" s="1"/>
      <c r="M318" s="1"/>
    </row>
    <row r="319" spans="1:13">
      <c r="A319" s="1">
        <v>48.593653931648284</v>
      </c>
      <c r="B319" s="1">
        <v>22.542246763371736</v>
      </c>
      <c r="C319" s="1">
        <v>358.48398346440013</v>
      </c>
      <c r="D319" s="24">
        <f>Data__2[[#This Row],[Project_1]]/J$4</f>
        <v>0.32395769287765525</v>
      </c>
      <c r="E319" s="24">
        <f>Data__2[[#This Row],[Project_2]]/K$4</f>
        <v>0.15028164508914491</v>
      </c>
      <c r="F319" s="24">
        <f>Data__2[[#This Row],[Market]]/L$4</f>
        <v>0.35848398346440014</v>
      </c>
      <c r="G319" s="1">
        <f>L$24*Data__2[[#This Row],[Return Market]]*J$4</f>
        <v>19.915776859133366</v>
      </c>
      <c r="H319" s="1">
        <f>M$24*Data__2[[#This Row],[Return Market]]*K$4</f>
        <v>20.911565702090037</v>
      </c>
      <c r="I319" s="1"/>
      <c r="J319" s="1"/>
      <c r="K319" s="1"/>
      <c r="L319" s="1"/>
      <c r="M319" s="1"/>
    </row>
    <row r="320" spans="1:13">
      <c r="A320" s="1">
        <v>27.539600249086586</v>
      </c>
      <c r="B320" s="1">
        <v>20.341270055928142</v>
      </c>
      <c r="C320" s="1">
        <v>95.763104790135657</v>
      </c>
      <c r="D320" s="24">
        <f>Data__2[[#This Row],[Project_1]]/J$4</f>
        <v>0.18359733499391057</v>
      </c>
      <c r="E320" s="24">
        <f>Data__2[[#This Row],[Project_2]]/K$4</f>
        <v>0.13560846703952095</v>
      </c>
      <c r="F320" s="24">
        <f>Data__2[[#This Row],[Market]]/L$4</f>
        <v>9.5763104790135653E-2</v>
      </c>
      <c r="G320" s="1">
        <f>L$24*Data__2[[#This Row],[Return Market]]*J$4</f>
        <v>5.3201724883408765</v>
      </c>
      <c r="H320" s="1">
        <f>M$24*Data__2[[#This Row],[Return Market]]*K$4</f>
        <v>5.5861811127579202</v>
      </c>
      <c r="I320" s="1"/>
      <c r="J320" s="1"/>
      <c r="K320" s="1"/>
      <c r="L320" s="1"/>
      <c r="M320" s="1"/>
    </row>
    <row r="321" spans="1:13">
      <c r="A321" s="1">
        <v>27.412716611065758</v>
      </c>
      <c r="B321" s="1">
        <v>-2.5711965504605274</v>
      </c>
      <c r="C321" s="1">
        <v>67.265747314013993</v>
      </c>
      <c r="D321" s="24">
        <f>Data__2[[#This Row],[Project_1]]/J$4</f>
        <v>0.18275144407377172</v>
      </c>
      <c r="E321" s="24">
        <f>Data__2[[#This Row],[Project_2]]/K$4</f>
        <v>-1.7141310336403516E-2</v>
      </c>
      <c r="F321" s="24">
        <f>Data__2[[#This Row],[Market]]/L$4</f>
        <v>6.7265747314013996E-2</v>
      </c>
      <c r="G321" s="1">
        <f>L$24*Data__2[[#This Row],[Return Market]]*J$4</f>
        <v>3.7369859618896704</v>
      </c>
      <c r="H321" s="1">
        <f>M$24*Data__2[[#This Row],[Return Market]]*K$4</f>
        <v>3.9238352599841551</v>
      </c>
      <c r="I321" s="1"/>
      <c r="J321" s="1"/>
      <c r="K321" s="1"/>
      <c r="L321" s="1"/>
      <c r="M321" s="1"/>
    </row>
    <row r="322" spans="1:13">
      <c r="A322" s="1">
        <v>35.123550326529504</v>
      </c>
      <c r="B322" s="1">
        <v>1.1432453749140024</v>
      </c>
      <c r="C322" s="1">
        <v>114.95148261536806</v>
      </c>
      <c r="D322" s="24">
        <f>Data__2[[#This Row],[Project_1]]/J$4</f>
        <v>0.23415700217686336</v>
      </c>
      <c r="E322" s="24">
        <f>Data__2[[#This Row],[Project_2]]/K$4</f>
        <v>7.6216358327600153E-3</v>
      </c>
      <c r="F322" s="24">
        <f>Data__2[[#This Row],[Market]]/L$4</f>
        <v>0.11495148261536807</v>
      </c>
      <c r="G322" s="1">
        <f>L$24*Data__2[[#This Row],[Return Market]]*J$4</f>
        <v>6.3861934786315668</v>
      </c>
      <c r="H322" s="1">
        <f>M$24*Data__2[[#This Row],[Return Market]]*K$4</f>
        <v>6.7055031525631454</v>
      </c>
      <c r="I322" s="1"/>
      <c r="J322" s="1"/>
      <c r="K322" s="1"/>
      <c r="L322" s="1"/>
      <c r="M322" s="1"/>
    </row>
    <row r="323" spans="1:13">
      <c r="A323" s="1">
        <v>33.46028996541996</v>
      </c>
      <c r="B323" s="1">
        <v>12.851232987620756</v>
      </c>
      <c r="C323" s="1">
        <v>66.06148863840518</v>
      </c>
      <c r="D323" s="24">
        <f>Data__2[[#This Row],[Project_1]]/J$4</f>
        <v>0.22306859976946641</v>
      </c>
      <c r="E323" s="24">
        <f>Data__2[[#This Row],[Project_2]]/K$4</f>
        <v>8.5674886584138368E-2</v>
      </c>
      <c r="F323" s="24">
        <f>Data__2[[#This Row],[Market]]/L$4</f>
        <v>6.6061488638405177E-2</v>
      </c>
      <c r="G323" s="1">
        <f>L$24*Data__2[[#This Row],[Return Market]]*J$4</f>
        <v>3.6700827021336253</v>
      </c>
      <c r="H323" s="1">
        <f>M$24*Data__2[[#This Row],[Return Market]]*K$4</f>
        <v>3.8535868372403068</v>
      </c>
      <c r="I323" s="1"/>
      <c r="J323" s="1"/>
      <c r="K323" s="1"/>
      <c r="L323" s="1"/>
      <c r="M323" s="1"/>
    </row>
    <row r="324" spans="1:13">
      <c r="A324" s="1">
        <v>22.774996238764977</v>
      </c>
      <c r="B324" s="1">
        <v>1.3629046512011271</v>
      </c>
      <c r="C324" s="1">
        <v>35.350058685788738</v>
      </c>
      <c r="D324" s="24">
        <f>Data__2[[#This Row],[Project_1]]/J$4</f>
        <v>0.15183330825843319</v>
      </c>
      <c r="E324" s="24">
        <f>Data__2[[#This Row],[Project_2]]/K$4</f>
        <v>9.0860310080075144E-3</v>
      </c>
      <c r="F324" s="24">
        <f>Data__2[[#This Row],[Market]]/L$4</f>
        <v>3.5350058685788735E-2</v>
      </c>
      <c r="G324" s="1">
        <f>L$24*Data__2[[#This Row],[Return Market]]*J$4</f>
        <v>1.9638921492104877</v>
      </c>
      <c r="H324" s="1">
        <f>M$24*Data__2[[#This Row],[Return Market]]*K$4</f>
        <v>2.0620867566710124</v>
      </c>
      <c r="I324" s="1"/>
      <c r="J324" s="1"/>
      <c r="K324" s="1"/>
      <c r="L324" s="1"/>
      <c r="M324" s="1"/>
    </row>
    <row r="325" spans="1:13">
      <c r="A325" s="1">
        <v>3.0928384083393059</v>
      </c>
      <c r="B325" s="1">
        <v>11.807531492644655</v>
      </c>
      <c r="C325" s="1">
        <v>91.221877800123721</v>
      </c>
      <c r="D325" s="24">
        <f>Data__2[[#This Row],[Project_1]]/J$4</f>
        <v>2.061892272226204E-2</v>
      </c>
      <c r="E325" s="24">
        <f>Data__2[[#This Row],[Project_2]]/K$4</f>
        <v>7.8716876617631035E-2</v>
      </c>
      <c r="F325" s="24">
        <f>Data__2[[#This Row],[Market]]/L$4</f>
        <v>9.1221877800123724E-2</v>
      </c>
      <c r="G325" s="1">
        <f>L$24*Data__2[[#This Row],[Return Market]]*J$4</f>
        <v>5.0678821000068792</v>
      </c>
      <c r="H325" s="1">
        <f>M$24*Data__2[[#This Row],[Return Market]]*K$4</f>
        <v>5.3212762050072246</v>
      </c>
      <c r="I325" s="1"/>
      <c r="J325" s="1"/>
      <c r="K325" s="1"/>
      <c r="L325" s="1"/>
      <c r="M325" s="1"/>
    </row>
    <row r="326" spans="1:13">
      <c r="A326" s="1">
        <v>18.925456185634985</v>
      </c>
      <c r="B326" s="1">
        <v>20.572434612724663</v>
      </c>
      <c r="C326" s="1">
        <v>136.36443313477184</v>
      </c>
      <c r="D326" s="24">
        <f>Data__2[[#This Row],[Project_1]]/J$4</f>
        <v>0.12616970790423324</v>
      </c>
      <c r="E326" s="24">
        <f>Data__2[[#This Row],[Project_2]]/K$4</f>
        <v>0.13714956408483109</v>
      </c>
      <c r="F326" s="24">
        <f>Data__2[[#This Row],[Market]]/L$4</f>
        <v>0.13636443313477184</v>
      </c>
      <c r="G326" s="1">
        <f>L$24*Data__2[[#This Row],[Return Market]]*J$4</f>
        <v>7.5758018408206667</v>
      </c>
      <c r="H326" s="1">
        <f>M$24*Data__2[[#This Row],[Return Market]]*K$4</f>
        <v>7.9545919328617005</v>
      </c>
      <c r="I326" s="1"/>
      <c r="J326" s="1"/>
      <c r="K326" s="1"/>
      <c r="L326" s="1"/>
      <c r="M326" s="1"/>
    </row>
    <row r="327" spans="1:13">
      <c r="A327" s="1">
        <v>6.6892788183759837</v>
      </c>
      <c r="B327" s="1">
        <v>15.490915405946939</v>
      </c>
      <c r="C327" s="1">
        <v>199.29310419687693</v>
      </c>
      <c r="D327" s="24">
        <f>Data__2[[#This Row],[Project_1]]/J$4</f>
        <v>4.4595192122506559E-2</v>
      </c>
      <c r="E327" s="24">
        <f>Data__2[[#This Row],[Project_2]]/K$4</f>
        <v>0.10327276937297959</v>
      </c>
      <c r="F327" s="24">
        <f>Data__2[[#This Row],[Market]]/L$4</f>
        <v>0.19929310419687693</v>
      </c>
      <c r="G327" s="1">
        <f>L$24*Data__2[[#This Row],[Return Market]]*J$4</f>
        <v>11.071839122048731</v>
      </c>
      <c r="H327" s="1">
        <f>M$24*Data__2[[#This Row],[Return Market]]*K$4</f>
        <v>11.625431078151168</v>
      </c>
      <c r="I327" s="1"/>
      <c r="J327" s="1"/>
      <c r="K327" s="1"/>
      <c r="L327" s="1"/>
      <c r="M327" s="1"/>
    </row>
    <row r="328" spans="1:13">
      <c r="A328" s="1">
        <v>46.833386413154876</v>
      </c>
      <c r="B328" s="1">
        <v>21.433775004872388</v>
      </c>
      <c r="C328" s="1">
        <v>-4.0256566467788133</v>
      </c>
      <c r="D328" s="24">
        <f>Data__2[[#This Row],[Project_1]]/J$4</f>
        <v>0.31222257608769916</v>
      </c>
      <c r="E328" s="24">
        <f>Data__2[[#This Row],[Project_2]]/K$4</f>
        <v>0.14289183336581593</v>
      </c>
      <c r="F328" s="24">
        <f>Data__2[[#This Row],[Market]]/L$4</f>
        <v>-4.0256566467788135E-3</v>
      </c>
      <c r="G328" s="1">
        <f>L$24*Data__2[[#This Row],[Return Market]]*J$4</f>
        <v>-0.2236475914877121</v>
      </c>
      <c r="H328" s="1">
        <f>M$24*Data__2[[#This Row],[Return Market]]*K$4</f>
        <v>-0.23482997106209777</v>
      </c>
      <c r="I328" s="1"/>
      <c r="J328" s="1"/>
      <c r="K328" s="1"/>
      <c r="L328" s="1"/>
      <c r="M328" s="1"/>
    </row>
    <row r="329" spans="1:13">
      <c r="A329" s="1">
        <v>13.054698549306046</v>
      </c>
      <c r="B329" s="1">
        <v>16.477911676202947</v>
      </c>
      <c r="C329" s="1">
        <v>-153.38069811217051</v>
      </c>
      <c r="D329" s="24">
        <f>Data__2[[#This Row],[Project_1]]/J$4</f>
        <v>8.7031323662040305E-2</v>
      </c>
      <c r="E329" s="24">
        <f>Data__2[[#This Row],[Project_2]]/K$4</f>
        <v>0.10985274450801964</v>
      </c>
      <c r="F329" s="24">
        <f>Data__2[[#This Row],[Market]]/L$4</f>
        <v>-0.1533806981121705</v>
      </c>
      <c r="G329" s="1">
        <f>L$24*Data__2[[#This Row],[Return Market]]*J$4</f>
        <v>-8.521149895120594</v>
      </c>
      <c r="H329" s="1">
        <f>M$24*Data__2[[#This Row],[Return Market]]*K$4</f>
        <v>-8.947207389876624</v>
      </c>
      <c r="I329" s="1"/>
      <c r="J329" s="1"/>
      <c r="K329" s="1"/>
      <c r="L329" s="1"/>
      <c r="M329" s="1"/>
    </row>
    <row r="330" spans="1:13">
      <c r="A330" s="1">
        <v>8.3779299876133386</v>
      </c>
      <c r="B330" s="1">
        <v>17.691796977785806</v>
      </c>
      <c r="C330" s="1">
        <v>170.44183820525831</v>
      </c>
      <c r="D330" s="24">
        <f>Data__2[[#This Row],[Project_1]]/J$4</f>
        <v>5.5852866584088924E-2</v>
      </c>
      <c r="E330" s="24">
        <f>Data__2[[#This Row],[Project_2]]/K$4</f>
        <v>0.11794531318523871</v>
      </c>
      <c r="F330" s="24">
        <f>Data__2[[#This Row],[Market]]/L$4</f>
        <v>0.17044183820525829</v>
      </c>
      <c r="G330" s="1">
        <f>L$24*Data__2[[#This Row],[Return Market]]*J$4</f>
        <v>9.4689910114032489</v>
      </c>
      <c r="H330" s="1">
        <f>M$24*Data__2[[#This Row],[Return Market]]*K$4</f>
        <v>9.9424405619734131</v>
      </c>
      <c r="I330" s="1"/>
      <c r="J330" s="1"/>
      <c r="K330" s="1"/>
      <c r="L330" s="1"/>
      <c r="M330" s="1"/>
    </row>
    <row r="331" spans="1:13">
      <c r="A331" s="1">
        <v>44.403092069674337</v>
      </c>
      <c r="B331" s="1">
        <v>26.085305899619083</v>
      </c>
      <c r="C331" s="1">
        <v>355.25748033536178</v>
      </c>
      <c r="D331" s="24">
        <f>Data__2[[#This Row],[Project_1]]/J$4</f>
        <v>0.2960206137978289</v>
      </c>
      <c r="E331" s="24">
        <f>Data__2[[#This Row],[Project_2]]/K$4</f>
        <v>0.1739020393307939</v>
      </c>
      <c r="F331" s="24">
        <f>Data__2[[#This Row],[Market]]/L$4</f>
        <v>0.35525748033536175</v>
      </c>
      <c r="G331" s="1">
        <f>L$24*Data__2[[#This Row],[Return Market]]*J$4</f>
        <v>19.736526685297896</v>
      </c>
      <c r="H331" s="1">
        <f>M$24*Data__2[[#This Row],[Return Market]]*K$4</f>
        <v>20.723353019562797</v>
      </c>
      <c r="I331" s="1"/>
      <c r="J331" s="1"/>
      <c r="K331" s="1"/>
      <c r="L331" s="1"/>
      <c r="M331" s="1"/>
    </row>
    <row r="332" spans="1:13">
      <c r="A332" s="1">
        <v>4.9203154966960758</v>
      </c>
      <c r="B332" s="1">
        <v>15.872354293690439</v>
      </c>
      <c r="C332" s="1">
        <v>106.3498325773411</v>
      </c>
      <c r="D332" s="24">
        <f>Data__2[[#This Row],[Project_1]]/J$4</f>
        <v>3.2802103311307174E-2</v>
      </c>
      <c r="E332" s="24">
        <f>Data__2[[#This Row],[Project_2]]/K$4</f>
        <v>0.10581569529126959</v>
      </c>
      <c r="F332" s="24">
        <f>Data__2[[#This Row],[Market]]/L$4</f>
        <v>0.10634983257734111</v>
      </c>
      <c r="G332" s="1">
        <f>L$24*Data__2[[#This Row],[Return Market]]*J$4</f>
        <v>5.9083240320745132</v>
      </c>
      <c r="H332" s="1">
        <f>M$24*Data__2[[#This Row],[Return Market]]*K$4</f>
        <v>6.2037402336782401</v>
      </c>
      <c r="I332" s="1"/>
      <c r="J332" s="1"/>
      <c r="K332" s="1"/>
      <c r="L332" s="1"/>
      <c r="M332" s="1"/>
    </row>
    <row r="333" spans="1:13">
      <c r="A333" s="1">
        <v>17.237922215789155</v>
      </c>
      <c r="B333" s="1">
        <v>18.843051240892589</v>
      </c>
      <c r="C333" s="1">
        <v>78.889622082862005</v>
      </c>
      <c r="D333" s="24">
        <f>Data__2[[#This Row],[Project_1]]/J$4</f>
        <v>0.11491948143859436</v>
      </c>
      <c r="E333" s="24">
        <f>Data__2[[#This Row],[Project_2]]/K$4</f>
        <v>0.12562034160595059</v>
      </c>
      <c r="F333" s="24">
        <f>Data__2[[#This Row],[Market]]/L$4</f>
        <v>7.8889622082862002E-2</v>
      </c>
      <c r="G333" s="1">
        <f>L$24*Data__2[[#This Row],[Return Market]]*J$4</f>
        <v>4.382756782381227</v>
      </c>
      <c r="H333" s="1">
        <f>M$24*Data__2[[#This Row],[Return Market]]*K$4</f>
        <v>4.6018946215002892</v>
      </c>
      <c r="I333" s="1"/>
      <c r="J333" s="1"/>
      <c r="K333" s="1"/>
      <c r="L333" s="1"/>
      <c r="M333" s="1"/>
    </row>
    <row r="334" spans="1:13">
      <c r="A334" s="1">
        <v>-23.200859527450746</v>
      </c>
      <c r="B334" s="1">
        <v>5.3737220356939037</v>
      </c>
      <c r="C334" s="1">
        <v>-5.6927240473334706</v>
      </c>
      <c r="D334" s="24">
        <f>Data__2[[#This Row],[Project_1]]/J$4</f>
        <v>-0.15467239684967163</v>
      </c>
      <c r="E334" s="24">
        <f>Data__2[[#This Row],[Project_2]]/K$4</f>
        <v>3.5824813571292691E-2</v>
      </c>
      <c r="F334" s="24">
        <f>Data__2[[#This Row],[Market]]/L$4</f>
        <v>-5.6927240473334702E-3</v>
      </c>
      <c r="G334" s="1">
        <f>L$24*Data__2[[#This Row],[Return Market]]*J$4</f>
        <v>-0.31626244707408202</v>
      </c>
      <c r="H334" s="1">
        <f>M$24*Data__2[[#This Row],[Return Market]]*K$4</f>
        <v>-0.33207556942778615</v>
      </c>
      <c r="I334" s="1"/>
      <c r="J334" s="1"/>
      <c r="K334" s="1"/>
      <c r="L334" s="1"/>
      <c r="M334" s="1"/>
    </row>
    <row r="335" spans="1:13">
      <c r="A335" s="1">
        <v>36.802002158302869</v>
      </c>
      <c r="B335" s="1">
        <v>26.030552635810263</v>
      </c>
      <c r="C335" s="1">
        <v>187.54117122549292</v>
      </c>
      <c r="D335" s="24">
        <f>Data__2[[#This Row],[Project_1]]/J$4</f>
        <v>0.24534668105535246</v>
      </c>
      <c r="E335" s="24">
        <f>Data__2[[#This Row],[Project_2]]/K$4</f>
        <v>0.17353701757206841</v>
      </c>
      <c r="F335" s="24">
        <f>Data__2[[#This Row],[Market]]/L$4</f>
        <v>0.18754117122549291</v>
      </c>
      <c r="G335" s="1">
        <f>L$24*Data__2[[#This Row],[Return Market]]*J$4</f>
        <v>10.418953956971841</v>
      </c>
      <c r="H335" s="1">
        <f>M$24*Data__2[[#This Row],[Return Market]]*K$4</f>
        <v>10.939901654820433</v>
      </c>
      <c r="I335" s="1"/>
      <c r="J335" s="1"/>
      <c r="K335" s="1"/>
      <c r="L335" s="1"/>
      <c r="M335" s="1"/>
    </row>
    <row r="336" spans="1:13">
      <c r="A336" s="1">
        <v>17.794035510789513</v>
      </c>
      <c r="B336" s="1">
        <v>24.740172619701209</v>
      </c>
      <c r="C336" s="1">
        <v>210.24127665591857</v>
      </c>
      <c r="D336" s="24">
        <f>Data__2[[#This Row],[Project_1]]/J$4</f>
        <v>0.11862690340526343</v>
      </c>
      <c r="E336" s="24">
        <f>Data__2[[#This Row],[Project_2]]/K$4</f>
        <v>0.1649344841313414</v>
      </c>
      <c r="F336" s="24">
        <f>Data__2[[#This Row],[Market]]/L$4</f>
        <v>0.21024127665591857</v>
      </c>
      <c r="G336" s="1">
        <f>L$24*Data__2[[#This Row],[Return Market]]*J$4</f>
        <v>11.680070925328822</v>
      </c>
      <c r="H336" s="1">
        <f>M$24*Data__2[[#This Row],[Return Market]]*K$4</f>
        <v>12.264074471595265</v>
      </c>
      <c r="I336" s="1"/>
      <c r="J336" s="1"/>
      <c r="K336" s="1"/>
      <c r="L336" s="1"/>
      <c r="M336" s="1"/>
    </row>
    <row r="337" spans="1:13">
      <c r="A337" s="1">
        <v>26.770848235458725</v>
      </c>
      <c r="B337" s="1">
        <v>28.604876626015454</v>
      </c>
      <c r="C337" s="1">
        <v>269.30079971963175</v>
      </c>
      <c r="D337" s="24">
        <f>Data__2[[#This Row],[Project_1]]/J$4</f>
        <v>0.17847232156972484</v>
      </c>
      <c r="E337" s="24">
        <f>Data__2[[#This Row],[Project_2]]/K$4</f>
        <v>0.19069917750676968</v>
      </c>
      <c r="F337" s="24">
        <f>Data__2[[#This Row],[Market]]/L$4</f>
        <v>0.26930079971963178</v>
      </c>
      <c r="G337" s="1">
        <f>L$24*Data__2[[#This Row],[Return Market]]*J$4</f>
        <v>14.961155539979559</v>
      </c>
      <c r="H337" s="1">
        <f>M$24*Data__2[[#This Row],[Return Market]]*K$4</f>
        <v>15.709213316978541</v>
      </c>
      <c r="I337" s="1"/>
      <c r="J337" s="1"/>
      <c r="K337" s="1"/>
      <c r="L337" s="1"/>
      <c r="M337" s="1"/>
    </row>
    <row r="338" spans="1:13">
      <c r="A338" s="1">
        <v>56.244858160200252</v>
      </c>
      <c r="B338" s="1">
        <v>41.158639444882155</v>
      </c>
      <c r="C338" s="1">
        <v>428.73353072698808</v>
      </c>
      <c r="D338" s="24">
        <f>Data__2[[#This Row],[Project_1]]/J$4</f>
        <v>0.37496572106800169</v>
      </c>
      <c r="E338" s="24">
        <f>Data__2[[#This Row],[Project_2]]/K$4</f>
        <v>0.27439092963254769</v>
      </c>
      <c r="F338" s="24">
        <f>Data__2[[#This Row],[Market]]/L$4</f>
        <v>0.42873353072698805</v>
      </c>
      <c r="G338" s="1">
        <f>L$24*Data__2[[#This Row],[Return Market]]*J$4</f>
        <v>23.818529484832698</v>
      </c>
      <c r="H338" s="1">
        <f>M$24*Data__2[[#This Row],[Return Market]]*K$4</f>
        <v>25.009455959074334</v>
      </c>
      <c r="I338" s="1"/>
      <c r="J338" s="1"/>
      <c r="K338" s="1"/>
      <c r="L338" s="1"/>
      <c r="M338" s="1"/>
    </row>
    <row r="339" spans="1:13">
      <c r="A339" s="1">
        <v>41.282869118967781</v>
      </c>
      <c r="B339" s="1">
        <v>11.647957895723813</v>
      </c>
      <c r="C339" s="1">
        <v>317.92342775640424</v>
      </c>
      <c r="D339" s="24">
        <f>Data__2[[#This Row],[Project_1]]/J$4</f>
        <v>0.27521912745978522</v>
      </c>
      <c r="E339" s="24">
        <f>Data__2[[#This Row],[Project_2]]/K$4</f>
        <v>7.7653052638158748E-2</v>
      </c>
      <c r="F339" s="24">
        <f>Data__2[[#This Row],[Market]]/L$4</f>
        <v>0.31792342775640425</v>
      </c>
      <c r="G339" s="1">
        <f>L$24*Data__2[[#This Row],[Return Market]]*J$4</f>
        <v>17.66241265313359</v>
      </c>
      <c r="H339" s="1">
        <f>M$24*Data__2[[#This Row],[Return Market]]*K$4</f>
        <v>18.545533285790274</v>
      </c>
      <c r="I339" s="1"/>
      <c r="J339" s="1"/>
      <c r="K339" s="1"/>
      <c r="L339" s="1"/>
      <c r="M339" s="1"/>
    </row>
    <row r="340" spans="1:13">
      <c r="A340" s="1">
        <v>8.2752603799358333</v>
      </c>
      <c r="B340" s="1">
        <v>12.813470656528601</v>
      </c>
      <c r="C340" s="1">
        <v>109.6926782935189</v>
      </c>
      <c r="D340" s="24">
        <f>Data__2[[#This Row],[Project_1]]/J$4</f>
        <v>5.5168402532905558E-2</v>
      </c>
      <c r="E340" s="24">
        <f>Data__2[[#This Row],[Project_2]]/K$4</f>
        <v>8.5423137710190666E-2</v>
      </c>
      <c r="F340" s="24">
        <f>Data__2[[#This Row],[Market]]/L$4</f>
        <v>0.10969267829351889</v>
      </c>
      <c r="G340" s="1">
        <f>L$24*Data__2[[#This Row],[Return Market]]*J$4</f>
        <v>6.094037682973279</v>
      </c>
      <c r="H340" s="1">
        <f>M$24*Data__2[[#This Row],[Return Market]]*K$4</f>
        <v>6.398739567121944</v>
      </c>
      <c r="I340" s="1"/>
      <c r="J340" s="1"/>
      <c r="K340" s="1"/>
      <c r="L340" s="1"/>
      <c r="M340" s="1"/>
    </row>
    <row r="341" spans="1:13">
      <c r="A341" s="1">
        <v>14.349812294411951</v>
      </c>
      <c r="B341" s="1">
        <v>6.9776041493016034</v>
      </c>
      <c r="C341" s="1">
        <v>99.815001160532901</v>
      </c>
      <c r="D341" s="24">
        <f>Data__2[[#This Row],[Project_1]]/J$4</f>
        <v>9.5665415296079678E-2</v>
      </c>
      <c r="E341" s="24">
        <f>Data__2[[#This Row],[Project_2]]/K$4</f>
        <v>4.6517360995344023E-2</v>
      </c>
      <c r="F341" s="24">
        <f>Data__2[[#This Row],[Market]]/L$4</f>
        <v>9.9815001160532907E-2</v>
      </c>
      <c r="G341" s="1">
        <f>L$24*Data__2[[#This Row],[Return Market]]*J$4</f>
        <v>5.5452778422518341</v>
      </c>
      <c r="H341" s="1">
        <f>M$24*Data__2[[#This Row],[Return Market]]*K$4</f>
        <v>5.8225417343644263</v>
      </c>
      <c r="I341" s="1"/>
      <c r="J341" s="1"/>
      <c r="K341" s="1"/>
      <c r="L341" s="1"/>
      <c r="M341" s="1"/>
    </row>
    <row r="342" spans="1:13">
      <c r="A342" s="1">
        <v>32.661872980452067</v>
      </c>
      <c r="B342" s="1">
        <v>10.495553424450552</v>
      </c>
      <c r="C342" s="1">
        <v>23.893736563847497</v>
      </c>
      <c r="D342" s="24">
        <f>Data__2[[#This Row],[Project_1]]/J$4</f>
        <v>0.21774581986968045</v>
      </c>
      <c r="E342" s="24">
        <f>Data__2[[#This Row],[Project_2]]/K$4</f>
        <v>6.9970356163003677E-2</v>
      </c>
      <c r="F342" s="24">
        <f>Data__2[[#This Row],[Market]]/L$4</f>
        <v>2.3893736563847499E-2</v>
      </c>
      <c r="G342" s="1">
        <f>L$24*Data__2[[#This Row],[Return Market]]*J$4</f>
        <v>1.3274298091026402</v>
      </c>
      <c r="H342" s="1">
        <f>M$24*Data__2[[#This Row],[Return Market]]*K$4</f>
        <v>1.3938012995577727</v>
      </c>
      <c r="I342" s="1"/>
      <c r="J342" s="1"/>
      <c r="K342" s="1"/>
      <c r="L342" s="1"/>
      <c r="M342" s="1"/>
    </row>
    <row r="343" spans="1:13">
      <c r="A343" s="1">
        <v>11.711092314895856</v>
      </c>
      <c r="B343" s="1">
        <v>10.470605333116946</v>
      </c>
      <c r="C343" s="1">
        <v>-197.73180080404893</v>
      </c>
      <c r="D343" s="24">
        <f>Data__2[[#This Row],[Project_1]]/J$4</f>
        <v>7.8073948765972373E-2</v>
      </c>
      <c r="E343" s="24">
        <f>Data__2[[#This Row],[Project_2]]/K$4</f>
        <v>6.9804035554112978E-2</v>
      </c>
      <c r="F343" s="24">
        <f>Data__2[[#This Row],[Market]]/L$4</f>
        <v>-0.19773180080404892</v>
      </c>
      <c r="G343" s="1">
        <f>L$24*Data__2[[#This Row],[Return Market]]*J$4</f>
        <v>-10.985100044669396</v>
      </c>
      <c r="H343" s="1">
        <f>M$24*Data__2[[#This Row],[Return Market]]*K$4</f>
        <v>-11.534355046902869</v>
      </c>
      <c r="I343" s="1"/>
      <c r="J343" s="1"/>
      <c r="K343" s="1"/>
      <c r="L343" s="1"/>
      <c r="M343" s="1"/>
    </row>
    <row r="344" spans="1:13">
      <c r="A344" s="1">
        <v>1.0456062975872999</v>
      </c>
      <c r="B344" s="1">
        <v>0.41598344214672167</v>
      </c>
      <c r="C344" s="1">
        <v>-93.096063791612295</v>
      </c>
      <c r="D344" s="24">
        <f>Data__2[[#This Row],[Project_1]]/J$4</f>
        <v>6.9707086505819997E-3</v>
      </c>
      <c r="E344" s="24">
        <f>Data__2[[#This Row],[Project_2]]/K$4</f>
        <v>2.7732229476448112E-3</v>
      </c>
      <c r="F344" s="24">
        <f>Data__2[[#This Row],[Market]]/L$4</f>
        <v>-9.3096063791612296E-2</v>
      </c>
      <c r="G344" s="1">
        <f>L$24*Data__2[[#This Row],[Return Market]]*J$4</f>
        <v>-5.1720035439784668</v>
      </c>
      <c r="H344" s="1">
        <f>M$24*Data__2[[#This Row],[Return Market]]*K$4</f>
        <v>-5.4306037211773912</v>
      </c>
      <c r="I344" s="1"/>
      <c r="J344" s="1"/>
      <c r="K344" s="1"/>
      <c r="L344" s="1"/>
      <c r="M344" s="1"/>
    </row>
    <row r="345" spans="1:13">
      <c r="A345" s="1">
        <v>24.362043117580722</v>
      </c>
      <c r="B345" s="1">
        <v>-4.138585583913601</v>
      </c>
      <c r="C345" s="1">
        <v>-150.09843112327994</v>
      </c>
      <c r="D345" s="24">
        <f>Data__2[[#This Row],[Project_1]]/J$4</f>
        <v>0.16241362078387148</v>
      </c>
      <c r="E345" s="24">
        <f>Data__2[[#This Row],[Project_2]]/K$4</f>
        <v>-2.7590570559424005E-2</v>
      </c>
      <c r="F345" s="24">
        <f>Data__2[[#This Row],[Market]]/L$4</f>
        <v>-0.15009843112327995</v>
      </c>
      <c r="G345" s="1">
        <f>L$24*Data__2[[#This Row],[Return Market]]*J$4</f>
        <v>-8.3388017290711183</v>
      </c>
      <c r="H345" s="1">
        <f>M$24*Data__2[[#This Row],[Return Market]]*K$4</f>
        <v>-8.755741815524674</v>
      </c>
      <c r="I345" s="1"/>
      <c r="J345" s="1"/>
      <c r="K345" s="1"/>
      <c r="L345" s="1"/>
      <c r="M345" s="1"/>
    </row>
    <row r="346" spans="1:13">
      <c r="A346" s="1">
        <v>28.78664678236099</v>
      </c>
      <c r="B346" s="1">
        <v>41.415351296766502</v>
      </c>
      <c r="C346" s="1">
        <v>343.87157843614358</v>
      </c>
      <c r="D346" s="24">
        <f>Data__2[[#This Row],[Project_1]]/J$4</f>
        <v>0.19191097854907327</v>
      </c>
      <c r="E346" s="24">
        <f>Data__2[[#This Row],[Project_2]]/K$4</f>
        <v>0.27610234197844336</v>
      </c>
      <c r="F346" s="24">
        <f>Data__2[[#This Row],[Market]]/L$4</f>
        <v>0.34387157843614358</v>
      </c>
      <c r="G346" s="1">
        <f>L$24*Data__2[[#This Row],[Return Market]]*J$4</f>
        <v>19.10397657978578</v>
      </c>
      <c r="H346" s="1">
        <f>M$24*Data__2[[#This Row],[Return Market]]*K$4</f>
        <v>20.059175408775065</v>
      </c>
      <c r="I346" s="1"/>
      <c r="J346" s="1"/>
      <c r="K346" s="1"/>
      <c r="L346" s="1"/>
      <c r="M346" s="1"/>
    </row>
    <row r="347" spans="1:13">
      <c r="A347" s="1">
        <v>7.4462855482034431</v>
      </c>
      <c r="B347" s="1">
        <v>10.600042432001874</v>
      </c>
      <c r="C347" s="1">
        <v>265.3419774308303</v>
      </c>
      <c r="D347" s="24">
        <f>Data__2[[#This Row],[Project_1]]/J$4</f>
        <v>4.9641903654689623E-2</v>
      </c>
      <c r="E347" s="24">
        <f>Data__2[[#This Row],[Project_2]]/K$4</f>
        <v>7.0666949546679167E-2</v>
      </c>
      <c r="F347" s="24">
        <f>Data__2[[#This Row],[Market]]/L$4</f>
        <v>0.26534197743083032</v>
      </c>
      <c r="G347" s="1">
        <f>L$24*Data__2[[#This Row],[Return Market]]*J$4</f>
        <v>14.74122096837948</v>
      </c>
      <c r="H347" s="1">
        <f>M$24*Data__2[[#This Row],[Return Market]]*K$4</f>
        <v>15.478282016798454</v>
      </c>
      <c r="I347" s="1"/>
      <c r="J347" s="1"/>
      <c r="K347" s="1"/>
      <c r="L347" s="1"/>
      <c r="M347" s="1"/>
    </row>
    <row r="348" spans="1:13">
      <c r="A348" s="1">
        <v>6.6248574688325625</v>
      </c>
      <c r="B348" s="1">
        <v>2.8518200648741647</v>
      </c>
      <c r="C348" s="1">
        <v>-117.10478981114522</v>
      </c>
      <c r="D348" s="24">
        <f>Data__2[[#This Row],[Project_1]]/J$4</f>
        <v>4.4165716458883751E-2</v>
      </c>
      <c r="E348" s="24">
        <f>Data__2[[#This Row],[Project_2]]/K$4</f>
        <v>1.9012133765827766E-2</v>
      </c>
      <c r="F348" s="24">
        <f>Data__2[[#This Row],[Market]]/L$4</f>
        <v>-0.11710478981114522</v>
      </c>
      <c r="G348" s="1">
        <f>L$24*Data__2[[#This Row],[Return Market]]*J$4</f>
        <v>-6.5058216561747422</v>
      </c>
      <c r="H348" s="1">
        <f>M$24*Data__2[[#This Row],[Return Market]]*K$4</f>
        <v>-6.8311127389834807</v>
      </c>
      <c r="I348" s="1"/>
      <c r="J348" s="1"/>
      <c r="K348" s="1"/>
      <c r="L348" s="1"/>
      <c r="M348" s="1"/>
    </row>
    <row r="349" spans="1:13">
      <c r="A349" s="1">
        <v>-6.9459175670883937</v>
      </c>
      <c r="B349" s="1">
        <v>14.977031708313222</v>
      </c>
      <c r="C349" s="1">
        <v>-97.589465026770625</v>
      </c>
      <c r="D349" s="24">
        <f>Data__2[[#This Row],[Project_1]]/J$4</f>
        <v>-4.6306117113922622E-2</v>
      </c>
      <c r="E349" s="24">
        <f>Data__2[[#This Row],[Project_2]]/K$4</f>
        <v>9.9846878055421473E-2</v>
      </c>
      <c r="F349" s="24">
        <f>Data__2[[#This Row],[Market]]/L$4</f>
        <v>-9.7589465026770628E-2</v>
      </c>
      <c r="G349" s="1">
        <f>L$24*Data__2[[#This Row],[Return Market]]*J$4</f>
        <v>-5.4216369459317084</v>
      </c>
      <c r="H349" s="1">
        <f>M$24*Data__2[[#This Row],[Return Market]]*K$4</f>
        <v>-5.6927187932282939</v>
      </c>
      <c r="I349" s="1"/>
      <c r="J349" s="1"/>
      <c r="K349" s="1"/>
      <c r="L349" s="1"/>
      <c r="M349" s="1"/>
    </row>
    <row r="350" spans="1:13">
      <c r="A350" s="1">
        <v>5.6112512693746606</v>
      </c>
      <c r="B350" s="1">
        <v>14.382058585492441</v>
      </c>
      <c r="C350" s="1">
        <v>32.732863724251203</v>
      </c>
      <c r="D350" s="24">
        <f>Data__2[[#This Row],[Project_1]]/J$4</f>
        <v>3.7408341795831072E-2</v>
      </c>
      <c r="E350" s="24">
        <f>Data__2[[#This Row],[Project_2]]/K$4</f>
        <v>9.5880390569949611E-2</v>
      </c>
      <c r="F350" s="24">
        <f>Data__2[[#This Row],[Market]]/L$4</f>
        <v>3.2732863724251202E-2</v>
      </c>
      <c r="G350" s="1">
        <f>L$24*Data__2[[#This Row],[Return Market]]*J$4</f>
        <v>1.8184924291250688</v>
      </c>
      <c r="H350" s="1">
        <f>M$24*Data__2[[#This Row],[Return Market]]*K$4</f>
        <v>1.9094170505813226</v>
      </c>
      <c r="I350" s="1"/>
      <c r="J350" s="1"/>
      <c r="K350" s="1"/>
      <c r="L350" s="1"/>
      <c r="M350" s="1"/>
    </row>
    <row r="351" spans="1:13">
      <c r="A351" s="1">
        <v>-4.9866196708942567</v>
      </c>
      <c r="B351" s="1">
        <v>-5.2154835125684595</v>
      </c>
      <c r="C351" s="1">
        <v>-10.403055700505604</v>
      </c>
      <c r="D351" s="24">
        <f>Data__2[[#This Row],[Project_1]]/J$4</f>
        <v>-3.3244131139295044E-2</v>
      </c>
      <c r="E351" s="24">
        <f>Data__2[[#This Row],[Project_2]]/K$4</f>
        <v>-3.476989008378973E-2</v>
      </c>
      <c r="F351" s="24">
        <f>Data__2[[#This Row],[Market]]/L$4</f>
        <v>-1.0403055700505605E-2</v>
      </c>
      <c r="G351" s="1">
        <f>L$24*Data__2[[#This Row],[Return Market]]*J$4</f>
        <v>-0.5779475389169787</v>
      </c>
      <c r="H351" s="1">
        <f>M$24*Data__2[[#This Row],[Return Market]]*K$4</f>
        <v>-0.60684491586282774</v>
      </c>
      <c r="I351" s="1"/>
      <c r="J351" s="1"/>
      <c r="K351" s="1"/>
      <c r="L351" s="1"/>
      <c r="M351" s="1"/>
    </row>
    <row r="352" spans="1:13">
      <c r="A352" s="1">
        <v>-12.746355946387531</v>
      </c>
      <c r="B352" s="1">
        <v>-9.3855917100602788</v>
      </c>
      <c r="C352" s="1">
        <v>-204.76296225406878</v>
      </c>
      <c r="D352" s="24">
        <f>Data__2[[#This Row],[Project_1]]/J$4</f>
        <v>-8.4975706309250207E-2</v>
      </c>
      <c r="E352" s="24">
        <f>Data__2[[#This Row],[Project_2]]/K$4</f>
        <v>-6.2570611400401863E-2</v>
      </c>
      <c r="F352" s="24">
        <f>Data__2[[#This Row],[Market]]/L$4</f>
        <v>-0.20476296225406879</v>
      </c>
      <c r="G352" s="1">
        <f>L$24*Data__2[[#This Row],[Return Market]]*J$4</f>
        <v>-11.375720125226056</v>
      </c>
      <c r="H352" s="1">
        <f>M$24*Data__2[[#This Row],[Return Market]]*K$4</f>
        <v>-11.94450613148736</v>
      </c>
      <c r="I352" s="1"/>
      <c r="J352" s="1"/>
      <c r="K352" s="1"/>
      <c r="L352" s="1"/>
      <c r="M352" s="1"/>
    </row>
    <row r="353" spans="1:13">
      <c r="A353" s="1">
        <v>2.3304300487943053</v>
      </c>
      <c r="B353" s="1">
        <v>37.386334545865388</v>
      </c>
      <c r="C353" s="1">
        <v>460.29957463878054</v>
      </c>
      <c r="D353" s="24">
        <f>Data__2[[#This Row],[Project_1]]/J$4</f>
        <v>1.5536200325295369E-2</v>
      </c>
      <c r="E353" s="24">
        <f>Data__2[[#This Row],[Project_2]]/K$4</f>
        <v>0.24924223030576925</v>
      </c>
      <c r="F353" s="24">
        <f>Data__2[[#This Row],[Market]]/L$4</f>
        <v>0.46029957463878052</v>
      </c>
      <c r="G353" s="1">
        <f>L$24*Data__2[[#This Row],[Return Market]]*J$4</f>
        <v>25.572198591043392</v>
      </c>
      <c r="H353" s="1">
        <f>M$24*Data__2[[#This Row],[Return Market]]*K$4</f>
        <v>26.850808520595564</v>
      </c>
      <c r="I353" s="1"/>
      <c r="J353" s="1"/>
      <c r="K353" s="1"/>
      <c r="L353" s="1"/>
      <c r="M353" s="1"/>
    </row>
    <row r="354" spans="1:13">
      <c r="A354" s="1">
        <v>21.414504950690009</v>
      </c>
      <c r="B354" s="1">
        <v>27.662953651071614</v>
      </c>
      <c r="C354" s="1">
        <v>253.83403291597875</v>
      </c>
      <c r="D354" s="24">
        <f>Data__2[[#This Row],[Project_1]]/J$4</f>
        <v>0.14276336633793341</v>
      </c>
      <c r="E354" s="24">
        <f>Data__2[[#This Row],[Project_2]]/K$4</f>
        <v>0.18441969100714409</v>
      </c>
      <c r="F354" s="24">
        <f>Data__2[[#This Row],[Market]]/L$4</f>
        <v>0.25383403291597878</v>
      </c>
      <c r="G354" s="1">
        <f>L$24*Data__2[[#This Row],[Return Market]]*J$4</f>
        <v>14.101890717554394</v>
      </c>
      <c r="H354" s="1">
        <f>M$24*Data__2[[#This Row],[Return Market]]*K$4</f>
        <v>14.806985253432114</v>
      </c>
      <c r="I354" s="1"/>
      <c r="J354" s="1"/>
      <c r="K354" s="1"/>
      <c r="L354" s="1"/>
      <c r="M354" s="1"/>
    </row>
    <row r="355" spans="1:13">
      <c r="A355" s="1">
        <v>32.013488677001298</v>
      </c>
      <c r="B355" s="1">
        <v>21.506793533312539</v>
      </c>
      <c r="C355" s="1">
        <v>50.692293427044618</v>
      </c>
      <c r="D355" s="24">
        <f>Data__2[[#This Row],[Project_1]]/J$4</f>
        <v>0.21342325784667532</v>
      </c>
      <c r="E355" s="24">
        <f>Data__2[[#This Row],[Project_2]]/K$4</f>
        <v>0.14337862355541692</v>
      </c>
      <c r="F355" s="24">
        <f>Data__2[[#This Row],[Market]]/L$4</f>
        <v>5.0692293427044614E-2</v>
      </c>
      <c r="G355" s="1">
        <f>L$24*Data__2[[#This Row],[Return Market]]*J$4</f>
        <v>2.8162385237247038</v>
      </c>
      <c r="H355" s="1">
        <f>M$24*Data__2[[#This Row],[Return Market]]*K$4</f>
        <v>2.9570504499109398</v>
      </c>
      <c r="I355" s="1"/>
      <c r="J355" s="1"/>
      <c r="K355" s="1"/>
      <c r="L355" s="1"/>
      <c r="M355" s="1"/>
    </row>
    <row r="356" spans="1:13">
      <c r="A356" s="1">
        <v>-19.714445626068812</v>
      </c>
      <c r="B356" s="1">
        <v>15.811877418953639</v>
      </c>
      <c r="C356" s="1">
        <v>66.067147203174017</v>
      </c>
      <c r="D356" s="24">
        <f>Data__2[[#This Row],[Project_1]]/J$4</f>
        <v>-0.13142963750712541</v>
      </c>
      <c r="E356" s="24">
        <f>Data__2[[#This Row],[Project_2]]/K$4</f>
        <v>0.10541251612635759</v>
      </c>
      <c r="F356" s="24">
        <f>Data__2[[#This Row],[Market]]/L$4</f>
        <v>6.6067147203174012E-2</v>
      </c>
      <c r="G356" s="1">
        <f>L$24*Data__2[[#This Row],[Return Market]]*J$4</f>
        <v>3.6703970668430048</v>
      </c>
      <c r="H356" s="1">
        <f>M$24*Data__2[[#This Row],[Return Market]]*K$4</f>
        <v>3.853916920185156</v>
      </c>
      <c r="I356" s="1"/>
      <c r="J356" s="1"/>
      <c r="K356" s="1"/>
      <c r="L356" s="1"/>
      <c r="M356" s="1"/>
    </row>
    <row r="357" spans="1:13">
      <c r="A357" s="1">
        <v>24.627057409227589</v>
      </c>
      <c r="B357" s="1">
        <v>10.349576424500327</v>
      </c>
      <c r="C357" s="1">
        <v>90.020646685261227</v>
      </c>
      <c r="D357" s="24">
        <f>Data__2[[#This Row],[Project_1]]/J$4</f>
        <v>0.16418038272818392</v>
      </c>
      <c r="E357" s="24">
        <f>Data__2[[#This Row],[Project_2]]/K$4</f>
        <v>6.8997176163335519E-2</v>
      </c>
      <c r="F357" s="24">
        <f>Data__2[[#This Row],[Market]]/L$4</f>
        <v>9.0020646685261232E-2</v>
      </c>
      <c r="G357" s="1">
        <f>L$24*Data__2[[#This Row],[Return Market]]*J$4</f>
        <v>5.0011470380700738</v>
      </c>
      <c r="H357" s="1">
        <f>M$24*Data__2[[#This Row],[Return Market]]*K$4</f>
        <v>5.2512043899735792</v>
      </c>
      <c r="I357" s="1"/>
      <c r="J357" s="1"/>
      <c r="K357" s="1"/>
      <c r="L357" s="1"/>
      <c r="M357" s="1"/>
    </row>
    <row r="358" spans="1:13">
      <c r="A358" s="1">
        <v>-10.762023436908379</v>
      </c>
      <c r="B358" s="1">
        <v>-1.8517998446002011</v>
      </c>
      <c r="C358" s="1">
        <v>-110.44818515873979</v>
      </c>
      <c r="D358" s="24">
        <f>Data__2[[#This Row],[Project_1]]/J$4</f>
        <v>-7.1746822912722524E-2</v>
      </c>
      <c r="E358" s="24">
        <f>Data__2[[#This Row],[Project_2]]/K$4</f>
        <v>-1.2345332297334673E-2</v>
      </c>
      <c r="F358" s="24">
        <f>Data__2[[#This Row],[Market]]/L$4</f>
        <v>-0.11044818515873979</v>
      </c>
      <c r="G358" s="1">
        <f>L$24*Data__2[[#This Row],[Return Market]]*J$4</f>
        <v>-6.1360102865966617</v>
      </c>
      <c r="H358" s="1">
        <f>M$24*Data__2[[#This Row],[Return Market]]*K$4</f>
        <v>-6.4428108009264964</v>
      </c>
      <c r="I358" s="1"/>
      <c r="J358" s="1"/>
      <c r="K358" s="1"/>
      <c r="L358" s="1"/>
      <c r="M358" s="1"/>
    </row>
    <row r="359" spans="1:13">
      <c r="A359" s="1">
        <v>-21.314113513734164</v>
      </c>
      <c r="B359" s="1">
        <v>-11.125332577486134</v>
      </c>
      <c r="C359" s="1">
        <v>-2.2320015686410102</v>
      </c>
      <c r="D359" s="24">
        <f>Data__2[[#This Row],[Project_1]]/J$4</f>
        <v>-0.1420940900915611</v>
      </c>
      <c r="E359" s="24">
        <f>Data__2[[#This Row],[Project_2]]/K$4</f>
        <v>-7.4168883849907552E-2</v>
      </c>
      <c r="F359" s="24">
        <f>Data__2[[#This Row],[Market]]/L$4</f>
        <v>-2.2320015686410101E-3</v>
      </c>
      <c r="G359" s="1">
        <f>L$24*Data__2[[#This Row],[Return Market]]*J$4</f>
        <v>-0.12400008714672292</v>
      </c>
      <c r="H359" s="1">
        <f>M$24*Data__2[[#This Row],[Return Market]]*K$4</f>
        <v>-0.13020009150405909</v>
      </c>
      <c r="I359" s="1"/>
      <c r="J359" s="1"/>
      <c r="K359" s="1"/>
      <c r="L359" s="1"/>
      <c r="M359" s="1"/>
    </row>
    <row r="360" spans="1:13">
      <c r="A360" s="1">
        <v>-19.661332048146321</v>
      </c>
      <c r="B360" s="1">
        <v>-7.0961993088719382</v>
      </c>
      <c r="C360" s="1">
        <v>-10.108453300518931</v>
      </c>
      <c r="D360" s="24">
        <f>Data__2[[#This Row],[Project_1]]/J$4</f>
        <v>-0.13107554698764215</v>
      </c>
      <c r="E360" s="24">
        <f>Data__2[[#This Row],[Project_2]]/K$4</f>
        <v>-4.7307995392479589E-2</v>
      </c>
      <c r="F360" s="24">
        <f>Data__2[[#This Row],[Market]]/L$4</f>
        <v>-1.0108453300518931E-2</v>
      </c>
      <c r="G360" s="1">
        <f>L$24*Data__2[[#This Row],[Return Market]]*J$4</f>
        <v>-0.56158073891771909</v>
      </c>
      <c r="H360" s="1">
        <f>M$24*Data__2[[#This Row],[Return Market]]*K$4</f>
        <v>-0.58965977586360507</v>
      </c>
      <c r="I360" s="1"/>
      <c r="J360" s="1"/>
      <c r="K360" s="1"/>
      <c r="L360" s="1"/>
      <c r="M360" s="1"/>
    </row>
    <row r="361" spans="1:13">
      <c r="A361" s="1">
        <v>68.312029560526526</v>
      </c>
      <c r="B361" s="1">
        <v>25.537446944691975</v>
      </c>
      <c r="C361" s="1">
        <v>361.94076814701492</v>
      </c>
      <c r="D361" s="24">
        <f>Data__2[[#This Row],[Project_1]]/J$4</f>
        <v>0.45541353040351018</v>
      </c>
      <c r="E361" s="24">
        <f>Data__2[[#This Row],[Project_2]]/K$4</f>
        <v>0.17024964629794651</v>
      </c>
      <c r="F361" s="24">
        <f>Data__2[[#This Row],[Market]]/L$4</f>
        <v>0.36194076814701492</v>
      </c>
      <c r="G361" s="1">
        <f>L$24*Data__2[[#This Row],[Return Market]]*J$4</f>
        <v>20.107820452611964</v>
      </c>
      <c r="H361" s="1">
        <f>M$24*Data__2[[#This Row],[Return Market]]*K$4</f>
        <v>21.113211475242565</v>
      </c>
      <c r="I361" s="1"/>
      <c r="J361" s="1"/>
      <c r="K361" s="1"/>
      <c r="L361" s="1"/>
      <c r="M361" s="1"/>
    </row>
    <row r="362" spans="1:13">
      <c r="A362" s="1">
        <v>-7.3741336417735326</v>
      </c>
      <c r="B362" s="1">
        <v>-7.1663993232524703</v>
      </c>
      <c r="C362" s="1">
        <v>-179.78735484266321</v>
      </c>
      <c r="D362" s="24">
        <f>Data__2[[#This Row],[Project_1]]/J$4</f>
        <v>-4.9160890945156882E-2</v>
      </c>
      <c r="E362" s="24">
        <f>Data__2[[#This Row],[Project_2]]/K$4</f>
        <v>-4.77759954883498E-2</v>
      </c>
      <c r="F362" s="24">
        <f>Data__2[[#This Row],[Market]]/L$4</f>
        <v>-0.1797873548426632</v>
      </c>
      <c r="G362" s="1">
        <f>L$24*Data__2[[#This Row],[Return Market]]*J$4</f>
        <v>-9.9881863801479671</v>
      </c>
      <c r="H362" s="1">
        <f>M$24*Data__2[[#This Row],[Return Market]]*K$4</f>
        <v>-10.487595699155367</v>
      </c>
      <c r="I362" s="1"/>
      <c r="J362" s="1"/>
      <c r="K362" s="1"/>
      <c r="L362" s="1"/>
      <c r="M362" s="1"/>
    </row>
    <row r="363" spans="1:13">
      <c r="A363" s="1">
        <v>-25.875265377299201</v>
      </c>
      <c r="B363" s="1">
        <v>-17.999648474365937</v>
      </c>
      <c r="C363" s="1">
        <v>-36.358053361527539</v>
      </c>
      <c r="D363" s="24">
        <f>Data__2[[#This Row],[Project_1]]/J$4</f>
        <v>-0.17250176918199467</v>
      </c>
      <c r="E363" s="24">
        <f>Data__2[[#This Row],[Project_2]]/K$4</f>
        <v>-0.11999765649577292</v>
      </c>
      <c r="F363" s="24">
        <f>Data__2[[#This Row],[Market]]/L$4</f>
        <v>-3.6358053361527538E-2</v>
      </c>
      <c r="G363" s="1">
        <f>L$24*Data__2[[#This Row],[Return Market]]*J$4</f>
        <v>-2.0198918534181991</v>
      </c>
      <c r="H363" s="1">
        <f>M$24*Data__2[[#This Row],[Return Market]]*K$4</f>
        <v>-2.1208864460891093</v>
      </c>
      <c r="I363" s="1"/>
      <c r="J363" s="1"/>
      <c r="K363" s="1"/>
      <c r="L363" s="1"/>
      <c r="M363" s="1"/>
    </row>
    <row r="364" spans="1:13">
      <c r="A364" s="1">
        <v>15.024071225682913</v>
      </c>
      <c r="B364" s="1">
        <v>16.30679405362703</v>
      </c>
      <c r="C364" s="1">
        <v>69.997276975031028</v>
      </c>
      <c r="D364" s="24">
        <f>Data__2[[#This Row],[Project_1]]/J$4</f>
        <v>0.10016047483788609</v>
      </c>
      <c r="E364" s="24">
        <f>Data__2[[#This Row],[Project_2]]/K$4</f>
        <v>0.10871196035751353</v>
      </c>
      <c r="F364" s="24">
        <f>Data__2[[#This Row],[Market]]/L$4</f>
        <v>6.9997276975031025E-2</v>
      </c>
      <c r="G364" s="1">
        <f>L$24*Data__2[[#This Row],[Return Market]]*J$4</f>
        <v>3.8887376097239499</v>
      </c>
      <c r="H364" s="1">
        <f>M$24*Data__2[[#This Row],[Return Market]]*K$4</f>
        <v>4.0831744902101486</v>
      </c>
      <c r="I364" s="1"/>
      <c r="J364" s="1"/>
      <c r="K364" s="1"/>
      <c r="L364" s="1"/>
      <c r="M364" s="1"/>
    </row>
    <row r="365" spans="1:13">
      <c r="A365" s="1">
        <v>44.089084912928612</v>
      </c>
      <c r="B365" s="1">
        <v>19.507141386248673</v>
      </c>
      <c r="C365" s="1">
        <v>323.17124838749896</v>
      </c>
      <c r="D365" s="24">
        <f>Data__2[[#This Row],[Project_1]]/J$4</f>
        <v>0.29392723275285743</v>
      </c>
      <c r="E365" s="24">
        <f>Data__2[[#This Row],[Project_2]]/K$4</f>
        <v>0.13004760924165781</v>
      </c>
      <c r="F365" s="24">
        <f>Data__2[[#This Row],[Market]]/L$4</f>
        <v>0.32317124838749894</v>
      </c>
      <c r="G365" s="1">
        <f>L$24*Data__2[[#This Row],[Return Market]]*J$4</f>
        <v>17.953958243749963</v>
      </c>
      <c r="H365" s="1">
        <f>M$24*Data__2[[#This Row],[Return Market]]*K$4</f>
        <v>18.851656155937462</v>
      </c>
      <c r="I365" s="1"/>
      <c r="J365" s="1"/>
      <c r="K365" s="1"/>
      <c r="L365" s="1"/>
      <c r="M365" s="1"/>
    </row>
    <row r="366" spans="1:13">
      <c r="A366" s="1">
        <v>-19.012407279358559</v>
      </c>
      <c r="B366" s="1">
        <v>2.088764970562913</v>
      </c>
      <c r="C366" s="1">
        <v>-110.49591961551627</v>
      </c>
      <c r="D366" s="24">
        <f>Data__2[[#This Row],[Project_1]]/J$4</f>
        <v>-0.1267493818623904</v>
      </c>
      <c r="E366" s="24">
        <f>Data__2[[#This Row],[Project_2]]/K$4</f>
        <v>1.3925099803752753E-2</v>
      </c>
      <c r="F366" s="24">
        <f>Data__2[[#This Row],[Market]]/L$4</f>
        <v>-0.11049591961551627</v>
      </c>
      <c r="G366" s="1">
        <f>L$24*Data__2[[#This Row],[Return Market]]*J$4</f>
        <v>-6.1386622008620231</v>
      </c>
      <c r="H366" s="1">
        <f>M$24*Data__2[[#This Row],[Return Market]]*K$4</f>
        <v>-6.4455953109051247</v>
      </c>
      <c r="I366" s="1"/>
      <c r="J366" s="1"/>
      <c r="K366" s="1"/>
      <c r="L366" s="1"/>
      <c r="M366" s="1"/>
    </row>
    <row r="367" spans="1:13">
      <c r="A367" s="1">
        <v>25.843383032436542</v>
      </c>
      <c r="B367" s="1">
        <v>43.238016442020793</v>
      </c>
      <c r="C367" s="1">
        <v>434.95821189870088</v>
      </c>
      <c r="D367" s="24">
        <f>Data__2[[#This Row],[Project_1]]/J$4</f>
        <v>0.1722892202162436</v>
      </c>
      <c r="E367" s="24">
        <f>Data__2[[#This Row],[Project_2]]/K$4</f>
        <v>0.28825344294680527</v>
      </c>
      <c r="F367" s="24">
        <f>Data__2[[#This Row],[Market]]/L$4</f>
        <v>0.43495821189870087</v>
      </c>
      <c r="G367" s="1">
        <f>L$24*Data__2[[#This Row],[Return Market]]*J$4</f>
        <v>24.164345105483406</v>
      </c>
      <c r="H367" s="1">
        <f>M$24*Data__2[[#This Row],[Return Market]]*K$4</f>
        <v>25.372562360757581</v>
      </c>
      <c r="I367" s="1"/>
      <c r="J367" s="1"/>
      <c r="K367" s="1"/>
      <c r="L367" s="1"/>
      <c r="M367" s="1"/>
    </row>
    <row r="368" spans="1:13">
      <c r="A368" s="1">
        <v>-4.4384345693594938</v>
      </c>
      <c r="B368" s="1">
        <v>-11.508640973116794</v>
      </c>
      <c r="C368" s="1">
        <v>228.10047880572037</v>
      </c>
      <c r="D368" s="24">
        <f>Data__2[[#This Row],[Project_1]]/J$4</f>
        <v>-2.9589563795729957E-2</v>
      </c>
      <c r="E368" s="24">
        <f>Data__2[[#This Row],[Project_2]]/K$4</f>
        <v>-7.6724273154111955E-2</v>
      </c>
      <c r="F368" s="24">
        <f>Data__2[[#This Row],[Market]]/L$4</f>
        <v>0.22810047880572037</v>
      </c>
      <c r="G368" s="1">
        <f>L$24*Data__2[[#This Row],[Return Market]]*J$4</f>
        <v>12.672248822540034</v>
      </c>
      <c r="H368" s="1">
        <f>M$24*Data__2[[#This Row],[Return Market]]*K$4</f>
        <v>13.305861263667039</v>
      </c>
      <c r="I368" s="1"/>
      <c r="J368" s="1"/>
      <c r="K368" s="1"/>
      <c r="L368" s="1"/>
      <c r="M368" s="1"/>
    </row>
    <row r="369" spans="1:13">
      <c r="A369" s="1">
        <v>27.350374395476226</v>
      </c>
      <c r="B369" s="1">
        <v>29.798313453964578</v>
      </c>
      <c r="C369" s="1">
        <v>308.55279967946802</v>
      </c>
      <c r="D369" s="24">
        <f>Data__2[[#This Row],[Project_1]]/J$4</f>
        <v>0.18233582930317485</v>
      </c>
      <c r="E369" s="24">
        <f>Data__2[[#This Row],[Project_2]]/K$4</f>
        <v>0.19865542302643052</v>
      </c>
      <c r="F369" s="24">
        <f>Data__2[[#This Row],[Market]]/L$4</f>
        <v>0.30855279967946803</v>
      </c>
      <c r="G369" s="1">
        <f>L$24*Data__2[[#This Row],[Return Market]]*J$4</f>
        <v>17.141822204414908</v>
      </c>
      <c r="H369" s="1">
        <f>M$24*Data__2[[#This Row],[Return Market]]*K$4</f>
        <v>17.998913314635658</v>
      </c>
      <c r="I369" s="1"/>
      <c r="J369" s="1"/>
      <c r="K369" s="1"/>
      <c r="L369" s="1"/>
      <c r="M369" s="1"/>
    </row>
    <row r="370" spans="1:13">
      <c r="A370" s="1">
        <v>-25.429571026825933</v>
      </c>
      <c r="B370" s="1">
        <v>-10.159356956408413</v>
      </c>
      <c r="C370" s="1">
        <v>-200.58257763099488</v>
      </c>
      <c r="D370" s="24">
        <f>Data__2[[#This Row],[Project_1]]/J$4</f>
        <v>-0.16953047351217287</v>
      </c>
      <c r="E370" s="24">
        <f>Data__2[[#This Row],[Project_2]]/K$4</f>
        <v>-6.772904637605609E-2</v>
      </c>
      <c r="F370" s="24">
        <f>Data__2[[#This Row],[Market]]/L$4</f>
        <v>-0.20058257763099488</v>
      </c>
      <c r="G370" s="1">
        <f>L$24*Data__2[[#This Row],[Return Market]]*J$4</f>
        <v>-11.143476535055283</v>
      </c>
      <c r="H370" s="1">
        <f>M$24*Data__2[[#This Row],[Return Market]]*K$4</f>
        <v>-11.70065036180805</v>
      </c>
      <c r="I370" s="1"/>
      <c r="J370" s="1"/>
      <c r="K370" s="1"/>
      <c r="L370" s="1"/>
      <c r="M370" s="1"/>
    </row>
    <row r="371" spans="1:13">
      <c r="A371" s="1">
        <v>1.4188679933832251</v>
      </c>
      <c r="B371" s="1">
        <v>10.888112073316234</v>
      </c>
      <c r="C371" s="1">
        <v>-4.9770810596667161</v>
      </c>
      <c r="D371" s="24">
        <f>Data__2[[#This Row],[Project_1]]/J$4</f>
        <v>9.4591199558881674E-3</v>
      </c>
      <c r="E371" s="24">
        <f>Data__2[[#This Row],[Project_2]]/K$4</f>
        <v>7.2587413822108232E-2</v>
      </c>
      <c r="F371" s="24">
        <f>Data__2[[#This Row],[Market]]/L$4</f>
        <v>-4.9770810596667164E-3</v>
      </c>
      <c r="G371" s="1">
        <f>L$24*Data__2[[#This Row],[Return Market]]*J$4</f>
        <v>-0.27650450331481791</v>
      </c>
      <c r="H371" s="1">
        <f>M$24*Data__2[[#This Row],[Return Market]]*K$4</f>
        <v>-0.29032972848055882</v>
      </c>
      <c r="I371" s="1"/>
      <c r="J371" s="1"/>
      <c r="K371" s="1"/>
      <c r="L371" s="1"/>
      <c r="M371" s="1"/>
    </row>
    <row r="372" spans="1:13">
      <c r="A372" s="1">
        <v>-24.017277598560341</v>
      </c>
      <c r="B372" s="1">
        <v>-20.072590216430861</v>
      </c>
      <c r="C372" s="1">
        <v>-133.28250813224497</v>
      </c>
      <c r="D372" s="24">
        <f>Data__2[[#This Row],[Project_1]]/J$4</f>
        <v>-0.16011518399040228</v>
      </c>
      <c r="E372" s="24">
        <f>Data__2[[#This Row],[Project_2]]/K$4</f>
        <v>-0.13381726810953906</v>
      </c>
      <c r="F372" s="24">
        <f>Data__2[[#This Row],[Market]]/L$4</f>
        <v>-0.13328250813224496</v>
      </c>
      <c r="G372" s="1">
        <f>L$24*Data__2[[#This Row],[Return Market]]*J$4</f>
        <v>-7.4045837851247285</v>
      </c>
      <c r="H372" s="1">
        <f>M$24*Data__2[[#This Row],[Return Market]]*K$4</f>
        <v>-7.774812974380966</v>
      </c>
      <c r="I372" s="1"/>
      <c r="J372" s="1"/>
      <c r="K372" s="1"/>
      <c r="L372" s="1"/>
      <c r="M372" s="1"/>
    </row>
    <row r="373" spans="1:13">
      <c r="A373" s="1">
        <v>25.157053874554304</v>
      </c>
      <c r="B373" s="1">
        <v>27.190158477906916</v>
      </c>
      <c r="C373" s="1">
        <v>90.237345562620348</v>
      </c>
      <c r="D373" s="24">
        <f>Data__2[[#This Row],[Project_1]]/J$4</f>
        <v>0.16771369249702869</v>
      </c>
      <c r="E373" s="24">
        <f>Data__2[[#This Row],[Project_2]]/K$4</f>
        <v>0.18126772318604611</v>
      </c>
      <c r="F373" s="24">
        <f>Data__2[[#This Row],[Market]]/L$4</f>
        <v>9.023734556262035E-2</v>
      </c>
      <c r="G373" s="1">
        <f>L$24*Data__2[[#This Row],[Return Market]]*J$4</f>
        <v>5.0131858645900245</v>
      </c>
      <c r="H373" s="1">
        <f>M$24*Data__2[[#This Row],[Return Market]]*K$4</f>
        <v>5.2638451578195271</v>
      </c>
      <c r="I373" s="1"/>
      <c r="J373" s="1"/>
      <c r="K373" s="1"/>
      <c r="L373" s="1"/>
      <c r="M373" s="1"/>
    </row>
    <row r="374" spans="1:13">
      <c r="A374" s="1">
        <v>11.627989262804737</v>
      </c>
      <c r="B374" s="1">
        <v>14.179659979504489</v>
      </c>
      <c r="C374" s="1">
        <v>-6.0449743998083107</v>
      </c>
      <c r="D374" s="24">
        <f>Data__2[[#This Row],[Project_1]]/J$4</f>
        <v>7.7519928418698245E-2</v>
      </c>
      <c r="E374" s="24">
        <f>Data__2[[#This Row],[Project_2]]/K$4</f>
        <v>9.4531066530029934E-2</v>
      </c>
      <c r="F374" s="24">
        <f>Data__2[[#This Row],[Market]]/L$4</f>
        <v>-6.0449743998083104E-3</v>
      </c>
      <c r="G374" s="1">
        <f>L$24*Data__2[[#This Row],[Return Market]]*J$4</f>
        <v>-0.33583191110046207</v>
      </c>
      <c r="H374" s="1">
        <f>M$24*Data__2[[#This Row],[Return Market]]*K$4</f>
        <v>-0.3526235066554852</v>
      </c>
      <c r="I374" s="1"/>
      <c r="J374" s="1"/>
      <c r="K374" s="1"/>
      <c r="L374" s="1"/>
      <c r="M374" s="1"/>
    </row>
    <row r="375" spans="1:13">
      <c r="A375" s="1">
        <v>-7.6604543618142849</v>
      </c>
      <c r="B375" s="1">
        <v>3.3594241825582118</v>
      </c>
      <c r="C375" s="1">
        <v>135.50474487437575</v>
      </c>
      <c r="D375" s="24">
        <f>Data__2[[#This Row],[Project_1]]/J$4</f>
        <v>-5.1069695745428564E-2</v>
      </c>
      <c r="E375" s="24">
        <f>Data__2[[#This Row],[Project_2]]/K$4</f>
        <v>2.2396161217054747E-2</v>
      </c>
      <c r="F375" s="24">
        <f>Data__2[[#This Row],[Market]]/L$4</f>
        <v>0.13550474487437575</v>
      </c>
      <c r="G375" s="1">
        <f>L$24*Data__2[[#This Row],[Return Market]]*J$4</f>
        <v>7.5280413819097722</v>
      </c>
      <c r="H375" s="1">
        <f>M$24*Data__2[[#This Row],[Return Market]]*K$4</f>
        <v>7.9044434510052621</v>
      </c>
      <c r="I375" s="1"/>
      <c r="J375" s="1"/>
      <c r="K375" s="1"/>
      <c r="L375" s="1"/>
      <c r="M375" s="1"/>
    </row>
    <row r="376" spans="1:13">
      <c r="A376" s="1">
        <v>17.485176746862546</v>
      </c>
      <c r="B376" s="1">
        <v>-4.1160786600129171</v>
      </c>
      <c r="C376" s="1">
        <v>10.640411382516348</v>
      </c>
      <c r="D376" s="24">
        <f>Data__2[[#This Row],[Project_1]]/J$4</f>
        <v>0.11656784497908364</v>
      </c>
      <c r="E376" s="24">
        <f>Data__2[[#This Row],[Project_2]]/K$4</f>
        <v>-2.7440524400086114E-2</v>
      </c>
      <c r="F376" s="24">
        <f>Data__2[[#This Row],[Market]]/L$4</f>
        <v>1.0640411382516347E-2</v>
      </c>
      <c r="G376" s="1">
        <f>L$24*Data__2[[#This Row],[Return Market]]*J$4</f>
        <v>0.59113396569535337</v>
      </c>
      <c r="H376" s="1">
        <f>M$24*Data__2[[#This Row],[Return Market]]*K$4</f>
        <v>0.62069066398012107</v>
      </c>
      <c r="I376" s="1"/>
      <c r="J376" s="1"/>
      <c r="K376" s="1"/>
      <c r="L376" s="1"/>
      <c r="M376" s="1"/>
    </row>
    <row r="377" spans="1:13">
      <c r="A377" s="1">
        <v>-25.587258953435324</v>
      </c>
      <c r="B377" s="1">
        <v>-16.261034539458564</v>
      </c>
      <c r="C377" s="1">
        <v>-225.38277547740142</v>
      </c>
      <c r="D377" s="24">
        <f>Data__2[[#This Row],[Project_1]]/J$4</f>
        <v>-0.1705817263562355</v>
      </c>
      <c r="E377" s="24">
        <f>Data__2[[#This Row],[Project_2]]/K$4</f>
        <v>-0.10840689692972376</v>
      </c>
      <c r="F377" s="24">
        <f>Data__2[[#This Row],[Market]]/L$4</f>
        <v>-0.22538277547740143</v>
      </c>
      <c r="G377" s="1">
        <f>L$24*Data__2[[#This Row],[Return Market]]*J$4</f>
        <v>-12.521265304300092</v>
      </c>
      <c r="H377" s="1">
        <f>M$24*Data__2[[#This Row],[Return Market]]*K$4</f>
        <v>-13.147328569515102</v>
      </c>
      <c r="I377" s="1"/>
      <c r="J377" s="1"/>
      <c r="K377" s="1"/>
      <c r="L377" s="1"/>
      <c r="M377" s="1"/>
    </row>
    <row r="378" spans="1:13">
      <c r="A378" s="1">
        <v>20.236020136932375</v>
      </c>
      <c r="B378" s="1">
        <v>19.963604041718643</v>
      </c>
      <c r="C378" s="1">
        <v>227.41196953464294</v>
      </c>
      <c r="D378" s="24">
        <f>Data__2[[#This Row],[Project_1]]/J$4</f>
        <v>0.13490680091288249</v>
      </c>
      <c r="E378" s="24">
        <f>Data__2[[#This Row],[Project_2]]/K$4</f>
        <v>0.13309069361145762</v>
      </c>
      <c r="F378" s="24">
        <f>Data__2[[#This Row],[Market]]/L$4</f>
        <v>0.22741196953464293</v>
      </c>
      <c r="G378" s="1">
        <f>L$24*Data__2[[#This Row],[Return Market]]*J$4</f>
        <v>12.633998307480176</v>
      </c>
      <c r="H378" s="1">
        <f>M$24*Data__2[[#This Row],[Return Market]]*K$4</f>
        <v>13.265698222854189</v>
      </c>
      <c r="I378" s="1"/>
      <c r="J378" s="1"/>
      <c r="K378" s="1"/>
      <c r="L378" s="1"/>
      <c r="M378" s="1"/>
    </row>
    <row r="379" spans="1:13">
      <c r="A379" s="1">
        <v>18.908425545998487</v>
      </c>
      <c r="B379" s="1">
        <v>16.824884905427531</v>
      </c>
      <c r="C379" s="1">
        <v>426.46540212723971</v>
      </c>
      <c r="D379" s="24">
        <f>Data__2[[#This Row],[Project_1]]/J$4</f>
        <v>0.12605617030665658</v>
      </c>
      <c r="E379" s="24">
        <f>Data__2[[#This Row],[Project_2]]/K$4</f>
        <v>0.11216589936951687</v>
      </c>
      <c r="F379" s="24">
        <f>Data__2[[#This Row],[Market]]/L$4</f>
        <v>0.42646540212723971</v>
      </c>
      <c r="G379" s="1">
        <f>L$24*Data__2[[#This Row],[Return Market]]*J$4</f>
        <v>23.692522340402235</v>
      </c>
      <c r="H379" s="1">
        <f>M$24*Data__2[[#This Row],[Return Market]]*K$4</f>
        <v>24.877148457422347</v>
      </c>
      <c r="I379" s="1"/>
      <c r="J379" s="1"/>
      <c r="K379" s="1"/>
      <c r="L379" s="1"/>
      <c r="M379" s="1"/>
    </row>
    <row r="380" spans="1:13">
      <c r="A380" s="1">
        <v>-15.469385622261075</v>
      </c>
      <c r="B380" s="1">
        <v>-8.9021349782368446</v>
      </c>
      <c r="C380" s="1">
        <v>61.746933967237212</v>
      </c>
      <c r="D380" s="24">
        <f>Data__2[[#This Row],[Project_1]]/J$4</f>
        <v>-0.10312923748174051</v>
      </c>
      <c r="E380" s="24">
        <f>Data__2[[#This Row],[Project_2]]/K$4</f>
        <v>-5.9347566521578965E-2</v>
      </c>
      <c r="F380" s="24">
        <f>Data__2[[#This Row],[Market]]/L$4</f>
        <v>6.1746933967237211E-2</v>
      </c>
      <c r="G380" s="1">
        <f>L$24*Data__2[[#This Row],[Return Market]]*J$4</f>
        <v>3.4303852204020715</v>
      </c>
      <c r="H380" s="1">
        <f>M$24*Data__2[[#This Row],[Return Market]]*K$4</f>
        <v>3.6019044814221752</v>
      </c>
      <c r="I380" s="1"/>
      <c r="J380" s="1"/>
      <c r="K380" s="1"/>
      <c r="L380" s="1"/>
      <c r="M380" s="1"/>
    </row>
    <row r="381" spans="1:13">
      <c r="A381" s="1">
        <v>16.563351092363806</v>
      </c>
      <c r="B381" s="1">
        <v>22.180529183532293</v>
      </c>
      <c r="C381" s="1">
        <v>250.25705583536472</v>
      </c>
      <c r="D381" s="24">
        <f>Data__2[[#This Row],[Project_1]]/J$4</f>
        <v>0.11042234061575872</v>
      </c>
      <c r="E381" s="24">
        <f>Data__2[[#This Row],[Project_2]]/K$4</f>
        <v>0.14787019455688197</v>
      </c>
      <c r="F381" s="24">
        <f>Data__2[[#This Row],[Market]]/L$4</f>
        <v>0.25025705583536473</v>
      </c>
      <c r="G381" s="1">
        <f>L$24*Data__2[[#This Row],[Return Market]]*J$4</f>
        <v>13.90316976863139</v>
      </c>
      <c r="H381" s="1">
        <f>M$24*Data__2[[#This Row],[Return Market]]*K$4</f>
        <v>14.598328257062962</v>
      </c>
      <c r="I381" s="1"/>
      <c r="J381" s="1"/>
      <c r="K381" s="1"/>
      <c r="L381" s="1"/>
      <c r="M381" s="1"/>
    </row>
    <row r="382" spans="1:13">
      <c r="A382" s="1">
        <v>4.2061460136301561</v>
      </c>
      <c r="B382" s="1">
        <v>2.7578118961958822</v>
      </c>
      <c r="C382" s="1">
        <v>-35.573658798337917</v>
      </c>
      <c r="D382" s="24">
        <f>Data__2[[#This Row],[Project_1]]/J$4</f>
        <v>2.8040973424201039E-2</v>
      </c>
      <c r="E382" s="24">
        <f>Data__2[[#This Row],[Project_2]]/K$4</f>
        <v>1.838541264130588E-2</v>
      </c>
      <c r="F382" s="24">
        <f>Data__2[[#This Row],[Market]]/L$4</f>
        <v>-3.5573658798337918E-2</v>
      </c>
      <c r="G382" s="1">
        <f>L$24*Data__2[[#This Row],[Return Market]]*J$4</f>
        <v>-1.9763143776854422</v>
      </c>
      <c r="H382" s="1">
        <f>M$24*Data__2[[#This Row],[Return Market]]*K$4</f>
        <v>-2.0751300965697146</v>
      </c>
      <c r="I382" s="1"/>
      <c r="J382" s="1"/>
      <c r="K382" s="1"/>
      <c r="L382" s="1"/>
      <c r="M382" s="1"/>
    </row>
    <row r="383" spans="1:13">
      <c r="A383" s="1">
        <v>-21.37811516583939</v>
      </c>
      <c r="B383" s="1">
        <v>3.6717132230550238</v>
      </c>
      <c r="C383" s="1">
        <v>-68.948733990232455</v>
      </c>
      <c r="D383" s="24">
        <f>Data__2[[#This Row],[Project_1]]/J$4</f>
        <v>-0.14252076777226261</v>
      </c>
      <c r="E383" s="24">
        <f>Data__2[[#This Row],[Project_2]]/K$4</f>
        <v>2.4478088153700159E-2</v>
      </c>
      <c r="F383" s="24">
        <f>Data__2[[#This Row],[Market]]/L$4</f>
        <v>-6.894873399023245E-2</v>
      </c>
      <c r="G383" s="1">
        <f>L$24*Data__2[[#This Row],[Return Market]]*J$4</f>
        <v>-3.8304852216795853</v>
      </c>
      <c r="H383" s="1">
        <f>M$24*Data__2[[#This Row],[Return Market]]*K$4</f>
        <v>-4.0220094827635648</v>
      </c>
      <c r="I383" s="1"/>
      <c r="J383" s="1"/>
      <c r="K383" s="1"/>
      <c r="L383" s="1"/>
      <c r="M383" s="1"/>
    </row>
    <row r="384" spans="1:13">
      <c r="A384" s="1">
        <v>-1.3193668229829747</v>
      </c>
      <c r="B384" s="1">
        <v>25.862004782048167</v>
      </c>
      <c r="C384" s="1">
        <v>414.0349796293338</v>
      </c>
      <c r="D384" s="24">
        <f>Data__2[[#This Row],[Project_1]]/J$4</f>
        <v>-8.7957788198864979E-3</v>
      </c>
      <c r="E384" s="24">
        <f>Data__2[[#This Row],[Project_2]]/K$4</f>
        <v>0.17241336521365444</v>
      </c>
      <c r="F384" s="24">
        <f>Data__2[[#This Row],[Market]]/L$4</f>
        <v>0.41403497962933378</v>
      </c>
      <c r="G384" s="1">
        <f>L$24*Data__2[[#This Row],[Return Market]]*J$4</f>
        <v>23.001943312740792</v>
      </c>
      <c r="H384" s="1">
        <f>M$24*Data__2[[#This Row],[Return Market]]*K$4</f>
        <v>24.152040478377835</v>
      </c>
      <c r="I384" s="1"/>
      <c r="J384" s="1"/>
      <c r="K384" s="1"/>
      <c r="L384" s="1"/>
      <c r="M384" s="1"/>
    </row>
    <row r="385" spans="1:13">
      <c r="A385" s="1">
        <v>18.658245145929172</v>
      </c>
      <c r="B385" s="1">
        <v>26.601262731172401</v>
      </c>
      <c r="C385" s="1">
        <v>240.69505473447788</v>
      </c>
      <c r="D385" s="24">
        <f>Data__2[[#This Row],[Project_1]]/J$4</f>
        <v>0.12438830097286115</v>
      </c>
      <c r="E385" s="24">
        <f>Data__2[[#This Row],[Project_2]]/K$4</f>
        <v>0.17734175154114934</v>
      </c>
      <c r="F385" s="24">
        <f>Data__2[[#This Row],[Market]]/L$4</f>
        <v>0.24069505473447789</v>
      </c>
      <c r="G385" s="1">
        <f>L$24*Data__2[[#This Row],[Return Market]]*J$4</f>
        <v>13.371947485248787</v>
      </c>
      <c r="H385" s="1">
        <f>M$24*Data__2[[#This Row],[Return Market]]*K$4</f>
        <v>14.040544859511229</v>
      </c>
      <c r="I385" s="1"/>
      <c r="J385" s="1"/>
      <c r="K385" s="1"/>
      <c r="L385" s="1"/>
      <c r="M385" s="1"/>
    </row>
    <row r="386" spans="1:13">
      <c r="A386" s="1">
        <v>11.627539285448979</v>
      </c>
      <c r="B386" s="1">
        <v>-31.006451865788264</v>
      </c>
      <c r="C386" s="1">
        <v>-167.05301242548842</v>
      </c>
      <c r="D386" s="24">
        <f>Data__2[[#This Row],[Project_1]]/J$4</f>
        <v>7.751692856965986E-2</v>
      </c>
      <c r="E386" s="24">
        <f>Data__2[[#This Row],[Project_2]]/K$4</f>
        <v>-0.20670967910525509</v>
      </c>
      <c r="F386" s="24">
        <f>Data__2[[#This Row],[Market]]/L$4</f>
        <v>-0.16705301242548842</v>
      </c>
      <c r="G386" s="1">
        <f>L$24*Data__2[[#This Row],[Return Market]]*J$4</f>
        <v>-9.2807229125271462</v>
      </c>
      <c r="H386" s="1">
        <f>M$24*Data__2[[#This Row],[Return Market]]*K$4</f>
        <v>-9.7447590581535035</v>
      </c>
      <c r="I386" s="1"/>
      <c r="J386" s="1"/>
      <c r="K386" s="1"/>
      <c r="L386" s="1"/>
      <c r="M386" s="1"/>
    </row>
    <row r="387" spans="1:13">
      <c r="A387" s="1">
        <v>-2.9560614835876144</v>
      </c>
      <c r="B387" s="1">
        <v>9.9504899935885582</v>
      </c>
      <c r="C387" s="1">
        <v>-55.165065970241642</v>
      </c>
      <c r="D387" s="24">
        <f>Data__2[[#This Row],[Project_1]]/J$4</f>
        <v>-1.9707076557250763E-2</v>
      </c>
      <c r="E387" s="24">
        <f>Data__2[[#This Row],[Project_2]]/K$4</f>
        <v>6.6336599957257061E-2</v>
      </c>
      <c r="F387" s="24">
        <f>Data__2[[#This Row],[Market]]/L$4</f>
        <v>-5.5165065970241643E-2</v>
      </c>
      <c r="G387" s="1">
        <f>L$24*Data__2[[#This Row],[Return Market]]*J$4</f>
        <v>-3.0647258872356504</v>
      </c>
      <c r="H387" s="1">
        <f>M$24*Data__2[[#This Row],[Return Market]]*K$4</f>
        <v>-3.2179621815974335</v>
      </c>
      <c r="I387" s="1"/>
      <c r="J387" s="1"/>
      <c r="K387" s="1"/>
      <c r="L387" s="1"/>
      <c r="M387" s="1"/>
    </row>
    <row r="388" spans="1:13">
      <c r="A388" s="1">
        <v>11.836674905692218</v>
      </c>
      <c r="B388" s="1">
        <v>8.825259245931921</v>
      </c>
      <c r="C388" s="1">
        <v>43.256309611969918</v>
      </c>
      <c r="D388" s="24">
        <f>Data__2[[#This Row],[Project_1]]/J$4</f>
        <v>7.8911166037948122E-2</v>
      </c>
      <c r="E388" s="24">
        <f>Data__2[[#This Row],[Project_2]]/K$4</f>
        <v>5.8835061639546139E-2</v>
      </c>
      <c r="F388" s="24">
        <f>Data__2[[#This Row],[Market]]/L$4</f>
        <v>4.3256309611969919E-2</v>
      </c>
      <c r="G388" s="1">
        <f>L$24*Data__2[[#This Row],[Return Market]]*J$4</f>
        <v>2.4031283117761095</v>
      </c>
      <c r="H388" s="1">
        <f>M$24*Data__2[[#This Row],[Return Market]]*K$4</f>
        <v>2.5232847273649153</v>
      </c>
      <c r="I388" s="1"/>
      <c r="J388" s="1"/>
      <c r="K388" s="1"/>
      <c r="L388" s="1"/>
      <c r="M388" s="1"/>
    </row>
    <row r="389" spans="1:13">
      <c r="A389" s="1">
        <v>-14.660669908629956</v>
      </c>
      <c r="B389" s="1">
        <v>-6.460794357463076</v>
      </c>
      <c r="C389" s="1">
        <v>-68.280579939793768</v>
      </c>
      <c r="D389" s="24">
        <f>Data__2[[#This Row],[Project_1]]/J$4</f>
        <v>-9.7737799390866367E-2</v>
      </c>
      <c r="E389" s="24">
        <f>Data__2[[#This Row],[Project_2]]/K$4</f>
        <v>-4.3071962383087171E-2</v>
      </c>
      <c r="F389" s="24">
        <f>Data__2[[#This Row],[Market]]/L$4</f>
        <v>-6.8280579939793765E-2</v>
      </c>
      <c r="G389" s="1">
        <f>L$24*Data__2[[#This Row],[Return Market]]*J$4</f>
        <v>-3.7933655522107692</v>
      </c>
      <c r="H389" s="1">
        <f>M$24*Data__2[[#This Row],[Return Market]]*K$4</f>
        <v>-3.9830338298213079</v>
      </c>
      <c r="I389" s="1"/>
      <c r="J389" s="1"/>
      <c r="K389" s="1"/>
      <c r="L389" s="1"/>
      <c r="M389" s="1"/>
    </row>
    <row r="390" spans="1:13">
      <c r="A390" s="1">
        <v>4.224146806303585</v>
      </c>
      <c r="B390" s="1">
        <v>7.2241221443969037</v>
      </c>
      <c r="C390" s="1">
        <v>238.3039220138734</v>
      </c>
      <c r="D390" s="24">
        <f>Data__2[[#This Row],[Project_1]]/J$4</f>
        <v>2.8160978708690568E-2</v>
      </c>
      <c r="E390" s="24">
        <f>Data__2[[#This Row],[Project_2]]/K$4</f>
        <v>4.8160814295979355E-2</v>
      </c>
      <c r="F390" s="24">
        <f>Data__2[[#This Row],[Market]]/L$4</f>
        <v>0.2383039220138734</v>
      </c>
      <c r="G390" s="1">
        <f>L$24*Data__2[[#This Row],[Return Market]]*J$4</f>
        <v>13.239106778548537</v>
      </c>
      <c r="H390" s="1">
        <f>M$24*Data__2[[#This Row],[Return Market]]*K$4</f>
        <v>13.901062117475966</v>
      </c>
      <c r="I390" s="1"/>
      <c r="J390" s="1"/>
      <c r="K390" s="1"/>
      <c r="L390" s="1"/>
      <c r="M390" s="1"/>
    </row>
    <row r="391" spans="1:13">
      <c r="A391" s="1">
        <v>-16.358114761976985</v>
      </c>
      <c r="B391" s="1">
        <v>6.3265627845544614</v>
      </c>
      <c r="C391" s="1">
        <v>-13.868614529567381</v>
      </c>
      <c r="D391" s="24">
        <f>Data__2[[#This Row],[Project_1]]/J$4</f>
        <v>-0.1090540984131799</v>
      </c>
      <c r="E391" s="24">
        <f>Data__2[[#This Row],[Project_2]]/K$4</f>
        <v>4.2177085230363079E-2</v>
      </c>
      <c r="F391" s="24">
        <f>Data__2[[#This Row],[Market]]/L$4</f>
        <v>-1.3868614529567381E-2</v>
      </c>
      <c r="G391" s="1">
        <f>L$24*Data__2[[#This Row],[Return Market]]*J$4</f>
        <v>-0.77047858497596655</v>
      </c>
      <c r="H391" s="1">
        <f>M$24*Data__2[[#This Row],[Return Market]]*K$4</f>
        <v>-0.80900251422476499</v>
      </c>
      <c r="I391" s="1"/>
      <c r="J391" s="1"/>
      <c r="K391" s="1"/>
      <c r="L391" s="1"/>
      <c r="M391" s="1"/>
    </row>
    <row r="392" spans="1:13">
      <c r="A392" s="1">
        <v>-15.828682573599977</v>
      </c>
      <c r="B392" s="1">
        <v>9.4546821584325027</v>
      </c>
      <c r="C392" s="1">
        <v>249.05435293838926</v>
      </c>
      <c r="D392" s="24">
        <f>Data__2[[#This Row],[Project_1]]/J$4</f>
        <v>-0.10552455049066652</v>
      </c>
      <c r="E392" s="24">
        <f>Data__2[[#This Row],[Project_2]]/K$4</f>
        <v>6.3031214389550019E-2</v>
      </c>
      <c r="F392" s="24">
        <f>Data__2[[#This Row],[Market]]/L$4</f>
        <v>0.24905435293838926</v>
      </c>
      <c r="G392" s="1">
        <f>L$24*Data__2[[#This Row],[Return Market]]*J$4</f>
        <v>13.836352941021643</v>
      </c>
      <c r="H392" s="1">
        <f>M$24*Data__2[[#This Row],[Return Market]]*K$4</f>
        <v>14.528170588072726</v>
      </c>
      <c r="I392" s="1"/>
      <c r="J392" s="1"/>
      <c r="K392" s="1"/>
      <c r="L392" s="1"/>
      <c r="M392" s="1"/>
    </row>
    <row r="393" spans="1:13">
      <c r="A393" s="1">
        <v>15.989956242136543</v>
      </c>
      <c r="B393" s="1">
        <v>11.919497195855456</v>
      </c>
      <c r="C393" s="1">
        <v>183.01256919873433</v>
      </c>
      <c r="D393" s="24">
        <f>Data__2[[#This Row],[Project_1]]/J$4</f>
        <v>0.10659970828091028</v>
      </c>
      <c r="E393" s="24">
        <f>Data__2[[#This Row],[Project_2]]/K$4</f>
        <v>7.9463314639036373E-2</v>
      </c>
      <c r="F393" s="24">
        <f>Data__2[[#This Row],[Market]]/L$4</f>
        <v>0.18301256919873432</v>
      </c>
      <c r="G393" s="1">
        <f>L$24*Data__2[[#This Row],[Return Market]]*J$4</f>
        <v>10.167364955485253</v>
      </c>
      <c r="H393" s="1">
        <f>M$24*Data__2[[#This Row],[Return Market]]*K$4</f>
        <v>10.675733203259515</v>
      </c>
      <c r="I393" s="1"/>
      <c r="J393" s="1"/>
      <c r="K393" s="1"/>
      <c r="L393" s="1"/>
      <c r="M393" s="1"/>
    </row>
    <row r="394" spans="1:13">
      <c r="A394" s="1">
        <v>26.863536559216588</v>
      </c>
      <c r="B394" s="1">
        <v>5.4446920944305548</v>
      </c>
      <c r="C394" s="1">
        <v>4.4416471200554781</v>
      </c>
      <c r="D394" s="24">
        <f>Data__2[[#This Row],[Project_1]]/J$4</f>
        <v>0.17909024372811058</v>
      </c>
      <c r="E394" s="24">
        <f>Data__2[[#This Row],[Project_2]]/K$4</f>
        <v>3.6297947296203698E-2</v>
      </c>
      <c r="F394" s="24">
        <f>Data__2[[#This Row],[Market]]/L$4</f>
        <v>4.4416471200554785E-3</v>
      </c>
      <c r="G394" s="1">
        <f>L$24*Data__2[[#This Row],[Return Market]]*J$4</f>
        <v>0.24675817333641575</v>
      </c>
      <c r="H394" s="1">
        <f>M$24*Data__2[[#This Row],[Return Market]]*K$4</f>
        <v>0.25909608200323658</v>
      </c>
      <c r="I394" s="1"/>
      <c r="J394" s="1"/>
      <c r="K394" s="1"/>
      <c r="L394" s="1"/>
      <c r="M394" s="1"/>
    </row>
    <row r="395" spans="1:13">
      <c r="A395" s="1">
        <v>2.7605457893212115</v>
      </c>
      <c r="B395" s="1">
        <v>5.11551419475534</v>
      </c>
      <c r="C395" s="1">
        <v>117.04397294140871</v>
      </c>
      <c r="D395" s="24">
        <f>Data__2[[#This Row],[Project_1]]/J$4</f>
        <v>1.8403638595474742E-2</v>
      </c>
      <c r="E395" s="24">
        <f>Data__2[[#This Row],[Project_2]]/K$4</f>
        <v>3.4103427965035599E-2</v>
      </c>
      <c r="F395" s="24">
        <f>Data__2[[#This Row],[Market]]/L$4</f>
        <v>0.11704397294140871</v>
      </c>
      <c r="G395" s="1">
        <f>L$24*Data__2[[#This Row],[Return Market]]*J$4</f>
        <v>6.50244294118938</v>
      </c>
      <c r="H395" s="1">
        <f>M$24*Data__2[[#This Row],[Return Market]]*K$4</f>
        <v>6.8275650882488508</v>
      </c>
      <c r="I395" s="1"/>
      <c r="J395" s="1"/>
      <c r="K395" s="1"/>
      <c r="L395" s="1"/>
      <c r="M395" s="1"/>
    </row>
    <row r="396" spans="1:13">
      <c r="A396" s="1">
        <v>20.818521961996222</v>
      </c>
      <c r="B396" s="1">
        <v>-11.497231405918988</v>
      </c>
      <c r="C396" s="1">
        <v>-39.221901579672505</v>
      </c>
      <c r="D396" s="24">
        <f>Data__2[[#This Row],[Project_1]]/J$4</f>
        <v>0.13879014641330814</v>
      </c>
      <c r="E396" s="24">
        <f>Data__2[[#This Row],[Project_2]]/K$4</f>
        <v>-7.664820937279325E-2</v>
      </c>
      <c r="F396" s="24">
        <f>Data__2[[#This Row],[Market]]/L$4</f>
        <v>-3.9221901579672508E-2</v>
      </c>
      <c r="G396" s="1">
        <f>L$24*Data__2[[#This Row],[Return Market]]*J$4</f>
        <v>-2.1789945322040305</v>
      </c>
      <c r="H396" s="1">
        <f>M$24*Data__2[[#This Row],[Return Market]]*K$4</f>
        <v>-2.2879442588142327</v>
      </c>
      <c r="I396" s="1"/>
      <c r="J396" s="1"/>
      <c r="K396" s="1"/>
      <c r="L396" s="1"/>
      <c r="M396" s="1"/>
    </row>
    <row r="397" spans="1:13">
      <c r="A397" s="1">
        <v>47.67242637132609</v>
      </c>
      <c r="B397" s="1">
        <v>26.846232202743309</v>
      </c>
      <c r="C397" s="1">
        <v>257.63400509227392</v>
      </c>
      <c r="D397" s="24">
        <f>Data__2[[#This Row],[Project_1]]/J$4</f>
        <v>0.31781617580884058</v>
      </c>
      <c r="E397" s="24">
        <f>Data__2[[#This Row],[Project_2]]/K$4</f>
        <v>0.17897488135162207</v>
      </c>
      <c r="F397" s="24">
        <f>Data__2[[#This Row],[Market]]/L$4</f>
        <v>0.25763400509227391</v>
      </c>
      <c r="G397" s="1">
        <f>L$24*Data__2[[#This Row],[Return Market]]*J$4</f>
        <v>14.313000282904122</v>
      </c>
      <c r="H397" s="1">
        <f>M$24*Data__2[[#This Row],[Return Market]]*K$4</f>
        <v>15.028650297049332</v>
      </c>
      <c r="I397" s="1"/>
      <c r="J397" s="1"/>
      <c r="K397" s="1"/>
      <c r="L397" s="1"/>
      <c r="M397" s="1"/>
    </row>
    <row r="398" spans="1:13">
      <c r="A398" s="1">
        <v>10.03965290310952</v>
      </c>
      <c r="B398" s="1">
        <v>4.9798898707897354</v>
      </c>
      <c r="C398" s="1">
        <v>54.322003789974183</v>
      </c>
      <c r="D398" s="24">
        <f>Data__2[[#This Row],[Project_1]]/J$4</f>
        <v>6.6931019354063467E-2</v>
      </c>
      <c r="E398" s="24">
        <f>Data__2[[#This Row],[Project_2]]/K$4</f>
        <v>3.3199265805264902E-2</v>
      </c>
      <c r="F398" s="24">
        <f>Data__2[[#This Row],[Market]]/L$4</f>
        <v>5.4322003789974184E-2</v>
      </c>
      <c r="G398" s="1">
        <f>L$24*Data__2[[#This Row],[Return Market]]*J$4</f>
        <v>3.0178890994430136</v>
      </c>
      <c r="H398" s="1">
        <f>M$24*Data__2[[#This Row],[Return Market]]*K$4</f>
        <v>3.1687835544151648</v>
      </c>
      <c r="I398" s="1"/>
      <c r="J398" s="1"/>
      <c r="K398" s="1"/>
      <c r="L398" s="1"/>
      <c r="M398" s="1"/>
    </row>
    <row r="399" spans="1:13">
      <c r="A399" s="1">
        <v>17.464696993073424</v>
      </c>
      <c r="B399" s="1">
        <v>-5.9360611935875216</v>
      </c>
      <c r="C399" s="1">
        <v>-30.283551364062205</v>
      </c>
      <c r="D399" s="24">
        <f>Data__2[[#This Row],[Project_1]]/J$4</f>
        <v>0.11643131328715617</v>
      </c>
      <c r="E399" s="24">
        <f>Data__2[[#This Row],[Project_2]]/K$4</f>
        <v>-3.9573741290583477E-2</v>
      </c>
      <c r="F399" s="24">
        <f>Data__2[[#This Row],[Market]]/L$4</f>
        <v>-3.0283551364062206E-2</v>
      </c>
      <c r="G399" s="1">
        <f>L$24*Data__2[[#This Row],[Return Market]]*J$4</f>
        <v>-1.6824195202256802</v>
      </c>
      <c r="H399" s="1">
        <f>M$24*Data__2[[#This Row],[Return Market]]*K$4</f>
        <v>-1.7665404962369642</v>
      </c>
      <c r="I399" s="1"/>
      <c r="J399" s="1"/>
      <c r="K399" s="1"/>
      <c r="L399" s="1"/>
      <c r="M399" s="1"/>
    </row>
    <row r="400" spans="1:13">
      <c r="A400" s="1">
        <v>18.748295692896029</v>
      </c>
      <c r="B400" s="1">
        <v>18.225020134753123</v>
      </c>
      <c r="C400" s="1">
        <v>93.028100959040799</v>
      </c>
      <c r="D400" s="24">
        <f>Data__2[[#This Row],[Project_1]]/J$4</f>
        <v>0.12498863795264019</v>
      </c>
      <c r="E400" s="24">
        <f>Data__2[[#This Row],[Project_2]]/K$4</f>
        <v>0.12150013423168748</v>
      </c>
      <c r="F400" s="24">
        <f>Data__2[[#This Row],[Market]]/L$4</f>
        <v>9.3028100959040794E-2</v>
      </c>
      <c r="G400" s="1">
        <f>L$24*Data__2[[#This Row],[Return Market]]*J$4</f>
        <v>5.1682278310578269</v>
      </c>
      <c r="H400" s="1">
        <f>M$24*Data__2[[#This Row],[Return Market]]*K$4</f>
        <v>5.4266392226107198</v>
      </c>
      <c r="I400" s="1"/>
      <c r="J400" s="1"/>
      <c r="K400" s="1"/>
      <c r="L400" s="1"/>
      <c r="M400" s="1"/>
    </row>
    <row r="401" spans="1:13">
      <c r="A401" s="1">
        <v>-6.7025400169082836</v>
      </c>
      <c r="B401" s="1">
        <v>16.427022274476577</v>
      </c>
      <c r="C401" s="1">
        <v>274.76838706103428</v>
      </c>
      <c r="D401" s="24">
        <f>Data__2[[#This Row],[Project_1]]/J$4</f>
        <v>-4.4683600112721891E-2</v>
      </c>
      <c r="E401" s="24">
        <f>Data__2[[#This Row],[Project_2]]/K$4</f>
        <v>0.10951348182984386</v>
      </c>
      <c r="F401" s="24">
        <f>Data__2[[#This Row],[Market]]/L$4</f>
        <v>0.27476838706103429</v>
      </c>
      <c r="G401" s="1">
        <f>L$24*Data__2[[#This Row],[Return Market]]*J$4</f>
        <v>15.264910392279701</v>
      </c>
      <c r="H401" s="1">
        <f>M$24*Data__2[[#This Row],[Return Market]]*K$4</f>
        <v>16.028155911893688</v>
      </c>
      <c r="I401" s="1"/>
      <c r="J401" s="1"/>
      <c r="K401" s="1"/>
      <c r="L401" s="1"/>
      <c r="M401" s="1"/>
    </row>
    <row r="402" spans="1:13">
      <c r="A402" s="1">
        <v>5.0551491257412762</v>
      </c>
      <c r="B402" s="1">
        <v>11.228369255618</v>
      </c>
      <c r="C402" s="1">
        <v>176.12388440072579</v>
      </c>
      <c r="D402" s="24">
        <f>Data__2[[#This Row],[Project_1]]/J$4</f>
        <v>3.370099417160851E-2</v>
      </c>
      <c r="E402" s="24">
        <f>Data__2[[#This Row],[Project_2]]/K$4</f>
        <v>7.4855795037453335E-2</v>
      </c>
      <c r="F402" s="24">
        <f>Data__2[[#This Row],[Market]]/L$4</f>
        <v>0.17612388440072579</v>
      </c>
      <c r="G402" s="1">
        <f>L$24*Data__2[[#This Row],[Return Market]]*J$4</f>
        <v>9.7846602444847761</v>
      </c>
      <c r="H402" s="1">
        <f>M$24*Data__2[[#This Row],[Return Market]]*K$4</f>
        <v>10.273893256709018</v>
      </c>
      <c r="I402" s="1"/>
      <c r="J402" s="1"/>
      <c r="K402" s="1"/>
      <c r="L402" s="1"/>
      <c r="M402" s="1"/>
    </row>
    <row r="403" spans="1:13">
      <c r="A403" s="1">
        <v>11.692413783218397</v>
      </c>
      <c r="B403" s="1">
        <v>6.0807471506284756</v>
      </c>
      <c r="C403" s="1">
        <v>123.48496273949041</v>
      </c>
      <c r="D403" s="24">
        <f>Data__2[[#This Row],[Project_1]]/J$4</f>
        <v>7.7949425221455981E-2</v>
      </c>
      <c r="E403" s="24">
        <f>Data__2[[#This Row],[Project_2]]/K$4</f>
        <v>4.0538314337523168E-2</v>
      </c>
      <c r="F403" s="24">
        <f>Data__2[[#This Row],[Market]]/L$4</f>
        <v>0.12348496273949042</v>
      </c>
      <c r="G403" s="1">
        <f>L$24*Data__2[[#This Row],[Return Market]]*J$4</f>
        <v>6.8602757077494756</v>
      </c>
      <c r="H403" s="1">
        <f>M$24*Data__2[[#This Row],[Return Market]]*K$4</f>
        <v>7.2032894931369498</v>
      </c>
      <c r="I403" s="1"/>
      <c r="J403" s="1"/>
      <c r="K403" s="1"/>
      <c r="L403" s="1"/>
      <c r="M403" s="1"/>
    </row>
    <row r="404" spans="1:13">
      <c r="A404" s="1">
        <v>34.655634141126143</v>
      </c>
      <c r="B404" s="1">
        <v>46.861132280130846</v>
      </c>
      <c r="C404" s="1">
        <v>175.58068865178143</v>
      </c>
      <c r="D404" s="24">
        <f>Data__2[[#This Row],[Project_1]]/J$4</f>
        <v>0.23103756094084096</v>
      </c>
      <c r="E404" s="24">
        <f>Data__2[[#This Row],[Project_2]]/K$4</f>
        <v>0.31240754853420566</v>
      </c>
      <c r="F404" s="24">
        <f>Data__2[[#This Row],[Market]]/L$4</f>
        <v>0.17558068865178142</v>
      </c>
      <c r="G404" s="1">
        <f>L$24*Data__2[[#This Row],[Return Market]]*J$4</f>
        <v>9.7544827028767571</v>
      </c>
      <c r="H404" s="1">
        <f>M$24*Data__2[[#This Row],[Return Market]]*K$4</f>
        <v>10.242206838020596</v>
      </c>
      <c r="I404" s="1"/>
      <c r="J404" s="1"/>
      <c r="K404" s="1"/>
      <c r="L404" s="1"/>
      <c r="M404" s="1"/>
    </row>
    <row r="405" spans="1:13">
      <c r="A405" s="1">
        <v>38.459303974588771</v>
      </c>
      <c r="B405" s="1">
        <v>12.303176680610864</v>
      </c>
      <c r="C405" s="1">
        <v>301.69837622179989</v>
      </c>
      <c r="D405" s="24">
        <f>Data__2[[#This Row],[Project_1]]/J$4</f>
        <v>0.25639535983059181</v>
      </c>
      <c r="E405" s="24">
        <f>Data__2[[#This Row],[Project_2]]/K$4</f>
        <v>8.2021177870739093E-2</v>
      </c>
      <c r="F405" s="24">
        <f>Data__2[[#This Row],[Market]]/L$4</f>
        <v>0.3016983762217999</v>
      </c>
      <c r="G405" s="1">
        <f>L$24*Data__2[[#This Row],[Return Market]]*J$4</f>
        <v>16.761020901211126</v>
      </c>
      <c r="H405" s="1">
        <f>M$24*Data__2[[#This Row],[Return Market]]*K$4</f>
        <v>17.599071946271682</v>
      </c>
      <c r="I405" s="1"/>
      <c r="J405" s="1"/>
      <c r="K405" s="1"/>
      <c r="L405" s="1"/>
      <c r="M405" s="1"/>
    </row>
    <row r="406" spans="1:13">
      <c r="A406" s="1">
        <v>-2.7984027970922014</v>
      </c>
      <c r="B406" s="1">
        <v>-10.395553183554515</v>
      </c>
      <c r="C406" s="1">
        <v>-30.50992253640139</v>
      </c>
      <c r="D406" s="24">
        <f>Data__2[[#This Row],[Project_1]]/J$4</f>
        <v>-1.8656018647281343E-2</v>
      </c>
      <c r="E406" s="24">
        <f>Data__2[[#This Row],[Project_2]]/K$4</f>
        <v>-6.9303687890363438E-2</v>
      </c>
      <c r="F406" s="24">
        <f>Data__2[[#This Row],[Market]]/L$4</f>
        <v>-3.050992253640139E-2</v>
      </c>
      <c r="G406" s="1">
        <f>L$24*Data__2[[#This Row],[Return Market]]*J$4</f>
        <v>-1.6949956964667459</v>
      </c>
      <c r="H406" s="1">
        <f>M$24*Data__2[[#This Row],[Return Market]]*K$4</f>
        <v>-1.7797454812900835</v>
      </c>
      <c r="I406" s="1"/>
      <c r="J406" s="1"/>
      <c r="K406" s="1"/>
      <c r="L406" s="1"/>
      <c r="M406" s="1"/>
    </row>
    <row r="407" spans="1:13">
      <c r="A407" s="1">
        <v>24.430353213283322</v>
      </c>
      <c r="B407" s="1">
        <v>21.387247652322198</v>
      </c>
      <c r="C407" s="1">
        <v>286.726724650037</v>
      </c>
      <c r="D407" s="24">
        <f>Data__2[[#This Row],[Project_1]]/J$4</f>
        <v>0.1628690214218888</v>
      </c>
      <c r="E407" s="24">
        <f>Data__2[[#This Row],[Project_2]]/K$4</f>
        <v>0.14258165101548131</v>
      </c>
      <c r="F407" s="24">
        <f>Data__2[[#This Row],[Market]]/L$4</f>
        <v>0.28672672465003701</v>
      </c>
      <c r="G407" s="1">
        <f>L$24*Data__2[[#This Row],[Return Market]]*J$4</f>
        <v>15.929262480557631</v>
      </c>
      <c r="H407" s="1">
        <f>M$24*Data__2[[#This Row],[Return Market]]*K$4</f>
        <v>16.725725604585513</v>
      </c>
      <c r="I407" s="1"/>
      <c r="J407" s="1"/>
      <c r="K407" s="1"/>
      <c r="L407" s="1"/>
      <c r="M407" s="1"/>
    </row>
    <row r="408" spans="1:13">
      <c r="A408" s="1">
        <v>27.528909113191443</v>
      </c>
      <c r="B408" s="1">
        <v>17.187759283782363</v>
      </c>
      <c r="C408" s="1">
        <v>187.11931136633191</v>
      </c>
      <c r="D408" s="24">
        <f>Data__2[[#This Row],[Project_1]]/J$4</f>
        <v>0.18352606075460962</v>
      </c>
      <c r="E408" s="24">
        <f>Data__2[[#This Row],[Project_2]]/K$4</f>
        <v>0.11458506189188242</v>
      </c>
      <c r="F408" s="24">
        <f>Data__2[[#This Row],[Market]]/L$4</f>
        <v>0.18711931136633192</v>
      </c>
      <c r="G408" s="1">
        <f>L$24*Data__2[[#This Row],[Return Market]]*J$4</f>
        <v>10.395517298129564</v>
      </c>
      <c r="H408" s="1">
        <f>M$24*Data__2[[#This Row],[Return Market]]*K$4</f>
        <v>10.915293163036042</v>
      </c>
      <c r="I408" s="1"/>
      <c r="J408" s="1"/>
      <c r="K408" s="1"/>
      <c r="L408" s="1"/>
      <c r="M408" s="1"/>
    </row>
    <row r="409" spans="1:13">
      <c r="A409" s="1">
        <v>-22.356857583674937</v>
      </c>
      <c r="B409" s="1">
        <v>-8.7444925303436278</v>
      </c>
      <c r="C409" s="1">
        <v>-158.79297277312341</v>
      </c>
      <c r="D409" s="24">
        <f>Data__2[[#This Row],[Project_1]]/J$4</f>
        <v>-0.14904571722449958</v>
      </c>
      <c r="E409" s="24">
        <f>Data__2[[#This Row],[Project_2]]/K$4</f>
        <v>-5.829661686895752E-2</v>
      </c>
      <c r="F409" s="24">
        <f>Data__2[[#This Row],[Market]]/L$4</f>
        <v>-0.1587929727731234</v>
      </c>
      <c r="G409" s="1">
        <f>L$24*Data__2[[#This Row],[Return Market]]*J$4</f>
        <v>-8.8218318207290878</v>
      </c>
      <c r="H409" s="1">
        <f>M$24*Data__2[[#This Row],[Return Market]]*K$4</f>
        <v>-9.2629234117655432</v>
      </c>
      <c r="I409" s="1"/>
      <c r="J409" s="1"/>
      <c r="K409" s="1"/>
      <c r="L409" s="1"/>
      <c r="M409" s="1"/>
    </row>
    <row r="410" spans="1:13">
      <c r="A410" s="1">
        <v>27.207216308159722</v>
      </c>
      <c r="B410" s="1">
        <v>11.317295106263764</v>
      </c>
      <c r="C410" s="1">
        <v>71.251610525122956</v>
      </c>
      <c r="D410" s="24">
        <f>Data__2[[#This Row],[Project_1]]/J$4</f>
        <v>0.18138144205439816</v>
      </c>
      <c r="E410" s="24">
        <f>Data__2[[#This Row],[Project_2]]/K$4</f>
        <v>7.5448634041758431E-2</v>
      </c>
      <c r="F410" s="24">
        <f>Data__2[[#This Row],[Market]]/L$4</f>
        <v>7.1251610525122952E-2</v>
      </c>
      <c r="G410" s="1">
        <f>L$24*Data__2[[#This Row],[Return Market]]*J$4</f>
        <v>3.9584228069512797</v>
      </c>
      <c r="H410" s="1">
        <f>M$24*Data__2[[#This Row],[Return Market]]*K$4</f>
        <v>4.1563439472988444</v>
      </c>
      <c r="I410" s="1"/>
      <c r="J410" s="1"/>
      <c r="K410" s="1"/>
      <c r="L410" s="1"/>
      <c r="M410" s="1"/>
    </row>
    <row r="411" spans="1:13">
      <c r="A411" s="1">
        <v>15.183542150330915</v>
      </c>
      <c r="B411" s="1">
        <v>9.3428244367479518</v>
      </c>
      <c r="C411" s="1">
        <v>15.050342353525664</v>
      </c>
      <c r="D411" s="24">
        <f>Data__2[[#This Row],[Project_1]]/J$4</f>
        <v>0.10122361433553943</v>
      </c>
      <c r="E411" s="24">
        <f>Data__2[[#This Row],[Project_2]]/K$4</f>
        <v>6.2285496244986346E-2</v>
      </c>
      <c r="F411" s="24">
        <f>Data__2[[#This Row],[Market]]/L$4</f>
        <v>1.5050342353525665E-2</v>
      </c>
      <c r="G411" s="1">
        <f>L$24*Data__2[[#This Row],[Return Market]]*J$4</f>
        <v>0.83613013075142684</v>
      </c>
      <c r="H411" s="1">
        <f>M$24*Data__2[[#This Row],[Return Market]]*K$4</f>
        <v>0.87793663728899829</v>
      </c>
      <c r="I411" s="1"/>
      <c r="J411" s="1"/>
      <c r="K411" s="1"/>
      <c r="L411" s="1"/>
      <c r="M411" s="1"/>
    </row>
    <row r="412" spans="1:13">
      <c r="A412" s="1">
        <v>-4.2466264905408657</v>
      </c>
      <c r="B412" s="1">
        <v>14.755624136194754</v>
      </c>
      <c r="C412" s="1">
        <v>66.274159236146673</v>
      </c>
      <c r="D412" s="24">
        <f>Data__2[[#This Row],[Project_1]]/J$4</f>
        <v>-2.8310843270272439E-2</v>
      </c>
      <c r="E412" s="24">
        <f>Data__2[[#This Row],[Project_2]]/K$4</f>
        <v>9.8370827574631697E-2</v>
      </c>
      <c r="F412" s="24">
        <f>Data__2[[#This Row],[Market]]/L$4</f>
        <v>6.6274159236146671E-2</v>
      </c>
      <c r="G412" s="1">
        <f>L$24*Data__2[[#This Row],[Return Market]]*J$4</f>
        <v>3.6818977353414861</v>
      </c>
      <c r="H412" s="1">
        <f>M$24*Data__2[[#This Row],[Return Market]]*K$4</f>
        <v>3.865992622108561</v>
      </c>
      <c r="I412" s="1"/>
      <c r="J412" s="1"/>
      <c r="K412" s="1"/>
      <c r="L412" s="1"/>
      <c r="M412" s="1"/>
    </row>
    <row r="413" spans="1:13">
      <c r="A413" s="1">
        <v>16.160237682658675</v>
      </c>
      <c r="B413" s="1">
        <v>9.3761372067719346</v>
      </c>
      <c r="C413" s="1">
        <v>43.905268365297651</v>
      </c>
      <c r="D413" s="24">
        <f>Data__2[[#This Row],[Project_1]]/J$4</f>
        <v>0.10773491788439117</v>
      </c>
      <c r="E413" s="24">
        <f>Data__2[[#This Row],[Project_2]]/K$4</f>
        <v>6.250758137847956E-2</v>
      </c>
      <c r="F413" s="24">
        <f>Data__2[[#This Row],[Market]]/L$4</f>
        <v>4.3905268365297651E-2</v>
      </c>
      <c r="G413" s="1">
        <f>L$24*Data__2[[#This Row],[Return Market]]*J$4</f>
        <v>2.4391815758498723</v>
      </c>
      <c r="H413" s="1">
        <f>M$24*Data__2[[#This Row],[Return Market]]*K$4</f>
        <v>2.5611406546423665</v>
      </c>
      <c r="I413" s="1"/>
      <c r="J413" s="1"/>
      <c r="K413" s="1"/>
      <c r="L413" s="1"/>
      <c r="M413" s="1"/>
    </row>
    <row r="414" spans="1:13">
      <c r="A414" s="1">
        <v>-25.064570579531583</v>
      </c>
      <c r="B414" s="1">
        <v>-17.169291100665607</v>
      </c>
      <c r="C414" s="1">
        <v>-329.85826644429642</v>
      </c>
      <c r="D414" s="24">
        <f>Data__2[[#This Row],[Project_1]]/J$4</f>
        <v>-0.16709713719687722</v>
      </c>
      <c r="E414" s="24">
        <f>Data__2[[#This Row],[Project_2]]/K$4</f>
        <v>-0.11446194067110405</v>
      </c>
      <c r="F414" s="24">
        <f>Data__2[[#This Row],[Market]]/L$4</f>
        <v>-0.32985826644429644</v>
      </c>
      <c r="G414" s="1">
        <f>L$24*Data__2[[#This Row],[Return Market]]*J$4</f>
        <v>-18.325459246905378</v>
      </c>
      <c r="H414" s="1">
        <f>M$24*Data__2[[#This Row],[Return Market]]*K$4</f>
        <v>-19.24173220925065</v>
      </c>
      <c r="I414" s="1"/>
      <c r="J414" s="1"/>
      <c r="K414" s="1"/>
      <c r="L414" s="1"/>
      <c r="M414" s="1"/>
    </row>
    <row r="415" spans="1:13">
      <c r="A415" s="1">
        <v>21.416449949997677</v>
      </c>
      <c r="B415" s="1">
        <v>4.0518323981649313</v>
      </c>
      <c r="C415" s="1">
        <v>-19.713070048296132</v>
      </c>
      <c r="D415" s="24">
        <f>Data__2[[#This Row],[Project_1]]/J$4</f>
        <v>0.14277633299998452</v>
      </c>
      <c r="E415" s="24">
        <f>Data__2[[#This Row],[Project_2]]/K$4</f>
        <v>2.7012215987766208E-2</v>
      </c>
      <c r="F415" s="24">
        <f>Data__2[[#This Row],[Market]]/L$4</f>
        <v>-1.971307004829613E-2</v>
      </c>
      <c r="G415" s="1">
        <f>L$24*Data__2[[#This Row],[Return Market]]*J$4</f>
        <v>-1.095170558238675</v>
      </c>
      <c r="H415" s="1">
        <f>M$24*Data__2[[#This Row],[Return Market]]*K$4</f>
        <v>-1.1499290861506091</v>
      </c>
      <c r="I415" s="1"/>
      <c r="J415" s="1"/>
      <c r="K415" s="1"/>
      <c r="L415" s="1"/>
      <c r="M415" s="1"/>
    </row>
    <row r="416" spans="1:13">
      <c r="A416" s="1">
        <v>-4.8254916640641827</v>
      </c>
      <c r="B416" s="1">
        <v>2.2197062937232772</v>
      </c>
      <c r="C416" s="1">
        <v>25.689297685503064</v>
      </c>
      <c r="D416" s="24">
        <f>Data__2[[#This Row],[Project_1]]/J$4</f>
        <v>-3.2169944427094553E-2</v>
      </c>
      <c r="E416" s="24">
        <f>Data__2[[#This Row],[Project_2]]/K$4</f>
        <v>1.4798041958155182E-2</v>
      </c>
      <c r="F416" s="24">
        <f>Data__2[[#This Row],[Market]]/L$4</f>
        <v>2.5689297685503064E-2</v>
      </c>
      <c r="G416" s="1">
        <f>L$24*Data__2[[#This Row],[Return Market]]*J$4</f>
        <v>1.4271832047501718</v>
      </c>
      <c r="H416" s="1">
        <f>M$24*Data__2[[#This Row],[Return Market]]*K$4</f>
        <v>1.4985423649876806</v>
      </c>
      <c r="I416" s="1"/>
      <c r="J416" s="1"/>
      <c r="K416" s="1"/>
      <c r="L416" s="1"/>
      <c r="M416" s="1"/>
    </row>
    <row r="417" spans="1:13">
      <c r="A417" s="1">
        <v>-18.427344784620118</v>
      </c>
      <c r="B417" s="1">
        <v>-16.177079085146175</v>
      </c>
      <c r="C417" s="1">
        <v>-23.615414700814085</v>
      </c>
      <c r="D417" s="24">
        <f>Data__2[[#This Row],[Project_1]]/J$4</f>
        <v>-0.12284896523080079</v>
      </c>
      <c r="E417" s="24">
        <f>Data__2[[#This Row],[Project_2]]/K$4</f>
        <v>-0.1078471939009745</v>
      </c>
      <c r="F417" s="24">
        <f>Data__2[[#This Row],[Market]]/L$4</f>
        <v>-2.3615414700814085E-2</v>
      </c>
      <c r="G417" s="1">
        <f>L$24*Data__2[[#This Row],[Return Market]]*J$4</f>
        <v>-1.3119674833785617</v>
      </c>
      <c r="H417" s="1">
        <f>M$24*Data__2[[#This Row],[Return Market]]*K$4</f>
        <v>-1.3775658575474903</v>
      </c>
      <c r="I417" s="1"/>
      <c r="J417" s="1"/>
      <c r="K417" s="1"/>
      <c r="L417" s="1"/>
      <c r="M417" s="1"/>
    </row>
    <row r="418" spans="1:13">
      <c r="A418" s="1">
        <v>40.82639699646829</v>
      </c>
      <c r="B418" s="1">
        <v>32.210930076745328</v>
      </c>
      <c r="C418" s="1">
        <v>266.02561597476102</v>
      </c>
      <c r="D418" s="24">
        <f>Data__2[[#This Row],[Project_1]]/J$4</f>
        <v>0.27217597997645526</v>
      </c>
      <c r="E418" s="24">
        <f>Data__2[[#This Row],[Project_2]]/K$4</f>
        <v>0.21473953384496886</v>
      </c>
      <c r="F418" s="24">
        <f>Data__2[[#This Row],[Market]]/L$4</f>
        <v>0.26602561597476104</v>
      </c>
      <c r="G418" s="1">
        <f>L$24*Data__2[[#This Row],[Return Market]]*J$4</f>
        <v>14.779200887486741</v>
      </c>
      <c r="H418" s="1">
        <f>M$24*Data__2[[#This Row],[Return Market]]*K$4</f>
        <v>15.518160931861081</v>
      </c>
      <c r="I418" s="1"/>
      <c r="J418" s="1"/>
      <c r="K418" s="1"/>
      <c r="L418" s="1"/>
      <c r="M418" s="1"/>
    </row>
    <row r="419" spans="1:13">
      <c r="A419" s="1">
        <v>11.544068878014322</v>
      </c>
      <c r="B419" s="1">
        <v>1.7501398939895392</v>
      </c>
      <c r="C419" s="1">
        <v>-123.43401611896456</v>
      </c>
      <c r="D419" s="24">
        <f>Data__2[[#This Row],[Project_1]]/J$4</f>
        <v>7.6960459186762142E-2</v>
      </c>
      <c r="E419" s="24">
        <f>Data__2[[#This Row],[Project_2]]/K$4</f>
        <v>1.1667599293263595E-2</v>
      </c>
      <c r="F419" s="24">
        <f>Data__2[[#This Row],[Market]]/L$4</f>
        <v>-0.12343401611896457</v>
      </c>
      <c r="G419" s="1">
        <f>L$24*Data__2[[#This Row],[Return Market]]*J$4</f>
        <v>-6.8574453399424842</v>
      </c>
      <c r="H419" s="1">
        <f>M$24*Data__2[[#This Row],[Return Market]]*K$4</f>
        <v>-7.2003176069396089</v>
      </c>
      <c r="I419" s="1"/>
      <c r="J419" s="1"/>
      <c r="K419" s="1"/>
      <c r="L419" s="1"/>
      <c r="M419" s="1"/>
    </row>
    <row r="420" spans="1:13">
      <c r="A420" s="1">
        <v>24.180768031085194</v>
      </c>
      <c r="B420" s="1">
        <v>10.15471560807255</v>
      </c>
      <c r="C420" s="1">
        <v>73.877612531393439</v>
      </c>
      <c r="D420" s="24">
        <f>Data__2[[#This Row],[Project_1]]/J$4</f>
        <v>0.16120512020723463</v>
      </c>
      <c r="E420" s="24">
        <f>Data__2[[#This Row],[Project_2]]/K$4</f>
        <v>6.7698104053817001E-2</v>
      </c>
      <c r="F420" s="24">
        <f>Data__2[[#This Row],[Market]]/L$4</f>
        <v>7.3877612531393438E-2</v>
      </c>
      <c r="G420" s="1">
        <f>L$24*Data__2[[#This Row],[Return Market]]*J$4</f>
        <v>4.1043118072996405</v>
      </c>
      <c r="H420" s="1">
        <f>M$24*Data__2[[#This Row],[Return Market]]*K$4</f>
        <v>4.3095273976646231</v>
      </c>
      <c r="I420" s="1"/>
      <c r="J420" s="1"/>
      <c r="K420" s="1"/>
      <c r="L420" s="1"/>
      <c r="M420" s="1"/>
    </row>
    <row r="421" spans="1:13">
      <c r="A421" s="1">
        <v>31.999062472863127</v>
      </c>
      <c r="B421" s="1">
        <v>20.850669277370663</v>
      </c>
      <c r="C421" s="1">
        <v>94.957059420622357</v>
      </c>
      <c r="D421" s="24">
        <f>Data__2[[#This Row],[Project_1]]/J$4</f>
        <v>0.21332708315242085</v>
      </c>
      <c r="E421" s="24">
        <f>Data__2[[#This Row],[Project_2]]/K$4</f>
        <v>0.13900446184913776</v>
      </c>
      <c r="F421" s="24">
        <f>Data__2[[#This Row],[Market]]/L$4</f>
        <v>9.4957059420622353E-2</v>
      </c>
      <c r="G421" s="1">
        <f>L$24*Data__2[[#This Row],[Return Market]]*J$4</f>
        <v>5.275392190034581</v>
      </c>
      <c r="H421" s="1">
        <f>M$24*Data__2[[#This Row],[Return Market]]*K$4</f>
        <v>5.5391617995363109</v>
      </c>
      <c r="I421" s="1"/>
      <c r="J421" s="1"/>
      <c r="K421" s="1"/>
      <c r="L421" s="1"/>
      <c r="M421" s="1"/>
    </row>
    <row r="422" spans="1:13">
      <c r="A422" s="1">
        <v>-28.905963650381011</v>
      </c>
      <c r="B422" s="1">
        <v>7.9436505177365699</v>
      </c>
      <c r="C422" s="1">
        <v>79.698264175809783</v>
      </c>
      <c r="D422" s="24">
        <f>Data__2[[#This Row],[Project_1]]/J$4</f>
        <v>-0.1927064243358734</v>
      </c>
      <c r="E422" s="24">
        <f>Data__2[[#This Row],[Project_2]]/K$4</f>
        <v>5.2957670118243802E-2</v>
      </c>
      <c r="F422" s="24">
        <f>Data__2[[#This Row],[Market]]/L$4</f>
        <v>7.9698264175809788E-2</v>
      </c>
      <c r="G422" s="1">
        <f>L$24*Data__2[[#This Row],[Return Market]]*J$4</f>
        <v>4.4276813431005486</v>
      </c>
      <c r="H422" s="1">
        <f>M$24*Data__2[[#This Row],[Return Market]]*K$4</f>
        <v>4.6490654102555773</v>
      </c>
      <c r="I422" s="1"/>
      <c r="J422" s="1"/>
      <c r="K422" s="1"/>
      <c r="L422" s="1"/>
      <c r="M422" s="1"/>
    </row>
    <row r="423" spans="1:13">
      <c r="A423" s="1">
        <v>16.855170787550524</v>
      </c>
      <c r="B423" s="1">
        <v>20.931110350180717</v>
      </c>
      <c r="C423" s="1">
        <v>228.4482987718734</v>
      </c>
      <c r="D423" s="24">
        <f>Data__2[[#This Row],[Project_1]]/J$4</f>
        <v>0.11236780525033682</v>
      </c>
      <c r="E423" s="24">
        <f>Data__2[[#This Row],[Project_2]]/K$4</f>
        <v>0.13954073566787145</v>
      </c>
      <c r="F423" s="24">
        <f>Data__2[[#This Row],[Market]]/L$4</f>
        <v>0.22844829877187339</v>
      </c>
      <c r="G423" s="1">
        <f>L$24*Data__2[[#This Row],[Return Market]]*J$4</f>
        <v>12.691572153992981</v>
      </c>
      <c r="H423" s="1">
        <f>M$24*Data__2[[#This Row],[Return Market]]*K$4</f>
        <v>13.326150761692633</v>
      </c>
      <c r="I423" s="1"/>
      <c r="J423" s="1"/>
      <c r="K423" s="1"/>
      <c r="L423" s="1"/>
      <c r="M423" s="1"/>
    </row>
    <row r="424" spans="1:13">
      <c r="A424" s="1">
        <v>-3.5312380837301234</v>
      </c>
      <c r="B424" s="1">
        <v>1.9708393682567369</v>
      </c>
      <c r="C424" s="1">
        <v>305.24873103725145</v>
      </c>
      <c r="D424" s="24">
        <f>Data__2[[#This Row],[Project_1]]/J$4</f>
        <v>-2.3541587224867488E-2</v>
      </c>
      <c r="E424" s="24">
        <f>Data__2[[#This Row],[Project_2]]/K$4</f>
        <v>1.3138929121711579E-2</v>
      </c>
      <c r="F424" s="24">
        <f>Data__2[[#This Row],[Market]]/L$4</f>
        <v>0.30524873103725142</v>
      </c>
      <c r="G424" s="1">
        <f>L$24*Data__2[[#This Row],[Return Market]]*J$4</f>
        <v>16.958262835402877</v>
      </c>
      <c r="H424" s="1">
        <f>M$24*Data__2[[#This Row],[Return Market]]*K$4</f>
        <v>17.806175977173023</v>
      </c>
      <c r="I424" s="1"/>
      <c r="J424" s="1"/>
      <c r="K424" s="1"/>
      <c r="L424" s="1"/>
      <c r="M424" s="1"/>
    </row>
    <row r="425" spans="1:13">
      <c r="A425" s="1">
        <v>15.040004828639614</v>
      </c>
      <c r="B425" s="1">
        <v>2.9540403420636423</v>
      </c>
      <c r="C425" s="1">
        <v>153.29926552456118</v>
      </c>
      <c r="D425" s="24">
        <f>Data__2[[#This Row],[Project_1]]/J$4</f>
        <v>0.10026669885759742</v>
      </c>
      <c r="E425" s="24">
        <f>Data__2[[#This Row],[Project_2]]/K$4</f>
        <v>1.9693602280424282E-2</v>
      </c>
      <c r="F425" s="24">
        <f>Data__2[[#This Row],[Market]]/L$4</f>
        <v>0.15329926552456119</v>
      </c>
      <c r="G425" s="1">
        <f>L$24*Data__2[[#This Row],[Return Market]]*J$4</f>
        <v>8.5166258624756317</v>
      </c>
      <c r="H425" s="1">
        <f>M$24*Data__2[[#This Row],[Return Market]]*K$4</f>
        <v>8.9424571555994135</v>
      </c>
      <c r="I425" s="1"/>
      <c r="J425" s="1"/>
      <c r="K425" s="1"/>
      <c r="L425" s="1"/>
      <c r="M425" s="1"/>
    </row>
    <row r="426" spans="1:13">
      <c r="A426" s="1">
        <v>-33.126547658052445</v>
      </c>
      <c r="B426" s="1">
        <v>-23.18983055757473</v>
      </c>
      <c r="C426" s="1">
        <v>-253.77806123688572</v>
      </c>
      <c r="D426" s="24">
        <f>Data__2[[#This Row],[Project_1]]/J$4</f>
        <v>-0.22084365105368298</v>
      </c>
      <c r="E426" s="24">
        <f>Data__2[[#This Row],[Project_2]]/K$4</f>
        <v>-0.15459887038383152</v>
      </c>
      <c r="F426" s="24">
        <f>Data__2[[#This Row],[Market]]/L$4</f>
        <v>-0.25377806123688573</v>
      </c>
      <c r="G426" s="1">
        <f>L$24*Data__2[[#This Row],[Return Market]]*J$4</f>
        <v>-14.098781179827002</v>
      </c>
      <c r="H426" s="1">
        <f>M$24*Data__2[[#This Row],[Return Market]]*K$4</f>
        <v>-14.803720238818354</v>
      </c>
      <c r="I426" s="1"/>
      <c r="J426" s="1"/>
      <c r="K426" s="1"/>
      <c r="L426" s="1"/>
      <c r="M426" s="1"/>
    </row>
    <row r="427" spans="1:13">
      <c r="A427" s="1">
        <v>40.327509321934976</v>
      </c>
      <c r="B427" s="1">
        <v>26.790094974261464</v>
      </c>
      <c r="C427" s="1">
        <v>312.79011074120223</v>
      </c>
      <c r="D427" s="24">
        <f>Data__2[[#This Row],[Project_1]]/J$4</f>
        <v>0.26885006214623319</v>
      </c>
      <c r="E427" s="24">
        <f>Data__2[[#This Row],[Project_2]]/K$4</f>
        <v>0.1786006331617431</v>
      </c>
      <c r="F427" s="24">
        <f>Data__2[[#This Row],[Market]]/L$4</f>
        <v>0.31279011074120222</v>
      </c>
      <c r="G427" s="1">
        <f>L$24*Data__2[[#This Row],[Return Market]]*J$4</f>
        <v>17.377228374511255</v>
      </c>
      <c r="H427" s="1">
        <f>M$24*Data__2[[#This Row],[Return Market]]*K$4</f>
        <v>18.24608979323682</v>
      </c>
      <c r="I427" s="1"/>
      <c r="J427" s="1"/>
      <c r="K427" s="1"/>
      <c r="L427" s="1"/>
      <c r="M427" s="1"/>
    </row>
    <row r="428" spans="1:13">
      <c r="A428" s="1">
        <v>19.614965234407943</v>
      </c>
      <c r="B428" s="1">
        <v>8.4757780610257356</v>
      </c>
      <c r="C428" s="1">
        <v>61.076813291380603</v>
      </c>
      <c r="D428" s="24">
        <f>Data__2[[#This Row],[Project_1]]/J$4</f>
        <v>0.13076643489605297</v>
      </c>
      <c r="E428" s="24">
        <f>Data__2[[#This Row],[Project_2]]/K$4</f>
        <v>5.6505187073504902E-2</v>
      </c>
      <c r="F428" s="24">
        <f>Data__2[[#This Row],[Market]]/L$4</f>
        <v>6.1076813291380601E-2</v>
      </c>
      <c r="G428" s="1">
        <f>L$24*Data__2[[#This Row],[Return Market]]*J$4</f>
        <v>3.3931562939655926</v>
      </c>
      <c r="H428" s="1">
        <f>M$24*Data__2[[#This Row],[Return Market]]*K$4</f>
        <v>3.5628141086638729</v>
      </c>
      <c r="I428" s="1"/>
      <c r="J428" s="1"/>
      <c r="K428" s="1"/>
      <c r="L428" s="1"/>
      <c r="M428" s="1"/>
    </row>
    <row r="429" spans="1:13">
      <c r="A429" s="1">
        <v>-18.537470607350741</v>
      </c>
      <c r="B429" s="1">
        <v>1.1810728695537414</v>
      </c>
      <c r="C429" s="1">
        <v>92.534946467146582</v>
      </c>
      <c r="D429" s="24">
        <f>Data__2[[#This Row],[Project_1]]/J$4</f>
        <v>-0.12358313738233827</v>
      </c>
      <c r="E429" s="24">
        <f>Data__2[[#This Row],[Project_2]]/K$4</f>
        <v>7.8738191303582752E-3</v>
      </c>
      <c r="F429" s="24">
        <f>Data__2[[#This Row],[Market]]/L$4</f>
        <v>9.2534946467146578E-2</v>
      </c>
      <c r="G429" s="1">
        <f>L$24*Data__2[[#This Row],[Return Market]]*J$4</f>
        <v>5.1408303592859266</v>
      </c>
      <c r="H429" s="1">
        <f>M$24*Data__2[[#This Row],[Return Market]]*K$4</f>
        <v>5.3978718772502239</v>
      </c>
      <c r="I429" s="1"/>
      <c r="J429" s="1"/>
      <c r="K429" s="1"/>
      <c r="L429" s="1"/>
      <c r="M429" s="1"/>
    </row>
    <row r="430" spans="1:13">
      <c r="A430" s="1">
        <v>30.63064499973655</v>
      </c>
      <c r="B430" s="1">
        <v>8.2345567747398203</v>
      </c>
      <c r="C430" s="1">
        <v>43.883513759872521</v>
      </c>
      <c r="D430" s="24">
        <f>Data__2[[#This Row],[Project_1]]/J$4</f>
        <v>0.20420429999824366</v>
      </c>
      <c r="E430" s="24">
        <f>Data__2[[#This Row],[Project_2]]/K$4</f>
        <v>5.4897045164932136E-2</v>
      </c>
      <c r="F430" s="24">
        <f>Data__2[[#This Row],[Market]]/L$4</f>
        <v>4.3883513759872518E-2</v>
      </c>
      <c r="G430" s="1">
        <f>L$24*Data__2[[#This Row],[Return Market]]*J$4</f>
        <v>2.4379729866595872</v>
      </c>
      <c r="H430" s="1">
        <f>M$24*Data__2[[#This Row],[Return Market]]*K$4</f>
        <v>2.5598716359925668</v>
      </c>
      <c r="I430" s="1"/>
      <c r="J430" s="1"/>
      <c r="K430" s="1"/>
      <c r="L430" s="1"/>
      <c r="M430" s="1"/>
    </row>
    <row r="431" spans="1:13">
      <c r="A431" s="1">
        <v>48.426635628617838</v>
      </c>
      <c r="B431" s="1">
        <v>37.872140507194665</v>
      </c>
      <c r="C431" s="1">
        <v>491.59022359789435</v>
      </c>
      <c r="D431" s="24">
        <f>Data__2[[#This Row],[Project_1]]/J$4</f>
        <v>0.32284423752411889</v>
      </c>
      <c r="E431" s="24">
        <f>Data__2[[#This Row],[Project_2]]/K$4</f>
        <v>0.25248093671463112</v>
      </c>
      <c r="F431" s="24">
        <f>Data__2[[#This Row],[Market]]/L$4</f>
        <v>0.49159022359789434</v>
      </c>
      <c r="G431" s="1">
        <f>L$24*Data__2[[#This Row],[Return Market]]*J$4</f>
        <v>27.310567977660828</v>
      </c>
      <c r="H431" s="1">
        <f>M$24*Data__2[[#This Row],[Return Market]]*K$4</f>
        <v>28.676096376543875</v>
      </c>
      <c r="I431" s="1"/>
      <c r="J431" s="1"/>
      <c r="K431" s="1"/>
      <c r="L431" s="1"/>
      <c r="M431" s="1"/>
    </row>
    <row r="432" spans="1:13">
      <c r="A432" s="1">
        <v>43.703128168359846</v>
      </c>
      <c r="B432" s="1">
        <v>9.5631866701674504</v>
      </c>
      <c r="C432" s="1">
        <v>177.27594878735772</v>
      </c>
      <c r="D432" s="24">
        <f>Data__2[[#This Row],[Project_1]]/J$4</f>
        <v>0.29135418778906563</v>
      </c>
      <c r="E432" s="24">
        <f>Data__2[[#This Row],[Project_2]]/K$4</f>
        <v>6.3754577801116333E-2</v>
      </c>
      <c r="F432" s="24">
        <f>Data__2[[#This Row],[Market]]/L$4</f>
        <v>0.17727594878735772</v>
      </c>
      <c r="G432" s="1">
        <f>L$24*Data__2[[#This Row],[Return Market]]*J$4</f>
        <v>9.8486638215198852</v>
      </c>
      <c r="H432" s="1">
        <f>M$24*Data__2[[#This Row],[Return Market]]*K$4</f>
        <v>10.341097012595879</v>
      </c>
      <c r="I432" s="1"/>
      <c r="J432" s="1"/>
      <c r="K432" s="1"/>
      <c r="L432" s="1"/>
      <c r="M432" s="1"/>
    </row>
    <row r="433" spans="1:13">
      <c r="A433" s="1">
        <v>-35.337807232425732</v>
      </c>
      <c r="B433" s="1">
        <v>-3.0284126860296343</v>
      </c>
      <c r="C433" s="1">
        <v>-188.19046201953887</v>
      </c>
      <c r="D433" s="24">
        <f>Data__2[[#This Row],[Project_1]]/J$4</f>
        <v>-0.23558538154950487</v>
      </c>
      <c r="E433" s="24">
        <f>Data__2[[#This Row],[Project_2]]/K$4</f>
        <v>-2.0189417906864227E-2</v>
      </c>
      <c r="F433" s="24">
        <f>Data__2[[#This Row],[Market]]/L$4</f>
        <v>-0.18819046201953887</v>
      </c>
      <c r="G433" s="1">
        <f>L$24*Data__2[[#This Row],[Return Market]]*J$4</f>
        <v>-10.455025667752171</v>
      </c>
      <c r="H433" s="1">
        <f>M$24*Data__2[[#This Row],[Return Market]]*K$4</f>
        <v>-10.977776951139782</v>
      </c>
      <c r="I433" s="1"/>
      <c r="J433" s="1"/>
      <c r="K433" s="1"/>
      <c r="L433" s="1"/>
      <c r="M433" s="1"/>
    </row>
    <row r="434" spans="1:13">
      <c r="A434" s="1">
        <v>27.413903492397033</v>
      </c>
      <c r="B434" s="1">
        <v>4.2694375263168798</v>
      </c>
      <c r="C434" s="1">
        <v>139.33891212740193</v>
      </c>
      <c r="D434" s="24">
        <f>Data__2[[#This Row],[Project_1]]/J$4</f>
        <v>0.18275935661598022</v>
      </c>
      <c r="E434" s="24">
        <f>Data__2[[#This Row],[Project_2]]/K$4</f>
        <v>2.846291684211253E-2</v>
      </c>
      <c r="F434" s="24">
        <f>Data__2[[#This Row],[Market]]/L$4</f>
        <v>0.13933891212740193</v>
      </c>
      <c r="G434" s="1">
        <f>L$24*Data__2[[#This Row],[Return Market]]*J$4</f>
        <v>7.7410506737445601</v>
      </c>
      <c r="H434" s="1">
        <f>M$24*Data__2[[#This Row],[Return Market]]*K$4</f>
        <v>8.1281032074317903</v>
      </c>
      <c r="I434" s="1"/>
      <c r="J434" s="1"/>
      <c r="K434" s="1"/>
      <c r="L434" s="1"/>
      <c r="M434" s="1"/>
    </row>
    <row r="435" spans="1:13">
      <c r="A435" s="1">
        <v>38.843732552337627</v>
      </c>
      <c r="B435" s="1">
        <v>36.915067762043265</v>
      </c>
      <c r="C435" s="1">
        <v>276.71925462999604</v>
      </c>
      <c r="D435" s="24">
        <f>Data__2[[#This Row],[Project_1]]/J$4</f>
        <v>0.25895821701558419</v>
      </c>
      <c r="E435" s="24">
        <f>Data__2[[#This Row],[Project_2]]/K$4</f>
        <v>0.24610045174695511</v>
      </c>
      <c r="F435" s="24">
        <f>Data__2[[#This Row],[Market]]/L$4</f>
        <v>0.27671925462999603</v>
      </c>
      <c r="G435" s="1">
        <f>L$24*Data__2[[#This Row],[Return Market]]*J$4</f>
        <v>15.373291923888686</v>
      </c>
      <c r="H435" s="1">
        <f>M$24*Data__2[[#This Row],[Return Market]]*K$4</f>
        <v>16.141956520083124</v>
      </c>
      <c r="I435" s="1"/>
      <c r="J435" s="1"/>
      <c r="K435" s="1"/>
      <c r="L435" s="1"/>
      <c r="M435" s="1"/>
    </row>
    <row r="436" spans="1:13">
      <c r="A436" s="1">
        <v>15.232631571530881</v>
      </c>
      <c r="B436" s="1">
        <v>10.280203527951873</v>
      </c>
      <c r="C436" s="1">
        <v>90.383449869747608</v>
      </c>
      <c r="D436" s="24">
        <f>Data__2[[#This Row],[Project_1]]/J$4</f>
        <v>0.10155087714353921</v>
      </c>
      <c r="E436" s="24">
        <f>Data__2[[#This Row],[Project_2]]/K$4</f>
        <v>6.8534690186345823E-2</v>
      </c>
      <c r="F436" s="24">
        <f>Data__2[[#This Row],[Market]]/L$4</f>
        <v>9.0383449869747612E-2</v>
      </c>
      <c r="G436" s="1">
        <f>L$24*Data__2[[#This Row],[Return Market]]*J$4</f>
        <v>5.0213027705415394</v>
      </c>
      <c r="H436" s="1">
        <f>M$24*Data__2[[#This Row],[Return Market]]*K$4</f>
        <v>5.2723679090686177</v>
      </c>
      <c r="I436" s="1"/>
      <c r="J436" s="1"/>
      <c r="K436" s="1"/>
      <c r="L436" s="1"/>
      <c r="M436" s="1"/>
    </row>
    <row r="437" spans="1:13">
      <c r="A437" s="1">
        <v>14.121147566057958</v>
      </c>
      <c r="B437" s="1">
        <v>-0.84314980026296737</v>
      </c>
      <c r="C437" s="1">
        <v>-116.10074604361893</v>
      </c>
      <c r="D437" s="24">
        <f>Data__2[[#This Row],[Project_1]]/J$4</f>
        <v>9.4140983773719725E-2</v>
      </c>
      <c r="E437" s="24">
        <f>Data__2[[#This Row],[Project_2]]/K$4</f>
        <v>-5.6209986684197825E-3</v>
      </c>
      <c r="F437" s="24">
        <f>Data__2[[#This Row],[Market]]/L$4</f>
        <v>-0.11610074604361893</v>
      </c>
      <c r="G437" s="1">
        <f>L$24*Data__2[[#This Row],[Return Market]]*J$4</f>
        <v>-6.4500414468677256</v>
      </c>
      <c r="H437" s="1">
        <f>M$24*Data__2[[#This Row],[Return Market]]*K$4</f>
        <v>-6.772543519211113</v>
      </c>
      <c r="I437" s="1"/>
      <c r="J437" s="1"/>
      <c r="K437" s="1"/>
      <c r="L437" s="1"/>
      <c r="M437" s="1"/>
    </row>
    <row r="438" spans="1:13">
      <c r="A438" s="1">
        <v>-4.6586278965707901</v>
      </c>
      <c r="B438" s="1">
        <v>11.614291286234121</v>
      </c>
      <c r="C438" s="1">
        <v>233.75021531120862</v>
      </c>
      <c r="D438" s="24">
        <f>Data__2[[#This Row],[Project_1]]/J$4</f>
        <v>-3.1057519310471935E-2</v>
      </c>
      <c r="E438" s="24">
        <f>Data__2[[#This Row],[Project_2]]/K$4</f>
        <v>7.7428608574894142E-2</v>
      </c>
      <c r="F438" s="24">
        <f>Data__2[[#This Row],[Market]]/L$4</f>
        <v>0.23375021531120863</v>
      </c>
      <c r="G438" s="1">
        <f>L$24*Data__2[[#This Row],[Return Market]]*J$4</f>
        <v>12.986123072844938</v>
      </c>
      <c r="H438" s="1">
        <f>M$24*Data__2[[#This Row],[Return Market]]*K$4</f>
        <v>13.635429226487188</v>
      </c>
      <c r="I438" s="1"/>
      <c r="J438" s="1"/>
      <c r="K438" s="1"/>
      <c r="L438" s="1"/>
      <c r="M438" s="1"/>
    </row>
    <row r="439" spans="1:13">
      <c r="A439" s="1">
        <v>43.97956014395011</v>
      </c>
      <c r="B439" s="1">
        <v>18.584056872630676</v>
      </c>
      <c r="C439" s="1">
        <v>244.53732630129196</v>
      </c>
      <c r="D439" s="24">
        <f>Data__2[[#This Row],[Project_1]]/J$4</f>
        <v>0.29319706762633407</v>
      </c>
      <c r="E439" s="24">
        <f>Data__2[[#This Row],[Project_2]]/K$4</f>
        <v>0.1238937124842045</v>
      </c>
      <c r="F439" s="24">
        <f>Data__2[[#This Row],[Market]]/L$4</f>
        <v>0.24453732630129196</v>
      </c>
      <c r="G439" s="1">
        <f>L$24*Data__2[[#This Row],[Return Market]]*J$4</f>
        <v>13.585407016738458</v>
      </c>
      <c r="H439" s="1">
        <f>M$24*Data__2[[#This Row],[Return Market]]*K$4</f>
        <v>14.264677367575382</v>
      </c>
      <c r="I439" s="1"/>
      <c r="J439" s="1"/>
      <c r="K439" s="1"/>
      <c r="L439" s="1"/>
      <c r="M439" s="1"/>
    </row>
    <row r="440" spans="1:13">
      <c r="A440" s="1">
        <v>-10.787222345541323</v>
      </c>
      <c r="B440" s="1">
        <v>10.916244902156675</v>
      </c>
      <c r="C440" s="1">
        <v>83.114117066156609</v>
      </c>
      <c r="D440" s="24">
        <f>Data__2[[#This Row],[Project_1]]/J$4</f>
        <v>-7.1914815636942159E-2</v>
      </c>
      <c r="E440" s="24">
        <f>Data__2[[#This Row],[Project_2]]/K$4</f>
        <v>7.2774966014377843E-2</v>
      </c>
      <c r="F440" s="24">
        <f>Data__2[[#This Row],[Market]]/L$4</f>
        <v>8.3114117066156609E-2</v>
      </c>
      <c r="G440" s="1">
        <f>L$24*Data__2[[#This Row],[Return Market]]*J$4</f>
        <v>4.6174509481198172</v>
      </c>
      <c r="H440" s="1">
        <f>M$24*Data__2[[#This Row],[Return Market]]*K$4</f>
        <v>4.8483234955258085</v>
      </c>
      <c r="I440" s="1"/>
      <c r="J440" s="1"/>
      <c r="K440" s="1"/>
      <c r="L440" s="1"/>
      <c r="M440" s="1"/>
    </row>
    <row r="441" spans="1:13">
      <c r="A441" s="1">
        <v>20.75436743170652</v>
      </c>
      <c r="B441" s="1">
        <v>10.468296012333777</v>
      </c>
      <c r="C441" s="1">
        <v>528.54253041942138</v>
      </c>
      <c r="D441" s="24">
        <f>Data__2[[#This Row],[Project_1]]/J$4</f>
        <v>0.13836244954471014</v>
      </c>
      <c r="E441" s="24">
        <f>Data__2[[#This Row],[Project_2]]/K$4</f>
        <v>6.9788640082225184E-2</v>
      </c>
      <c r="F441" s="24">
        <f>Data__2[[#This Row],[Market]]/L$4</f>
        <v>0.52854253041942134</v>
      </c>
      <c r="G441" s="1">
        <f>L$24*Data__2[[#This Row],[Return Market]]*J$4</f>
        <v>29.363473912190109</v>
      </c>
      <c r="H441" s="1">
        <f>M$24*Data__2[[#This Row],[Return Market]]*K$4</f>
        <v>30.831647607799621</v>
      </c>
      <c r="I441" s="1"/>
      <c r="J441" s="1"/>
      <c r="K441" s="1"/>
      <c r="L441" s="1"/>
      <c r="M441" s="1"/>
    </row>
    <row r="442" spans="1:13">
      <c r="A442" s="1">
        <v>15.587123515601499</v>
      </c>
      <c r="B442" s="1">
        <v>2.2503345265244139</v>
      </c>
      <c r="C442" s="1">
        <v>64.281088564211444</v>
      </c>
      <c r="D442" s="24">
        <f>Data__2[[#This Row],[Project_1]]/J$4</f>
        <v>0.10391415677067667</v>
      </c>
      <c r="E442" s="24">
        <f>Data__2[[#This Row],[Project_2]]/K$4</f>
        <v>1.5002230176829426E-2</v>
      </c>
      <c r="F442" s="24">
        <f>Data__2[[#This Row],[Market]]/L$4</f>
        <v>6.4281088564211442E-2</v>
      </c>
      <c r="G442" s="1">
        <f>L$24*Data__2[[#This Row],[Return Market]]*J$4</f>
        <v>3.5711715869006397</v>
      </c>
      <c r="H442" s="1">
        <f>M$24*Data__2[[#This Row],[Return Market]]*K$4</f>
        <v>3.7497301662456723</v>
      </c>
      <c r="I442" s="1"/>
      <c r="J442" s="1"/>
      <c r="K442" s="1"/>
      <c r="L442" s="1"/>
      <c r="M442" s="1"/>
    </row>
    <row r="443" spans="1:13">
      <c r="A443" s="1">
        <v>11.405846965621915</v>
      </c>
      <c r="B443" s="1">
        <v>-6.7099052245434123</v>
      </c>
      <c r="C443" s="1">
        <v>138.58752736526048</v>
      </c>
      <c r="D443" s="24">
        <f>Data__2[[#This Row],[Project_1]]/J$4</f>
        <v>7.6038979770812767E-2</v>
      </c>
      <c r="E443" s="24">
        <f>Data__2[[#This Row],[Project_2]]/K$4</f>
        <v>-4.473270149695608E-2</v>
      </c>
      <c r="F443" s="24">
        <f>Data__2[[#This Row],[Market]]/L$4</f>
        <v>0.13858752736526048</v>
      </c>
      <c r="G443" s="1">
        <f>L$24*Data__2[[#This Row],[Return Market]]*J$4</f>
        <v>7.6993070758478135</v>
      </c>
      <c r="H443" s="1">
        <f>M$24*Data__2[[#This Row],[Return Market]]*K$4</f>
        <v>8.0842724296402046</v>
      </c>
      <c r="I443" s="1"/>
      <c r="J443" s="1"/>
      <c r="K443" s="1"/>
      <c r="L443" s="1"/>
      <c r="M443" s="1"/>
    </row>
    <row r="444" spans="1:13">
      <c r="A444" s="1">
        <v>23.719516266197402</v>
      </c>
      <c r="B444" s="1">
        <v>3.1858338017754182</v>
      </c>
      <c r="C444" s="1">
        <v>195.21613029222704</v>
      </c>
      <c r="D444" s="24">
        <f>Data__2[[#This Row],[Project_1]]/J$4</f>
        <v>0.158130108441316</v>
      </c>
      <c r="E444" s="24">
        <f>Data__2[[#This Row],[Project_2]]/K$4</f>
        <v>2.1238892011836121E-2</v>
      </c>
      <c r="F444" s="24">
        <f>Data__2[[#This Row],[Market]]/L$4</f>
        <v>0.19521613029222704</v>
      </c>
      <c r="G444" s="1">
        <f>L$24*Data__2[[#This Row],[Return Market]]*J$4</f>
        <v>10.845340571790404</v>
      </c>
      <c r="H444" s="1">
        <f>M$24*Data__2[[#This Row],[Return Market]]*K$4</f>
        <v>11.387607600379926</v>
      </c>
      <c r="I444" s="1"/>
      <c r="J444" s="1"/>
      <c r="K444" s="1"/>
      <c r="L444" s="1"/>
      <c r="M444" s="1"/>
    </row>
    <row r="445" spans="1:13">
      <c r="A445" s="1">
        <v>-11.306908869238814</v>
      </c>
      <c r="B445" s="1">
        <v>-0.85426967752162142</v>
      </c>
      <c r="C445" s="1">
        <v>289.99917285359965</v>
      </c>
      <c r="D445" s="24">
        <f>Data__2[[#This Row],[Project_1]]/J$4</f>
        <v>-7.5379392461592101E-2</v>
      </c>
      <c r="E445" s="24">
        <f>Data__2[[#This Row],[Project_2]]/K$4</f>
        <v>-5.6951311834774762E-3</v>
      </c>
      <c r="F445" s="24">
        <f>Data__2[[#This Row],[Market]]/L$4</f>
        <v>0.28999917285359966</v>
      </c>
      <c r="G445" s="1">
        <f>L$24*Data__2[[#This Row],[Return Market]]*J$4</f>
        <v>16.111065158533332</v>
      </c>
      <c r="H445" s="1">
        <f>M$24*Data__2[[#This Row],[Return Market]]*K$4</f>
        <v>16.91661841646</v>
      </c>
      <c r="I445" s="1"/>
      <c r="J445" s="1"/>
      <c r="K445" s="1"/>
      <c r="L445" s="1"/>
      <c r="M445" s="1"/>
    </row>
    <row r="446" spans="1:13">
      <c r="A446" s="1">
        <v>-22.478819032769358</v>
      </c>
      <c r="B446" s="1">
        <v>-10.171312673320131</v>
      </c>
      <c r="C446" s="1">
        <v>-187.98490354115813</v>
      </c>
      <c r="D446" s="24">
        <f>Data__2[[#This Row],[Project_1]]/J$4</f>
        <v>-0.14985879355179571</v>
      </c>
      <c r="E446" s="24">
        <f>Data__2[[#This Row],[Project_2]]/K$4</f>
        <v>-6.7808751155467542E-2</v>
      </c>
      <c r="F446" s="24">
        <f>Data__2[[#This Row],[Market]]/L$4</f>
        <v>-0.18798490354115813</v>
      </c>
      <c r="G446" s="1">
        <f>L$24*Data__2[[#This Row],[Return Market]]*J$4</f>
        <v>-10.443605752286574</v>
      </c>
      <c r="H446" s="1">
        <f>M$24*Data__2[[#This Row],[Return Market]]*K$4</f>
        <v>-10.965786039900905</v>
      </c>
      <c r="I446" s="1"/>
      <c r="J446" s="1"/>
      <c r="K446" s="1"/>
      <c r="L446" s="1"/>
      <c r="M446" s="1"/>
    </row>
    <row r="447" spans="1:13">
      <c r="A447" s="1">
        <v>-5.9104461786084528E-2</v>
      </c>
      <c r="B447" s="1">
        <v>-27.453969635473229</v>
      </c>
      <c r="C447" s="1">
        <v>-277.73456062086541</v>
      </c>
      <c r="D447" s="24">
        <f>Data__2[[#This Row],[Project_1]]/J$4</f>
        <v>-3.9402974524056349E-4</v>
      </c>
      <c r="E447" s="24">
        <f>Data__2[[#This Row],[Project_2]]/K$4</f>
        <v>-0.18302646423648819</v>
      </c>
      <c r="F447" s="24">
        <f>Data__2[[#This Row],[Market]]/L$4</f>
        <v>-0.27773456062086543</v>
      </c>
      <c r="G447" s="1">
        <f>L$24*Data__2[[#This Row],[Return Market]]*J$4</f>
        <v>-15.429697812270319</v>
      </c>
      <c r="H447" s="1">
        <f>M$24*Data__2[[#This Row],[Return Market]]*K$4</f>
        <v>-16.201182702883838</v>
      </c>
      <c r="I447" s="1"/>
      <c r="J447" s="1"/>
      <c r="K447" s="1"/>
      <c r="L447" s="1"/>
      <c r="M447" s="1"/>
    </row>
    <row r="448" spans="1:13">
      <c r="A448" s="1">
        <v>18.652597440929284</v>
      </c>
      <c r="B448" s="1">
        <v>14.020135420370458</v>
      </c>
      <c r="C448" s="1">
        <v>-28.273217412923302</v>
      </c>
      <c r="D448" s="24">
        <f>Data__2[[#This Row],[Project_1]]/J$4</f>
        <v>0.12435064960619523</v>
      </c>
      <c r="E448" s="24">
        <f>Data__2[[#This Row],[Project_2]]/K$4</f>
        <v>9.3467569469136383E-2</v>
      </c>
      <c r="F448" s="24">
        <f>Data__2[[#This Row],[Market]]/L$4</f>
        <v>-2.8273217412923303E-2</v>
      </c>
      <c r="G448" s="1">
        <f>L$24*Data__2[[#This Row],[Return Market]]*J$4</f>
        <v>-1.5707343007179631</v>
      </c>
      <c r="H448" s="1">
        <f>M$24*Data__2[[#This Row],[Return Market]]*K$4</f>
        <v>-1.6492710157538615</v>
      </c>
      <c r="I448" s="1"/>
      <c r="J448" s="1"/>
      <c r="K448" s="1"/>
      <c r="L448" s="1"/>
      <c r="M448" s="1"/>
    </row>
    <row r="449" spans="1:13">
      <c r="A449" s="1">
        <v>-15.370957037137</v>
      </c>
      <c r="B449" s="1">
        <v>0.654218124867052</v>
      </c>
      <c r="C449" s="1">
        <v>155.07509639541257</v>
      </c>
      <c r="D449" s="24">
        <f>Data__2[[#This Row],[Project_1]]/J$4</f>
        <v>-0.10247304691424666</v>
      </c>
      <c r="E449" s="24">
        <f>Data__2[[#This Row],[Project_2]]/K$4</f>
        <v>4.3614541657803468E-3</v>
      </c>
      <c r="F449" s="24">
        <f>Data__2[[#This Row],[Market]]/L$4</f>
        <v>0.15507509639541256</v>
      </c>
      <c r="G449" s="1">
        <f>L$24*Data__2[[#This Row],[Return Market]]*J$4</f>
        <v>8.6152831330784849</v>
      </c>
      <c r="H449" s="1">
        <f>M$24*Data__2[[#This Row],[Return Market]]*K$4</f>
        <v>9.046047289732412</v>
      </c>
      <c r="I449" s="1"/>
      <c r="J449" s="1"/>
      <c r="K449" s="1"/>
      <c r="L449" s="1"/>
      <c r="M449" s="1"/>
    </row>
    <row r="450" spans="1:13">
      <c r="A450" s="1">
        <v>-12.615894639570975</v>
      </c>
      <c r="B450" s="1">
        <v>4.1351197245991083</v>
      </c>
      <c r="C450" s="1">
        <v>-39.20663945380025</v>
      </c>
      <c r="D450" s="24">
        <f>Data__2[[#This Row],[Project_1]]/J$4</f>
        <v>-8.4105964263806496E-2</v>
      </c>
      <c r="E450" s="24">
        <f>Data__2[[#This Row],[Project_2]]/K$4</f>
        <v>2.7567464830660721E-2</v>
      </c>
      <c r="F450" s="24">
        <f>Data__2[[#This Row],[Market]]/L$4</f>
        <v>-3.9206639453800249E-2</v>
      </c>
      <c r="G450" s="1">
        <f>L$24*Data__2[[#This Row],[Return Market]]*J$4</f>
        <v>-2.1781466363222384</v>
      </c>
      <c r="H450" s="1">
        <f>M$24*Data__2[[#This Row],[Return Market]]*K$4</f>
        <v>-2.2870539681383506</v>
      </c>
      <c r="I450" s="1"/>
      <c r="J450" s="1"/>
      <c r="K450" s="1"/>
      <c r="L450" s="1"/>
      <c r="M450" s="1"/>
    </row>
    <row r="451" spans="1:13">
      <c r="A451" s="1">
        <v>3.0132027607623337</v>
      </c>
      <c r="B451" s="1">
        <v>17.676275293158984</v>
      </c>
      <c r="C451" s="1">
        <v>6.6971304961688389</v>
      </c>
      <c r="D451" s="24">
        <f>Data__2[[#This Row],[Project_1]]/J$4</f>
        <v>2.0088018405082224E-2</v>
      </c>
      <c r="E451" s="24">
        <f>Data__2[[#This Row],[Project_2]]/K$4</f>
        <v>0.11784183528772656</v>
      </c>
      <c r="F451" s="24">
        <f>Data__2[[#This Row],[Market]]/L$4</f>
        <v>6.6971304961688386E-3</v>
      </c>
      <c r="G451" s="1">
        <f>L$24*Data__2[[#This Row],[Return Market]]*J$4</f>
        <v>0.37206280534271369</v>
      </c>
      <c r="H451" s="1">
        <f>M$24*Data__2[[#This Row],[Return Market]]*K$4</f>
        <v>0.39066594560984941</v>
      </c>
      <c r="I451" s="1"/>
      <c r="J451" s="1"/>
      <c r="K451" s="1"/>
      <c r="L451" s="1"/>
      <c r="M451" s="1"/>
    </row>
    <row r="452" spans="1:13">
      <c r="A452" s="1">
        <v>11.472399717632671</v>
      </c>
      <c r="B452" s="1">
        <v>3.4272391321856039</v>
      </c>
      <c r="C452" s="1">
        <v>76.634573234462138</v>
      </c>
      <c r="D452" s="24">
        <f>Data__2[[#This Row],[Project_1]]/J$4</f>
        <v>7.6482664784217808E-2</v>
      </c>
      <c r="E452" s="24">
        <f>Data__2[[#This Row],[Project_2]]/K$4</f>
        <v>2.284826088123736E-2</v>
      </c>
      <c r="F452" s="24">
        <f>Data__2[[#This Row],[Market]]/L$4</f>
        <v>7.6634573234462142E-2</v>
      </c>
      <c r="G452" s="1">
        <f>L$24*Data__2[[#This Row],[Return Market]]*J$4</f>
        <v>4.2574762908034574</v>
      </c>
      <c r="H452" s="1">
        <f>M$24*Data__2[[#This Row],[Return Market]]*K$4</f>
        <v>4.4703501053436305</v>
      </c>
      <c r="I452" s="1"/>
      <c r="J452" s="1"/>
      <c r="K452" s="1"/>
      <c r="L452" s="1"/>
      <c r="M452" s="1"/>
    </row>
    <row r="453" spans="1:13">
      <c r="A453" s="1">
        <v>37.373384111387516</v>
      </c>
      <c r="B453" s="1">
        <v>15.743327578923363</v>
      </c>
      <c r="C453" s="1">
        <v>188.88260686909979</v>
      </c>
      <c r="D453" s="24">
        <f>Data__2[[#This Row],[Project_1]]/J$4</f>
        <v>0.24915589407591676</v>
      </c>
      <c r="E453" s="24">
        <f>Data__2[[#This Row],[Project_2]]/K$4</f>
        <v>0.10495551719282242</v>
      </c>
      <c r="F453" s="24">
        <f>Data__2[[#This Row],[Market]]/L$4</f>
        <v>0.1888826068690998</v>
      </c>
      <c r="G453" s="1">
        <f>L$24*Data__2[[#This Row],[Return Market]]*J$4</f>
        <v>10.493478159394444</v>
      </c>
      <c r="H453" s="1">
        <f>M$24*Data__2[[#This Row],[Return Market]]*K$4</f>
        <v>11.018152067364168</v>
      </c>
      <c r="I453" s="1"/>
      <c r="J453" s="1"/>
      <c r="K453" s="1"/>
      <c r="L453" s="1"/>
      <c r="M453" s="1"/>
    </row>
    <row r="454" spans="1:13">
      <c r="A454" s="1">
        <v>24.442911258246884</v>
      </c>
      <c r="B454" s="1">
        <v>34.464434932114123</v>
      </c>
      <c r="C454" s="1">
        <v>196.64889499151343</v>
      </c>
      <c r="D454" s="24">
        <f>Data__2[[#This Row],[Project_1]]/J$4</f>
        <v>0.16295274172164589</v>
      </c>
      <c r="E454" s="24">
        <f>Data__2[[#This Row],[Project_2]]/K$4</f>
        <v>0.22976289954742748</v>
      </c>
      <c r="F454" s="24">
        <f>Data__2[[#This Row],[Market]]/L$4</f>
        <v>0.19664889499151342</v>
      </c>
      <c r="G454" s="1">
        <f>L$24*Data__2[[#This Row],[Return Market]]*J$4</f>
        <v>10.924938610639646</v>
      </c>
      <c r="H454" s="1">
        <f>M$24*Data__2[[#This Row],[Return Market]]*K$4</f>
        <v>11.471185541171632</v>
      </c>
      <c r="I454" s="1"/>
      <c r="J454" s="1"/>
      <c r="K454" s="1"/>
      <c r="L454" s="1"/>
      <c r="M454" s="1"/>
    </row>
    <row r="455" spans="1:13">
      <c r="A455" s="1">
        <v>-14.837176605624148</v>
      </c>
      <c r="B455" s="1">
        <v>1.0595855858137249</v>
      </c>
      <c r="C455" s="1">
        <v>-24.961283795009223</v>
      </c>
      <c r="D455" s="24">
        <f>Data__2[[#This Row],[Project_1]]/J$4</f>
        <v>-9.8914510704160991E-2</v>
      </c>
      <c r="E455" s="24">
        <f>Data__2[[#This Row],[Project_2]]/K$4</f>
        <v>7.0639039054248322E-3</v>
      </c>
      <c r="F455" s="24">
        <f>Data__2[[#This Row],[Market]]/L$4</f>
        <v>-2.4961283795009222E-2</v>
      </c>
      <c r="G455" s="1">
        <f>L$24*Data__2[[#This Row],[Return Market]]*J$4</f>
        <v>-1.3867379886116251</v>
      </c>
      <c r="H455" s="1">
        <f>M$24*Data__2[[#This Row],[Return Market]]*K$4</f>
        <v>-1.4560748880422065</v>
      </c>
      <c r="I455" s="1"/>
      <c r="J455" s="1"/>
      <c r="K455" s="1"/>
      <c r="L455" s="1"/>
      <c r="M455" s="1"/>
    </row>
    <row r="456" spans="1:13">
      <c r="A456" s="1">
        <v>20.081612561708816</v>
      </c>
      <c r="B456" s="1">
        <v>16.173759660983038</v>
      </c>
      <c r="C456" s="1">
        <v>69.111114951706341</v>
      </c>
      <c r="D456" s="24">
        <f>Data__2[[#This Row],[Project_1]]/J$4</f>
        <v>0.13387741707805878</v>
      </c>
      <c r="E456" s="24">
        <f>Data__2[[#This Row],[Project_2]]/K$4</f>
        <v>0.10782506440655358</v>
      </c>
      <c r="F456" s="24">
        <f>Data__2[[#This Row],[Market]]/L$4</f>
        <v>6.911111495170634E-2</v>
      </c>
      <c r="G456" s="1">
        <f>L$24*Data__2[[#This Row],[Return Market]]*J$4</f>
        <v>3.8395063862059122</v>
      </c>
      <c r="H456" s="1">
        <f>M$24*Data__2[[#This Row],[Return Market]]*K$4</f>
        <v>4.0314817055162084</v>
      </c>
      <c r="I456" s="1"/>
      <c r="J456" s="1"/>
      <c r="K456" s="1"/>
      <c r="L456" s="1"/>
      <c r="M456" s="1"/>
    </row>
    <row r="457" spans="1:13">
      <c r="A457" s="1">
        <v>8.2117815124197087</v>
      </c>
      <c r="B457" s="1">
        <v>1.4501547321667569</v>
      </c>
      <c r="C457" s="1">
        <v>-196.94498379042426</v>
      </c>
      <c r="D457" s="24">
        <f>Data__2[[#This Row],[Project_1]]/J$4</f>
        <v>5.4745210082798056E-2</v>
      </c>
      <c r="E457" s="24">
        <f>Data__2[[#This Row],[Project_2]]/K$4</f>
        <v>9.6676982144450457E-3</v>
      </c>
      <c r="F457" s="24">
        <f>Data__2[[#This Row],[Market]]/L$4</f>
        <v>-0.19694498379042427</v>
      </c>
      <c r="G457" s="1">
        <f>L$24*Data__2[[#This Row],[Return Market]]*J$4</f>
        <v>-10.941387988356917</v>
      </c>
      <c r="H457" s="1">
        <f>M$24*Data__2[[#This Row],[Return Market]]*K$4</f>
        <v>-11.488457387774766</v>
      </c>
      <c r="I457" s="1"/>
      <c r="J457" s="1"/>
      <c r="K457" s="1"/>
      <c r="L457" s="1"/>
      <c r="M457" s="1"/>
    </row>
    <row r="458" spans="1:13">
      <c r="A458" s="1">
        <v>41.735417195996703</v>
      </c>
      <c r="B458" s="1">
        <v>20.36284187532393</v>
      </c>
      <c r="C458" s="1">
        <v>-22.761038821950763</v>
      </c>
      <c r="D458" s="24">
        <f>Data__2[[#This Row],[Project_1]]/J$4</f>
        <v>0.27823611463997805</v>
      </c>
      <c r="E458" s="24">
        <f>Data__2[[#This Row],[Project_2]]/K$4</f>
        <v>0.13575227916882621</v>
      </c>
      <c r="F458" s="24">
        <f>Data__2[[#This Row],[Market]]/L$4</f>
        <v>-2.2761038821950762E-2</v>
      </c>
      <c r="G458" s="1">
        <f>L$24*Data__2[[#This Row],[Return Market]]*J$4</f>
        <v>-1.2645021567750436</v>
      </c>
      <c r="H458" s="1">
        <f>M$24*Data__2[[#This Row],[Return Market]]*K$4</f>
        <v>-1.3277272646137963</v>
      </c>
      <c r="I458" s="1"/>
      <c r="J458" s="1"/>
      <c r="K458" s="1"/>
      <c r="L458" s="1"/>
      <c r="M458" s="1"/>
    </row>
    <row r="459" spans="1:13">
      <c r="A459" s="1">
        <v>5.2974038925605829</v>
      </c>
      <c r="B459" s="1">
        <v>38.378784619523152</v>
      </c>
      <c r="C459" s="1">
        <v>374.35672820461451</v>
      </c>
      <c r="D459" s="24">
        <f>Data__2[[#This Row],[Project_1]]/J$4</f>
        <v>3.5316025950403888E-2</v>
      </c>
      <c r="E459" s="24">
        <f>Data__2[[#This Row],[Project_2]]/K$4</f>
        <v>0.25585856413015434</v>
      </c>
      <c r="F459" s="24">
        <f>Data__2[[#This Row],[Market]]/L$4</f>
        <v>0.37435672820461452</v>
      </c>
      <c r="G459" s="1">
        <f>L$24*Data__2[[#This Row],[Return Market]]*J$4</f>
        <v>20.797596011367496</v>
      </c>
      <c r="H459" s="1">
        <f>M$24*Data__2[[#This Row],[Return Market]]*K$4</f>
        <v>21.837475811935875</v>
      </c>
      <c r="I459" s="1"/>
      <c r="J459" s="1"/>
      <c r="K459" s="1"/>
      <c r="L459" s="1"/>
      <c r="M459" s="1"/>
    </row>
    <row r="460" spans="1:13">
      <c r="A460" s="1">
        <v>4.6175518748504523</v>
      </c>
      <c r="B460" s="1">
        <v>-13.910719847661998</v>
      </c>
      <c r="C460" s="1">
        <v>41.542439637160641</v>
      </c>
      <c r="D460" s="24">
        <f>Data__2[[#This Row],[Project_1]]/J$4</f>
        <v>3.0783679165669681E-2</v>
      </c>
      <c r="E460" s="24">
        <f>Data__2[[#This Row],[Project_2]]/K$4</f>
        <v>-9.2738132317746649E-2</v>
      </c>
      <c r="F460" s="24">
        <f>Data__2[[#This Row],[Market]]/L$4</f>
        <v>4.1542439637160637E-2</v>
      </c>
      <c r="G460" s="1">
        <f>L$24*Data__2[[#This Row],[Return Market]]*J$4</f>
        <v>2.3079133131755936</v>
      </c>
      <c r="H460" s="1">
        <f>M$24*Data__2[[#This Row],[Return Market]]*K$4</f>
        <v>2.4233089788343736</v>
      </c>
      <c r="I460" s="1"/>
      <c r="J460" s="1"/>
      <c r="K460" s="1"/>
      <c r="L460" s="1"/>
      <c r="M460" s="1"/>
    </row>
    <row r="461" spans="1:13">
      <c r="A461" s="1">
        <v>18.565513061563507</v>
      </c>
      <c r="B461" s="1">
        <v>15.718630728427364</v>
      </c>
      <c r="C461" s="1">
        <v>148.71621609239548</v>
      </c>
      <c r="D461" s="24">
        <f>Data__2[[#This Row],[Project_1]]/J$4</f>
        <v>0.12377008707709004</v>
      </c>
      <c r="E461" s="24">
        <f>Data__2[[#This Row],[Project_2]]/K$4</f>
        <v>0.10479087152284909</v>
      </c>
      <c r="F461" s="24">
        <f>Data__2[[#This Row],[Market]]/L$4</f>
        <v>0.14871621609239549</v>
      </c>
      <c r="G461" s="1">
        <f>L$24*Data__2[[#This Row],[Return Market]]*J$4</f>
        <v>8.2620120051330925</v>
      </c>
      <c r="H461" s="1">
        <f>M$24*Data__2[[#This Row],[Return Market]]*K$4</f>
        <v>8.6751126053897476</v>
      </c>
      <c r="I461" s="1"/>
      <c r="J461" s="1"/>
      <c r="K461" s="1"/>
      <c r="L461" s="1"/>
      <c r="M461" s="1"/>
    </row>
    <row r="462" spans="1:13">
      <c r="A462" s="1">
        <v>11.295100353296412</v>
      </c>
      <c r="B462" s="1">
        <v>24.776722052393634</v>
      </c>
      <c r="C462" s="1">
        <v>112.58164759649048</v>
      </c>
      <c r="D462" s="24">
        <f>Data__2[[#This Row],[Project_1]]/J$4</f>
        <v>7.5300669021976088E-2</v>
      </c>
      <c r="E462" s="24">
        <f>Data__2[[#This Row],[Project_2]]/K$4</f>
        <v>0.16517814701595757</v>
      </c>
      <c r="F462" s="24">
        <f>Data__2[[#This Row],[Market]]/L$4</f>
        <v>0.11258164759649049</v>
      </c>
      <c r="G462" s="1">
        <f>L$24*Data__2[[#This Row],[Return Market]]*J$4</f>
        <v>6.2545359775828118</v>
      </c>
      <c r="H462" s="1">
        <f>M$24*Data__2[[#This Row],[Return Market]]*K$4</f>
        <v>6.5672627764619538</v>
      </c>
      <c r="I462" s="1"/>
      <c r="J462" s="1"/>
      <c r="K462" s="1"/>
      <c r="L462" s="1"/>
      <c r="M462" s="1"/>
    </row>
    <row r="463" spans="1:13">
      <c r="A463" s="1">
        <v>-2.0780385251518023</v>
      </c>
      <c r="B463" s="1">
        <v>-4.2077561108555006</v>
      </c>
      <c r="C463" s="1">
        <v>-144.11186887053563</v>
      </c>
      <c r="D463" s="24">
        <f>Data__2[[#This Row],[Project_1]]/J$4</f>
        <v>-1.3853590167678682E-2</v>
      </c>
      <c r="E463" s="24">
        <f>Data__2[[#This Row],[Project_2]]/K$4</f>
        <v>-2.8051707405703338E-2</v>
      </c>
      <c r="F463" s="24">
        <f>Data__2[[#This Row],[Market]]/L$4</f>
        <v>-0.14411186887053562</v>
      </c>
      <c r="G463" s="1">
        <f>L$24*Data__2[[#This Row],[Return Market]]*J$4</f>
        <v>-8.006214937251988</v>
      </c>
      <c r="H463" s="1">
        <f>M$24*Data__2[[#This Row],[Return Market]]*K$4</f>
        <v>-8.4065256841145892</v>
      </c>
      <c r="I463" s="1"/>
      <c r="J463" s="1"/>
      <c r="K463" s="1"/>
      <c r="L463" s="1"/>
      <c r="M463" s="1"/>
    </row>
    <row r="464" spans="1:13">
      <c r="A464" s="1">
        <v>6.3491054095226183</v>
      </c>
      <c r="B464" s="1">
        <v>10.880922026679507</v>
      </c>
      <c r="C464" s="1">
        <v>22.737056359479155</v>
      </c>
      <c r="D464" s="24">
        <f>Data__2[[#This Row],[Project_1]]/J$4</f>
        <v>4.2327369396817457E-2</v>
      </c>
      <c r="E464" s="24">
        <f>Data__2[[#This Row],[Project_2]]/K$4</f>
        <v>7.253948017786338E-2</v>
      </c>
      <c r="F464" s="24">
        <f>Data__2[[#This Row],[Market]]/L$4</f>
        <v>2.2737056359479153E-2</v>
      </c>
      <c r="G464" s="1">
        <f>L$24*Data__2[[#This Row],[Return Market]]*J$4</f>
        <v>1.2631697977488434</v>
      </c>
      <c r="H464" s="1">
        <f>M$24*Data__2[[#This Row],[Return Market]]*K$4</f>
        <v>1.3263282876362856</v>
      </c>
      <c r="I464" s="1"/>
      <c r="J464" s="1"/>
      <c r="K464" s="1"/>
      <c r="L464" s="1"/>
      <c r="M464" s="1"/>
    </row>
    <row r="465" spans="1:13">
      <c r="A465" s="1">
        <v>-12.173730813904889</v>
      </c>
      <c r="B465" s="1">
        <v>-33.117091190820801</v>
      </c>
      <c r="C465" s="1">
        <v>-409.30267715116736</v>
      </c>
      <c r="D465" s="24">
        <f>Data__2[[#This Row],[Project_1]]/J$4</f>
        <v>-8.1158205426032595E-2</v>
      </c>
      <c r="E465" s="24">
        <f>Data__2[[#This Row],[Project_2]]/K$4</f>
        <v>-0.22078060793880533</v>
      </c>
      <c r="F465" s="24">
        <f>Data__2[[#This Row],[Market]]/L$4</f>
        <v>-0.40930267715116736</v>
      </c>
      <c r="G465" s="1">
        <f>L$24*Data__2[[#This Row],[Return Market]]*J$4</f>
        <v>-22.739037619509325</v>
      </c>
      <c r="H465" s="1">
        <f>M$24*Data__2[[#This Row],[Return Market]]*K$4</f>
        <v>-23.875989500484792</v>
      </c>
      <c r="I465" s="1"/>
      <c r="J465" s="1"/>
      <c r="K465" s="1"/>
      <c r="L465" s="1"/>
      <c r="M465" s="1"/>
    </row>
    <row r="466" spans="1:13">
      <c r="A466" s="1">
        <v>54.896352772898936</v>
      </c>
      <c r="B466" s="1">
        <v>39.713066240520369</v>
      </c>
      <c r="C466" s="1">
        <v>336.50738693103665</v>
      </c>
      <c r="D466" s="24">
        <f>Data__2[[#This Row],[Project_1]]/J$4</f>
        <v>0.3659756851526596</v>
      </c>
      <c r="E466" s="24">
        <f>Data__2[[#This Row],[Project_2]]/K$4</f>
        <v>0.26475377493680247</v>
      </c>
      <c r="F466" s="24">
        <f>Data__2[[#This Row],[Market]]/L$4</f>
        <v>0.33650738693103666</v>
      </c>
      <c r="G466" s="1">
        <f>L$24*Data__2[[#This Row],[Return Market]]*J$4</f>
        <v>18.694854829502059</v>
      </c>
      <c r="H466" s="1">
        <f>M$24*Data__2[[#This Row],[Return Market]]*K$4</f>
        <v>19.629597570977165</v>
      </c>
      <c r="I466" s="1"/>
      <c r="J466" s="1"/>
      <c r="K466" s="1"/>
      <c r="L466" s="1"/>
      <c r="M466" s="1"/>
    </row>
    <row r="467" spans="1:13">
      <c r="A467" s="1">
        <v>39.695738382335485</v>
      </c>
      <c r="B467" s="1">
        <v>11.09561168936979</v>
      </c>
      <c r="C467" s="1">
        <v>421.24557311162937</v>
      </c>
      <c r="D467" s="24">
        <f>Data__2[[#This Row],[Project_1]]/J$4</f>
        <v>0.26463825588223655</v>
      </c>
      <c r="E467" s="24">
        <f>Data__2[[#This Row],[Project_2]]/K$4</f>
        <v>7.3970744595798596E-2</v>
      </c>
      <c r="F467" s="24">
        <f>Data__2[[#This Row],[Market]]/L$4</f>
        <v>0.42124557311162936</v>
      </c>
      <c r="G467" s="1">
        <f>L$24*Data__2[[#This Row],[Return Market]]*J$4</f>
        <v>23.402531839534991</v>
      </c>
      <c r="H467" s="1">
        <f>M$24*Data__2[[#This Row],[Return Market]]*K$4</f>
        <v>24.572658431511744</v>
      </c>
      <c r="I467" s="1"/>
      <c r="J467" s="1"/>
      <c r="K467" s="1"/>
      <c r="L467" s="1"/>
      <c r="M467" s="1"/>
    </row>
    <row r="468" spans="1:13">
      <c r="A468" s="1">
        <v>-14.946023169827491</v>
      </c>
      <c r="B468" s="1">
        <v>6.860040546154238</v>
      </c>
      <c r="C468" s="1">
        <v>-26.178878372119144</v>
      </c>
      <c r="D468" s="24">
        <f>Data__2[[#This Row],[Project_1]]/J$4</f>
        <v>-9.9640154465516606E-2</v>
      </c>
      <c r="E468" s="24">
        <f>Data__2[[#This Row],[Project_2]]/K$4</f>
        <v>4.5733603641028256E-2</v>
      </c>
      <c r="F468" s="24">
        <f>Data__2[[#This Row],[Market]]/L$4</f>
        <v>-2.6178878372119144E-2</v>
      </c>
      <c r="G468" s="1">
        <f>L$24*Data__2[[#This Row],[Return Market]]*J$4</f>
        <v>-1.4543821317843986</v>
      </c>
      <c r="H468" s="1">
        <f>M$24*Data__2[[#This Row],[Return Market]]*K$4</f>
        <v>-1.5271012383736187</v>
      </c>
      <c r="I468" s="1"/>
      <c r="J468" s="1"/>
      <c r="K468" s="1"/>
      <c r="L468" s="1"/>
      <c r="M468" s="1"/>
    </row>
    <row r="469" spans="1:13">
      <c r="A469" s="1">
        <v>42.155801529016372</v>
      </c>
      <c r="B469" s="1">
        <v>19.881168805908857</v>
      </c>
      <c r="C469" s="1">
        <v>38.740639263590495</v>
      </c>
      <c r="D469" s="24">
        <f>Data__2[[#This Row],[Project_1]]/J$4</f>
        <v>0.28103867686010914</v>
      </c>
      <c r="E469" s="24">
        <f>Data__2[[#This Row],[Project_2]]/K$4</f>
        <v>0.13254112537272572</v>
      </c>
      <c r="F469" s="24">
        <f>Data__2[[#This Row],[Market]]/L$4</f>
        <v>3.8740639263590497E-2</v>
      </c>
      <c r="G469" s="1">
        <f>L$24*Data__2[[#This Row],[Return Market]]*J$4</f>
        <v>2.1522577368661411</v>
      </c>
      <c r="H469" s="1">
        <f>M$24*Data__2[[#This Row],[Return Market]]*K$4</f>
        <v>2.2598706237094484</v>
      </c>
      <c r="I469" s="1"/>
      <c r="J469" s="1"/>
      <c r="K469" s="1"/>
      <c r="L469" s="1"/>
      <c r="M469" s="1"/>
    </row>
    <row r="470" spans="1:13">
      <c r="A470" s="1">
        <v>29.769685827537852</v>
      </c>
      <c r="B470" s="1">
        <v>3.0528537376033134</v>
      </c>
      <c r="C470" s="1">
        <v>21.129131794177653</v>
      </c>
      <c r="D470" s="24">
        <f>Data__2[[#This Row],[Project_1]]/J$4</f>
        <v>0.19846457218358568</v>
      </c>
      <c r="E470" s="24">
        <f>Data__2[[#This Row],[Project_2]]/K$4</f>
        <v>2.0352358250688755E-2</v>
      </c>
      <c r="F470" s="24">
        <f>Data__2[[#This Row],[Market]]/L$4</f>
        <v>2.1129131794177653E-2</v>
      </c>
      <c r="G470" s="1">
        <f>L$24*Data__2[[#This Row],[Return Market]]*J$4</f>
        <v>1.173840655232093</v>
      </c>
      <c r="H470" s="1">
        <f>M$24*Data__2[[#This Row],[Return Market]]*K$4</f>
        <v>1.2325326879936982</v>
      </c>
      <c r="I470" s="1"/>
      <c r="J470" s="1"/>
      <c r="K470" s="1"/>
      <c r="L470" s="1"/>
      <c r="M470" s="1"/>
    </row>
    <row r="471" spans="1:13">
      <c r="A471" s="1">
        <v>26.796771177127141</v>
      </c>
      <c r="B471" s="1">
        <v>31.86013946488378</v>
      </c>
      <c r="C471" s="1">
        <v>281.04504005131412</v>
      </c>
      <c r="D471" s="24">
        <f>Data__2[[#This Row],[Project_1]]/J$4</f>
        <v>0.17864514118084759</v>
      </c>
      <c r="E471" s="24">
        <f>Data__2[[#This Row],[Project_2]]/K$4</f>
        <v>0.21240092976589187</v>
      </c>
      <c r="F471" s="24">
        <f>Data__2[[#This Row],[Market]]/L$4</f>
        <v>0.28104504005131414</v>
      </c>
      <c r="G471" s="1">
        <f>L$24*Data__2[[#This Row],[Return Market]]*J$4</f>
        <v>15.613613336184137</v>
      </c>
      <c r="H471" s="1">
        <f>M$24*Data__2[[#This Row],[Return Market]]*K$4</f>
        <v>16.394294002993345</v>
      </c>
      <c r="I471" s="1"/>
      <c r="J471" s="1"/>
      <c r="K471" s="1"/>
      <c r="L471" s="1"/>
      <c r="M471" s="1"/>
    </row>
    <row r="472" spans="1:13">
      <c r="A472" s="1">
        <v>14.769568847127303</v>
      </c>
      <c r="B472" s="1">
        <v>7.0524753187180496</v>
      </c>
      <c r="C472" s="1">
        <v>72.450903431758633</v>
      </c>
      <c r="D472" s="24">
        <f>Data__2[[#This Row],[Project_1]]/J$4</f>
        <v>9.8463792314182022E-2</v>
      </c>
      <c r="E472" s="24">
        <f>Data__2[[#This Row],[Project_2]]/K$4</f>
        <v>4.7016502124786995E-2</v>
      </c>
      <c r="F472" s="24">
        <f>Data__2[[#This Row],[Market]]/L$4</f>
        <v>7.2450903431758626E-2</v>
      </c>
      <c r="G472" s="1">
        <f>L$24*Data__2[[#This Row],[Return Market]]*J$4</f>
        <v>4.0250501906532614</v>
      </c>
      <c r="H472" s="1">
        <f>M$24*Data__2[[#This Row],[Return Market]]*K$4</f>
        <v>4.2263027001859257</v>
      </c>
      <c r="I472" s="1"/>
      <c r="J472" s="1"/>
      <c r="K472" s="1"/>
      <c r="L472" s="1"/>
      <c r="M472" s="1"/>
    </row>
    <row r="473" spans="1:13">
      <c r="A473" s="1">
        <v>34.048464627644996</v>
      </c>
      <c r="B473" s="1">
        <v>15.679319220934135</v>
      </c>
      <c r="C473" s="1">
        <v>379.49375920173446</v>
      </c>
      <c r="D473" s="24">
        <f>Data__2[[#This Row],[Project_1]]/J$4</f>
        <v>0.22698976418429997</v>
      </c>
      <c r="E473" s="24">
        <f>Data__2[[#This Row],[Project_2]]/K$4</f>
        <v>0.10452879480622757</v>
      </c>
      <c r="F473" s="24">
        <f>Data__2[[#This Row],[Market]]/L$4</f>
        <v>0.37949375920173445</v>
      </c>
      <c r="G473" s="1">
        <f>L$24*Data__2[[#This Row],[Return Market]]*J$4</f>
        <v>21.082986622318604</v>
      </c>
      <c r="H473" s="1">
        <f>M$24*Data__2[[#This Row],[Return Market]]*K$4</f>
        <v>22.137135953434537</v>
      </c>
      <c r="I473" s="1"/>
      <c r="J473" s="1"/>
      <c r="K473" s="1"/>
      <c r="L473" s="1"/>
      <c r="M473" s="1"/>
    </row>
    <row r="474" spans="1:13">
      <c r="A474" s="1">
        <v>-5.5228401974918526</v>
      </c>
      <c r="B474" s="1">
        <v>-2.253615319170601</v>
      </c>
      <c r="C474" s="1">
        <v>-124.54681045261304</v>
      </c>
      <c r="D474" s="24">
        <f>Data__2[[#This Row],[Project_1]]/J$4</f>
        <v>-3.6818934649945685E-2</v>
      </c>
      <c r="E474" s="24">
        <f>Data__2[[#This Row],[Project_2]]/K$4</f>
        <v>-1.5024102127804006E-2</v>
      </c>
      <c r="F474" s="24">
        <f>Data__2[[#This Row],[Market]]/L$4</f>
        <v>-0.12454681045261304</v>
      </c>
      <c r="G474" s="1">
        <f>L$24*Data__2[[#This Row],[Return Market]]*J$4</f>
        <v>-6.9192672473673991</v>
      </c>
      <c r="H474" s="1">
        <f>M$24*Data__2[[#This Row],[Return Market]]*K$4</f>
        <v>-7.2652306097357702</v>
      </c>
      <c r="I474" s="1"/>
      <c r="J474" s="1"/>
      <c r="K474" s="1"/>
      <c r="L474" s="1"/>
      <c r="M474" s="1"/>
    </row>
    <row r="475" spans="1:13">
      <c r="A475" s="1">
        <v>13.013350726652984</v>
      </c>
      <c r="B475" s="1">
        <v>4.3861603867351171</v>
      </c>
      <c r="C475" s="1">
        <v>-204.01984738483242</v>
      </c>
      <c r="D475" s="24">
        <f>Data__2[[#This Row],[Project_1]]/J$4</f>
        <v>8.6755671511019899E-2</v>
      </c>
      <c r="E475" s="24">
        <f>Data__2[[#This Row],[Project_2]]/K$4</f>
        <v>2.9241069244900782E-2</v>
      </c>
      <c r="F475" s="24">
        <f>Data__2[[#This Row],[Market]]/L$4</f>
        <v>-0.20401984738483242</v>
      </c>
      <c r="G475" s="1">
        <f>L$24*Data__2[[#This Row],[Return Market]]*J$4</f>
        <v>-11.334435965824035</v>
      </c>
      <c r="H475" s="1">
        <f>M$24*Data__2[[#This Row],[Return Market]]*K$4</f>
        <v>-11.90115776411524</v>
      </c>
      <c r="I475" s="1"/>
      <c r="J475" s="1"/>
      <c r="K475" s="1"/>
      <c r="L475" s="1"/>
      <c r="M475" s="1"/>
    </row>
    <row r="476" spans="1:13">
      <c r="A476" s="1">
        <v>0.65308510050382473</v>
      </c>
      <c r="B476" s="1">
        <v>-13.817401747199934</v>
      </c>
      <c r="C476" s="1">
        <v>-143.7982605117335</v>
      </c>
      <c r="D476" s="24">
        <f>Data__2[[#This Row],[Project_1]]/J$4</f>
        <v>4.3539006700254986E-3</v>
      </c>
      <c r="E476" s="24">
        <f>Data__2[[#This Row],[Project_2]]/K$4</f>
        <v>-9.2116011647999554E-2</v>
      </c>
      <c r="F476" s="24">
        <f>Data__2[[#This Row],[Market]]/L$4</f>
        <v>-0.1437982605117335</v>
      </c>
      <c r="G476" s="1">
        <f>L$24*Data__2[[#This Row],[Return Market]]*J$4</f>
        <v>-7.9887922506518709</v>
      </c>
      <c r="H476" s="1">
        <f>M$24*Data__2[[#This Row],[Return Market]]*K$4</f>
        <v>-8.3882318631844655</v>
      </c>
      <c r="I476" s="1"/>
      <c r="J476" s="1"/>
      <c r="K476" s="1"/>
      <c r="L476" s="1"/>
      <c r="M476" s="1"/>
    </row>
    <row r="477" spans="1:13">
      <c r="A477" s="1">
        <v>1.8896700711993084</v>
      </c>
      <c r="B477" s="1">
        <v>15.595662191402058</v>
      </c>
      <c r="C477" s="1">
        <v>70.54683363222415</v>
      </c>
      <c r="D477" s="24">
        <f>Data__2[[#This Row],[Project_1]]/J$4</f>
        <v>1.2597800474662055E-2</v>
      </c>
      <c r="E477" s="24">
        <f>Data__2[[#This Row],[Project_2]]/K$4</f>
        <v>0.10397108127601372</v>
      </c>
      <c r="F477" s="24">
        <f>Data__2[[#This Row],[Market]]/L$4</f>
        <v>7.0546833632224151E-2</v>
      </c>
      <c r="G477" s="1">
        <f>L$24*Data__2[[#This Row],[Return Market]]*J$4</f>
        <v>3.9192685351235683</v>
      </c>
      <c r="H477" s="1">
        <f>M$24*Data__2[[#This Row],[Return Market]]*K$4</f>
        <v>4.115231961879747</v>
      </c>
      <c r="I477" s="1"/>
      <c r="J477" s="1"/>
      <c r="K477" s="1"/>
      <c r="L477" s="1"/>
      <c r="M477" s="1"/>
    </row>
    <row r="478" spans="1:13">
      <c r="A478" s="1">
        <v>29.782451225017915</v>
      </c>
      <c r="B478" s="1">
        <v>17.895854973299524</v>
      </c>
      <c r="C478" s="1">
        <v>81.415288422760398</v>
      </c>
      <c r="D478" s="24">
        <f>Data__2[[#This Row],[Project_1]]/J$4</f>
        <v>0.19854967483345276</v>
      </c>
      <c r="E478" s="24">
        <f>Data__2[[#This Row],[Project_2]]/K$4</f>
        <v>0.11930569982199683</v>
      </c>
      <c r="F478" s="24">
        <f>Data__2[[#This Row],[Market]]/L$4</f>
        <v>8.1415288422760398E-2</v>
      </c>
      <c r="G478" s="1">
        <f>L$24*Data__2[[#This Row],[Return Market]]*J$4</f>
        <v>4.5230715790422495</v>
      </c>
      <c r="H478" s="1">
        <f>M$24*Data__2[[#This Row],[Return Market]]*K$4</f>
        <v>4.7492251579943625</v>
      </c>
      <c r="I478" s="1"/>
      <c r="J478" s="1"/>
      <c r="K478" s="1"/>
      <c r="L478" s="1"/>
      <c r="M478" s="1"/>
    </row>
    <row r="479" spans="1:13">
      <c r="A479" s="1">
        <v>-29.347914220258261</v>
      </c>
      <c r="B479" s="1">
        <v>-16.072231183125645</v>
      </c>
      <c r="C479" s="1">
        <v>-186.95454222846359</v>
      </c>
      <c r="D479" s="24">
        <f>Data__2[[#This Row],[Project_1]]/J$4</f>
        <v>-0.19565276146838839</v>
      </c>
      <c r="E479" s="24">
        <f>Data__2[[#This Row],[Project_2]]/K$4</f>
        <v>-0.1071482078875043</v>
      </c>
      <c r="F479" s="24">
        <f>Data__2[[#This Row],[Market]]/L$4</f>
        <v>-0.18695454222846358</v>
      </c>
      <c r="G479" s="1">
        <f>L$24*Data__2[[#This Row],[Return Market]]*J$4</f>
        <v>-10.386363457136879</v>
      </c>
      <c r="H479" s="1">
        <f>M$24*Data__2[[#This Row],[Return Market]]*K$4</f>
        <v>-10.905681629993724</v>
      </c>
      <c r="I479" s="1"/>
      <c r="J479" s="1"/>
      <c r="K479" s="1"/>
      <c r="L479" s="1"/>
      <c r="M479" s="1"/>
    </row>
    <row r="480" spans="1:13">
      <c r="A480" s="1">
        <v>36.417697153698093</v>
      </c>
      <c r="B480" s="1">
        <v>31.017401368319216</v>
      </c>
      <c r="C480" s="1">
        <v>385.72363789352192</v>
      </c>
      <c r="D480" s="24">
        <f>Data__2[[#This Row],[Project_1]]/J$4</f>
        <v>0.24278464769132063</v>
      </c>
      <c r="E480" s="24">
        <f>Data__2[[#This Row],[Project_2]]/K$4</f>
        <v>0.20678267578879478</v>
      </c>
      <c r="F480" s="24">
        <f>Data__2[[#This Row],[Market]]/L$4</f>
        <v>0.38572363789352193</v>
      </c>
      <c r="G480" s="1">
        <f>L$24*Data__2[[#This Row],[Return Market]]*J$4</f>
        <v>21.429090994084579</v>
      </c>
      <c r="H480" s="1">
        <f>M$24*Data__2[[#This Row],[Return Market]]*K$4</f>
        <v>22.50054554378881</v>
      </c>
      <c r="I480" s="1"/>
      <c r="J480" s="1"/>
      <c r="K480" s="1"/>
      <c r="L480" s="1"/>
      <c r="M480" s="1"/>
    </row>
    <row r="481" spans="1:13">
      <c r="A481" s="1">
        <v>37.860024380292842</v>
      </c>
      <c r="B481" s="1">
        <v>34.900273393907234</v>
      </c>
      <c r="C481" s="1">
        <v>489.06391737417545</v>
      </c>
      <c r="D481" s="24">
        <f>Data__2[[#This Row],[Project_1]]/J$4</f>
        <v>0.25240016253528563</v>
      </c>
      <c r="E481" s="24">
        <f>Data__2[[#This Row],[Project_2]]/K$4</f>
        <v>0.23266848929271489</v>
      </c>
      <c r="F481" s="24">
        <f>Data__2[[#This Row],[Market]]/L$4</f>
        <v>0.48906391737417543</v>
      </c>
      <c r="G481" s="1">
        <f>L$24*Data__2[[#This Row],[Return Market]]*J$4</f>
        <v>27.170217631898666</v>
      </c>
      <c r="H481" s="1">
        <f>M$24*Data__2[[#This Row],[Return Market]]*K$4</f>
        <v>28.528728513493601</v>
      </c>
      <c r="I481" s="1"/>
      <c r="J481" s="1"/>
      <c r="K481" s="1"/>
      <c r="L481" s="1"/>
      <c r="M481" s="1"/>
    </row>
    <row r="482" spans="1:13">
      <c r="A482" s="1">
        <v>5.9414785790287343</v>
      </c>
      <c r="B482" s="1">
        <v>5.1200004515951001</v>
      </c>
      <c r="C482" s="1">
        <v>307.08268317534294</v>
      </c>
      <c r="D482" s="24">
        <f>Data__2[[#This Row],[Project_1]]/J$4</f>
        <v>3.9609857193524896E-2</v>
      </c>
      <c r="E482" s="24">
        <f>Data__2[[#This Row],[Project_2]]/K$4</f>
        <v>3.4133336343967334E-2</v>
      </c>
      <c r="F482" s="24">
        <f>Data__2[[#This Row],[Market]]/L$4</f>
        <v>0.30708268317534293</v>
      </c>
      <c r="G482" s="1">
        <f>L$24*Data__2[[#This Row],[Return Market]]*J$4</f>
        <v>17.060149065296848</v>
      </c>
      <c r="H482" s="1">
        <f>M$24*Data__2[[#This Row],[Return Market]]*K$4</f>
        <v>17.913156518561696</v>
      </c>
      <c r="I482" s="1"/>
      <c r="J482" s="1"/>
      <c r="K482" s="1"/>
      <c r="L482" s="1"/>
      <c r="M482" s="1"/>
    </row>
    <row r="483" spans="1:13">
      <c r="A483" s="1">
        <v>38.544782971620762</v>
      </c>
      <c r="B483" s="1">
        <v>21.625902009739054</v>
      </c>
      <c r="C483" s="1">
        <v>243.91575438021431</v>
      </c>
      <c r="D483" s="24">
        <f>Data__2[[#This Row],[Project_1]]/J$4</f>
        <v>0.25696521981080506</v>
      </c>
      <c r="E483" s="24">
        <f>Data__2[[#This Row],[Project_2]]/K$4</f>
        <v>0.14417268006492703</v>
      </c>
      <c r="F483" s="24">
        <f>Data__2[[#This Row],[Market]]/L$4</f>
        <v>0.24391575438021432</v>
      </c>
      <c r="G483" s="1">
        <f>L$24*Data__2[[#This Row],[Return Market]]*J$4</f>
        <v>13.550875243345256</v>
      </c>
      <c r="H483" s="1">
        <f>M$24*Data__2[[#This Row],[Return Market]]*K$4</f>
        <v>14.228419005512519</v>
      </c>
      <c r="I483" s="1"/>
      <c r="J483" s="1"/>
      <c r="K483" s="1"/>
      <c r="L483" s="1"/>
      <c r="M483" s="1"/>
    </row>
    <row r="484" spans="1:13">
      <c r="A484" s="1">
        <v>12.197912857089859</v>
      </c>
      <c r="B484" s="1">
        <v>6.3859734857367672</v>
      </c>
      <c r="C484" s="1">
        <v>159.21291569759421</v>
      </c>
      <c r="D484" s="24">
        <f>Data__2[[#This Row],[Project_1]]/J$4</f>
        <v>8.1319419047265723E-2</v>
      </c>
      <c r="E484" s="24">
        <f>Data__2[[#This Row],[Project_2]]/K$4</f>
        <v>4.2573156571578445E-2</v>
      </c>
      <c r="F484" s="24">
        <f>Data__2[[#This Row],[Market]]/L$4</f>
        <v>0.15921291569759422</v>
      </c>
      <c r="G484" s="1">
        <f>L$24*Data__2[[#This Row],[Return Market]]*J$4</f>
        <v>8.8451619831996897</v>
      </c>
      <c r="H484" s="1">
        <f>M$24*Data__2[[#This Row],[Return Market]]*K$4</f>
        <v>9.2874200823596755</v>
      </c>
      <c r="I484" s="1"/>
      <c r="J484" s="1"/>
      <c r="K484" s="1"/>
      <c r="L484" s="1"/>
      <c r="M484" s="1"/>
    </row>
    <row r="485" spans="1:13">
      <c r="A485" s="1">
        <v>8.0936893763682214</v>
      </c>
      <c r="B485" s="1">
        <v>0.48716720943852465</v>
      </c>
      <c r="C485" s="1">
        <v>-90.064429315347951</v>
      </c>
      <c r="D485" s="24">
        <f>Data__2[[#This Row],[Project_1]]/J$4</f>
        <v>5.3957929175788143E-2</v>
      </c>
      <c r="E485" s="24">
        <f>Data__2[[#This Row],[Project_2]]/K$4</f>
        <v>3.2477813962568311E-3</v>
      </c>
      <c r="F485" s="24">
        <f>Data__2[[#This Row],[Market]]/L$4</f>
        <v>-9.0064429315347957E-2</v>
      </c>
      <c r="G485" s="1">
        <f>L$24*Data__2[[#This Row],[Return Market]]*J$4</f>
        <v>-5.0035794064082255</v>
      </c>
      <c r="H485" s="1">
        <f>M$24*Data__2[[#This Row],[Return Market]]*K$4</f>
        <v>-5.253758376728638</v>
      </c>
      <c r="I485" s="1"/>
      <c r="J485" s="1"/>
      <c r="K485" s="1"/>
      <c r="L485" s="1"/>
      <c r="M485" s="1"/>
    </row>
    <row r="486" spans="1:13">
      <c r="A486" s="1">
        <v>31.675337704121645</v>
      </c>
      <c r="B486" s="1">
        <v>7.9488708804346704</v>
      </c>
      <c r="C486" s="1">
        <v>-18.121389294668575</v>
      </c>
      <c r="D486" s="24">
        <f>Data__2[[#This Row],[Project_1]]/J$4</f>
        <v>0.21116891802747764</v>
      </c>
      <c r="E486" s="24">
        <f>Data__2[[#This Row],[Project_2]]/K$4</f>
        <v>5.2992472536231135E-2</v>
      </c>
      <c r="F486" s="24">
        <f>Data__2[[#This Row],[Market]]/L$4</f>
        <v>-1.8121389294668576E-2</v>
      </c>
      <c r="G486" s="1">
        <f>L$24*Data__2[[#This Row],[Return Market]]*J$4</f>
        <v>-1.0067438497038108</v>
      </c>
      <c r="H486" s="1">
        <f>M$24*Data__2[[#This Row],[Return Market]]*K$4</f>
        <v>-1.0570810421890016</v>
      </c>
      <c r="I486" s="1"/>
      <c r="J486" s="1"/>
      <c r="K486" s="1"/>
      <c r="L486" s="1"/>
      <c r="M486" s="1"/>
    </row>
    <row r="487" spans="1:13">
      <c r="A487" s="1">
        <v>-11.134396909964408</v>
      </c>
      <c r="B487" s="1">
        <v>8.8755374850607911</v>
      </c>
      <c r="C487" s="1">
        <v>-136.83667309016829</v>
      </c>
      <c r="D487" s="24">
        <f>Data__2[[#This Row],[Project_1]]/J$4</f>
        <v>-7.4229312733096062E-2</v>
      </c>
      <c r="E487" s="24">
        <f>Data__2[[#This Row],[Project_2]]/K$4</f>
        <v>5.9170249900405272E-2</v>
      </c>
      <c r="F487" s="24">
        <f>Data__2[[#This Row],[Market]]/L$4</f>
        <v>-0.13683667309016828</v>
      </c>
      <c r="G487" s="1">
        <f>L$24*Data__2[[#This Row],[Return Market]]*J$4</f>
        <v>-7.6020373938982466</v>
      </c>
      <c r="H487" s="1">
        <f>M$24*Data__2[[#This Row],[Return Market]]*K$4</f>
        <v>-7.9821392635931598</v>
      </c>
      <c r="I487" s="1"/>
      <c r="J487" s="1"/>
      <c r="K487" s="1"/>
      <c r="L487" s="1"/>
      <c r="M487" s="1"/>
    </row>
    <row r="488" spans="1:13">
      <c r="A488" s="1">
        <v>-13.006327528402466</v>
      </c>
      <c r="B488" s="1">
        <v>-25.509880022826707</v>
      </c>
      <c r="C488" s="1">
        <v>-219.40615098336866</v>
      </c>
      <c r="D488" s="24">
        <f>Data__2[[#This Row],[Project_1]]/J$4</f>
        <v>-8.6708850189349776E-2</v>
      </c>
      <c r="E488" s="24">
        <f>Data__2[[#This Row],[Project_2]]/K$4</f>
        <v>-0.17006586681884472</v>
      </c>
      <c r="F488" s="24">
        <f>Data__2[[#This Row],[Market]]/L$4</f>
        <v>-0.21940615098336866</v>
      </c>
      <c r="G488" s="1">
        <f>L$24*Data__2[[#This Row],[Return Market]]*J$4</f>
        <v>-12.189230610187161</v>
      </c>
      <c r="H488" s="1">
        <f>M$24*Data__2[[#This Row],[Return Market]]*K$4</f>
        <v>-12.798692140696522</v>
      </c>
      <c r="I488" s="1"/>
      <c r="J488" s="1"/>
      <c r="K488" s="1"/>
      <c r="L488" s="1"/>
      <c r="M488" s="1"/>
    </row>
    <row r="489" spans="1:13">
      <c r="A489" s="1">
        <v>-4.0117720258933343</v>
      </c>
      <c r="B489" s="1">
        <v>1.9321765573609007</v>
      </c>
      <c r="C489" s="1">
        <v>1.2941126822329636</v>
      </c>
      <c r="D489" s="24">
        <f>Data__2[[#This Row],[Project_1]]/J$4</f>
        <v>-2.6745146839288896E-2</v>
      </c>
      <c r="E489" s="24">
        <f>Data__2[[#This Row],[Project_2]]/K$4</f>
        <v>1.2881177049072672E-2</v>
      </c>
      <c r="F489" s="24">
        <f>Data__2[[#This Row],[Market]]/L$4</f>
        <v>1.2941126822329635E-3</v>
      </c>
      <c r="G489" s="1">
        <f>L$24*Data__2[[#This Row],[Return Market]]*J$4</f>
        <v>7.18951490129425E-2</v>
      </c>
      <c r="H489" s="1">
        <f>M$24*Data__2[[#This Row],[Return Market]]*K$4</f>
        <v>7.5489906463589634E-2</v>
      </c>
      <c r="I489" s="1"/>
      <c r="J489" s="1"/>
      <c r="K489" s="1"/>
      <c r="L489" s="1"/>
      <c r="M489" s="1"/>
    </row>
    <row r="490" spans="1:13">
      <c r="A490" s="1">
        <v>-13.301174305153019</v>
      </c>
      <c r="B490" s="1">
        <v>0.25013595227742336</v>
      </c>
      <c r="C490" s="1">
        <v>-230.4293585205105</v>
      </c>
      <c r="D490" s="24">
        <f>Data__2[[#This Row],[Project_1]]/J$4</f>
        <v>-8.867449536768679E-2</v>
      </c>
      <c r="E490" s="24">
        <f>Data__2[[#This Row],[Project_2]]/K$4</f>
        <v>1.6675730151828223E-3</v>
      </c>
      <c r="F490" s="24">
        <f>Data__2[[#This Row],[Market]]/L$4</f>
        <v>-0.2304293585205105</v>
      </c>
      <c r="G490" s="1">
        <f>L$24*Data__2[[#This Row],[Return Market]]*J$4</f>
        <v>-12.801631028917265</v>
      </c>
      <c r="H490" s="1">
        <f>M$24*Data__2[[#This Row],[Return Market]]*K$4</f>
        <v>-13.441712580363131</v>
      </c>
      <c r="I490" s="1"/>
      <c r="J490" s="1"/>
      <c r="K490" s="1"/>
      <c r="L490" s="1"/>
      <c r="M490" s="1"/>
    </row>
    <row r="491" spans="1:13">
      <c r="A491" s="1">
        <v>-42.722441745044286</v>
      </c>
      <c r="B491" s="1">
        <v>-21.781559677226252</v>
      </c>
      <c r="C491" s="1">
        <v>-356.99231653464938</v>
      </c>
      <c r="D491" s="24">
        <f>Data__2[[#This Row],[Project_1]]/J$4</f>
        <v>-0.28481627830029521</v>
      </c>
      <c r="E491" s="24">
        <f>Data__2[[#This Row],[Project_2]]/K$4</f>
        <v>-0.14521039784817502</v>
      </c>
      <c r="F491" s="24">
        <f>Data__2[[#This Row],[Market]]/L$4</f>
        <v>-0.35699231653464936</v>
      </c>
      <c r="G491" s="1">
        <f>L$24*Data__2[[#This Row],[Return Market]]*J$4</f>
        <v>-19.832906474147208</v>
      </c>
      <c r="H491" s="1">
        <f>M$24*Data__2[[#This Row],[Return Market]]*K$4</f>
        <v>-20.824551797854575</v>
      </c>
      <c r="I491" s="1"/>
      <c r="J491" s="1"/>
      <c r="K491" s="1"/>
      <c r="L491" s="1"/>
      <c r="M491" s="1"/>
    </row>
    <row r="492" spans="1:13">
      <c r="A492" s="1">
        <v>-4.1592322643488639</v>
      </c>
      <c r="B492" s="1">
        <v>-14.268066797881453</v>
      </c>
      <c r="C492" s="1">
        <v>-132.18397276997831</v>
      </c>
      <c r="D492" s="24">
        <f>Data__2[[#This Row],[Project_1]]/J$4</f>
        <v>-2.7728215095659092E-2</v>
      </c>
      <c r="E492" s="24">
        <f>Data__2[[#This Row],[Project_2]]/K$4</f>
        <v>-9.5120445319209684E-2</v>
      </c>
      <c r="F492" s="24">
        <f>Data__2[[#This Row],[Market]]/L$4</f>
        <v>-0.13218397276997831</v>
      </c>
      <c r="G492" s="1">
        <f>L$24*Data__2[[#This Row],[Return Market]]*J$4</f>
        <v>-7.3435540427765815</v>
      </c>
      <c r="H492" s="1">
        <f>M$24*Data__2[[#This Row],[Return Market]]*K$4</f>
        <v>-7.710731744915412</v>
      </c>
      <c r="I492" s="1"/>
      <c r="J492" s="1"/>
      <c r="K492" s="1"/>
      <c r="L492" s="1"/>
      <c r="M492" s="1"/>
    </row>
    <row r="493" spans="1:13">
      <c r="A493" s="1">
        <v>4.1425652132774964</v>
      </c>
      <c r="B493" s="1">
        <v>19.244946367208819</v>
      </c>
      <c r="C493" s="1">
        <v>-28.827862945784602</v>
      </c>
      <c r="D493" s="24">
        <f>Data__2[[#This Row],[Project_1]]/J$4</f>
        <v>2.7617101421849977E-2</v>
      </c>
      <c r="E493" s="24">
        <f>Data__2[[#This Row],[Project_2]]/K$4</f>
        <v>0.1282996424480588</v>
      </c>
      <c r="F493" s="24">
        <f>Data__2[[#This Row],[Market]]/L$4</f>
        <v>-2.8827862945784603E-2</v>
      </c>
      <c r="G493" s="1">
        <f>L$24*Data__2[[#This Row],[Return Market]]*J$4</f>
        <v>-1.6015479414324798</v>
      </c>
      <c r="H493" s="1">
        <f>M$24*Data__2[[#This Row],[Return Market]]*K$4</f>
        <v>-1.6816253385041042</v>
      </c>
      <c r="I493" s="1"/>
      <c r="J493" s="1"/>
      <c r="K493" s="1"/>
      <c r="L493" s="1"/>
      <c r="M493" s="1"/>
    </row>
    <row r="494" spans="1:13">
      <c r="A494" s="1">
        <v>32.573450230662715</v>
      </c>
      <c r="B494" s="1">
        <v>27.857943942992957</v>
      </c>
      <c r="C494" s="1">
        <v>392.4104681344395</v>
      </c>
      <c r="D494" s="24">
        <f>Data__2[[#This Row],[Project_1]]/J$4</f>
        <v>0.21715633487108477</v>
      </c>
      <c r="E494" s="24">
        <f>Data__2[[#This Row],[Project_2]]/K$4</f>
        <v>0.18571962628661973</v>
      </c>
      <c r="F494" s="24">
        <f>Data__2[[#This Row],[Market]]/L$4</f>
        <v>0.39241046813443947</v>
      </c>
      <c r="G494" s="1">
        <f>L$24*Data__2[[#This Row],[Return Market]]*J$4</f>
        <v>21.800581563024441</v>
      </c>
      <c r="H494" s="1">
        <f>M$24*Data__2[[#This Row],[Return Market]]*K$4</f>
        <v>22.890610641175662</v>
      </c>
      <c r="I494" s="1"/>
      <c r="J494" s="1"/>
      <c r="K494" s="1"/>
      <c r="L494" s="1"/>
      <c r="M494" s="1"/>
    </row>
    <row r="495" spans="1:13">
      <c r="A495" s="1">
        <v>17.886803624650582</v>
      </c>
      <c r="B495" s="1">
        <v>21.596759536656176</v>
      </c>
      <c r="C495" s="1">
        <v>277.51616621886666</v>
      </c>
      <c r="D495" s="24">
        <f>Data__2[[#This Row],[Project_1]]/J$4</f>
        <v>0.11924535749767055</v>
      </c>
      <c r="E495" s="24">
        <f>Data__2[[#This Row],[Project_2]]/K$4</f>
        <v>0.14397839691104117</v>
      </c>
      <c r="F495" s="24">
        <f>Data__2[[#This Row],[Market]]/L$4</f>
        <v>0.27751616621886666</v>
      </c>
      <c r="G495" s="1">
        <f>L$24*Data__2[[#This Row],[Return Market]]*J$4</f>
        <v>15.417564789937053</v>
      </c>
      <c r="H495" s="1">
        <f>M$24*Data__2[[#This Row],[Return Market]]*K$4</f>
        <v>16.188443029433909</v>
      </c>
      <c r="I495" s="1"/>
      <c r="J495" s="1"/>
      <c r="K495" s="1"/>
      <c r="L495" s="1"/>
      <c r="M495" s="1"/>
    </row>
    <row r="496" spans="1:13">
      <c r="A496" s="1">
        <v>22.191806678118851</v>
      </c>
      <c r="B496" s="1">
        <v>5.9491897430151699</v>
      </c>
      <c r="C496" s="1">
        <v>-24.818565959424504</v>
      </c>
      <c r="D496" s="24">
        <f>Data__2[[#This Row],[Project_1]]/J$4</f>
        <v>0.14794537785412568</v>
      </c>
      <c r="E496" s="24">
        <f>Data__2[[#This Row],[Project_2]]/K$4</f>
        <v>3.9661264953434465E-2</v>
      </c>
      <c r="F496" s="24">
        <f>Data__2[[#This Row],[Market]]/L$4</f>
        <v>-2.4818565959424502E-2</v>
      </c>
      <c r="G496" s="1">
        <f>L$24*Data__2[[#This Row],[Return Market]]*J$4</f>
        <v>-1.3788092199680295</v>
      </c>
      <c r="H496" s="1">
        <f>M$24*Data__2[[#This Row],[Return Market]]*K$4</f>
        <v>-1.447749680966431</v>
      </c>
      <c r="I496" s="1"/>
      <c r="J496" s="1"/>
      <c r="K496" s="1"/>
      <c r="L496" s="1"/>
      <c r="M496" s="1"/>
    </row>
    <row r="497" spans="1:13">
      <c r="A497" s="1">
        <v>22.563696728277545</v>
      </c>
      <c r="B497" s="1">
        <v>14.726475167878736</v>
      </c>
      <c r="C497" s="1">
        <v>231.1055007646452</v>
      </c>
      <c r="D497" s="24">
        <f>Data__2[[#This Row],[Project_1]]/J$4</f>
        <v>0.15042464485518364</v>
      </c>
      <c r="E497" s="24">
        <f>Data__2[[#This Row],[Project_2]]/K$4</f>
        <v>9.8176501119191573E-2</v>
      </c>
      <c r="F497" s="24">
        <f>Data__2[[#This Row],[Market]]/L$4</f>
        <v>0.2311055007646452</v>
      </c>
      <c r="G497" s="1">
        <f>L$24*Data__2[[#This Row],[Return Market]]*J$4</f>
        <v>12.839194486924747</v>
      </c>
      <c r="H497" s="1">
        <f>M$24*Data__2[[#This Row],[Return Market]]*K$4</f>
        <v>13.481154211270988</v>
      </c>
      <c r="I497" s="1"/>
      <c r="J497" s="1"/>
      <c r="K497" s="1"/>
      <c r="L497" s="1"/>
      <c r="M497" s="1"/>
    </row>
    <row r="498" spans="1:13">
      <c r="A498" s="1">
        <v>6.3017821724211434</v>
      </c>
      <c r="B498" s="1">
        <v>17.633001401714957</v>
      </c>
      <c r="C498" s="1">
        <v>82.757698547035446</v>
      </c>
      <c r="D498" s="24">
        <f>Data__2[[#This Row],[Project_1]]/J$4</f>
        <v>4.2011881149474288E-2</v>
      </c>
      <c r="E498" s="24">
        <f>Data__2[[#This Row],[Project_2]]/K$4</f>
        <v>0.11755334267809971</v>
      </c>
      <c r="F498" s="24">
        <f>Data__2[[#This Row],[Market]]/L$4</f>
        <v>8.2757698547035449E-2</v>
      </c>
      <c r="G498" s="1">
        <f>L$24*Data__2[[#This Row],[Return Market]]*J$4</f>
        <v>4.5976499192797524</v>
      </c>
      <c r="H498" s="1">
        <f>M$24*Data__2[[#This Row],[Return Market]]*K$4</f>
        <v>4.8275324152437404</v>
      </c>
      <c r="I498" s="1"/>
      <c r="J498" s="1"/>
      <c r="K498" s="1"/>
      <c r="L498" s="1"/>
      <c r="M498" s="1"/>
    </row>
    <row r="499" spans="1:13">
      <c r="A499" s="1">
        <v>3.6655516458906963</v>
      </c>
      <c r="B499" s="1">
        <v>14.823747911741901</v>
      </c>
      <c r="C499" s="1">
        <v>-20.398829048441769</v>
      </c>
      <c r="D499" s="24">
        <f>Data__2[[#This Row],[Project_1]]/J$4</f>
        <v>2.4437010972604641E-2</v>
      </c>
      <c r="E499" s="24">
        <f>Data__2[[#This Row],[Project_2]]/K$4</f>
        <v>9.8824986078279331E-2</v>
      </c>
      <c r="F499" s="24">
        <f>Data__2[[#This Row],[Market]]/L$4</f>
        <v>-2.0398829048441768E-2</v>
      </c>
      <c r="G499" s="1">
        <f>L$24*Data__2[[#This Row],[Return Market]]*J$4</f>
        <v>-1.1332682804689884</v>
      </c>
      <c r="H499" s="1">
        <f>M$24*Data__2[[#This Row],[Return Market]]*K$4</f>
        <v>-1.1899316944924381</v>
      </c>
      <c r="I499" s="1"/>
      <c r="J499" s="1"/>
      <c r="K499" s="1"/>
      <c r="L499" s="1"/>
      <c r="M499" s="1"/>
    </row>
    <row r="500" spans="1:13">
      <c r="A500" s="1">
        <v>-6.7481337941061064</v>
      </c>
      <c r="B500" s="1">
        <v>14.693292571696576</v>
      </c>
      <c r="C500" s="1">
        <v>132.00361755439829</v>
      </c>
      <c r="D500" s="24">
        <f>Data__2[[#This Row],[Project_1]]/J$4</f>
        <v>-4.4987558627374045E-2</v>
      </c>
      <c r="E500" s="24">
        <f>Data__2[[#This Row],[Project_2]]/K$4</f>
        <v>9.7955283811310509E-2</v>
      </c>
      <c r="F500" s="24">
        <f>Data__2[[#This Row],[Market]]/L$4</f>
        <v>0.13200361755439829</v>
      </c>
      <c r="G500" s="1">
        <f>L$24*Data__2[[#This Row],[Return Market]]*J$4</f>
        <v>7.3335343085776916</v>
      </c>
      <c r="H500" s="1">
        <f>M$24*Data__2[[#This Row],[Return Market]]*K$4</f>
        <v>7.7002110240065775</v>
      </c>
      <c r="I500" s="1"/>
      <c r="J500" s="1"/>
      <c r="K500" s="1"/>
      <c r="L500" s="1"/>
      <c r="M500" s="1"/>
    </row>
    <row r="501" spans="1:13">
      <c r="A501" s="1">
        <v>9.803756168152379</v>
      </c>
      <c r="B501" s="1">
        <v>25.528466886411671</v>
      </c>
      <c r="C501" s="1">
        <v>174.81015626302454</v>
      </c>
      <c r="D501" s="24">
        <f>Data__2[[#This Row],[Project_1]]/J$4</f>
        <v>6.5358374454349194E-2</v>
      </c>
      <c r="E501" s="24">
        <f>Data__2[[#This Row],[Project_2]]/K$4</f>
        <v>0.17018977924274448</v>
      </c>
      <c r="F501" s="24">
        <f>Data__2[[#This Row],[Market]]/L$4</f>
        <v>0.17481015626302454</v>
      </c>
      <c r="G501" s="1">
        <f>L$24*Data__2[[#This Row],[Return Market]]*J$4</f>
        <v>9.7116753479458193</v>
      </c>
      <c r="H501" s="1">
        <f>M$24*Data__2[[#This Row],[Return Market]]*K$4</f>
        <v>10.197259115343112</v>
      </c>
      <c r="I501" s="1"/>
      <c r="J501" s="1"/>
      <c r="K501" s="1"/>
      <c r="L501" s="1"/>
      <c r="M501" s="1"/>
    </row>
    <row r="502" spans="1:13">
      <c r="A502" s="1">
        <v>29.453214554479221</v>
      </c>
      <c r="B502" s="1">
        <v>30.810287855486784</v>
      </c>
      <c r="C502" s="1">
        <v>321.3204381861637</v>
      </c>
      <c r="D502" s="24">
        <f>Data__2[[#This Row],[Project_1]]/J$4</f>
        <v>0.19635476369652813</v>
      </c>
      <c r="E502" s="24">
        <f>Data__2[[#This Row],[Project_2]]/K$4</f>
        <v>0.20540191903657856</v>
      </c>
      <c r="F502" s="24">
        <f>Data__2[[#This Row],[Market]]/L$4</f>
        <v>0.32132043818616368</v>
      </c>
      <c r="G502" s="1">
        <f>L$24*Data__2[[#This Row],[Return Market]]*J$4</f>
        <v>17.851135454786892</v>
      </c>
      <c r="H502" s="1">
        <f>M$24*Data__2[[#This Row],[Return Market]]*K$4</f>
        <v>18.743692227526239</v>
      </c>
      <c r="I502" s="1"/>
      <c r="J502" s="1"/>
      <c r="K502" s="1"/>
      <c r="L502" s="1"/>
      <c r="M502" s="1"/>
    </row>
    <row r="503" spans="1:13">
      <c r="A503" s="1">
        <v>22.252693410118702</v>
      </c>
      <c r="B503" s="1">
        <v>-12.11280853033356</v>
      </c>
      <c r="C503" s="1">
        <v>27.409031387134398</v>
      </c>
      <c r="D503" s="24">
        <f>Data__2[[#This Row],[Project_1]]/J$4</f>
        <v>0.14835128940079134</v>
      </c>
      <c r="E503" s="24">
        <f>Data__2[[#This Row],[Project_2]]/K$4</f>
        <v>-8.0752056868890393E-2</v>
      </c>
      <c r="F503" s="24">
        <f>Data__2[[#This Row],[Market]]/L$4</f>
        <v>2.7409031387134398E-2</v>
      </c>
      <c r="G503" s="1">
        <f>L$24*Data__2[[#This Row],[Return Market]]*J$4</f>
        <v>1.5227239659519129</v>
      </c>
      <c r="H503" s="1">
        <f>M$24*Data__2[[#This Row],[Return Market]]*K$4</f>
        <v>1.5988601642495088</v>
      </c>
      <c r="I503" s="1"/>
      <c r="J503" s="1"/>
      <c r="K503" s="1"/>
      <c r="L503" s="1"/>
      <c r="M503" s="1"/>
    </row>
    <row r="504" spans="1:13">
      <c r="A504" s="1">
        <v>16.819914680331742</v>
      </c>
      <c r="B504" s="1">
        <v>17.403394649334611</v>
      </c>
      <c r="C504" s="1">
        <v>25.020568965514059</v>
      </c>
      <c r="D504" s="24">
        <f>Data__2[[#This Row],[Project_1]]/J$4</f>
        <v>0.11213276453554495</v>
      </c>
      <c r="E504" s="24">
        <f>Data__2[[#This Row],[Project_2]]/K$4</f>
        <v>0.11602263099556408</v>
      </c>
      <c r="F504" s="24">
        <f>Data__2[[#This Row],[Market]]/L$4</f>
        <v>2.5020568965514058E-2</v>
      </c>
      <c r="G504" s="1">
        <f>L$24*Data__2[[#This Row],[Return Market]]*J$4</f>
        <v>1.3900316091952272</v>
      </c>
      <c r="H504" s="1">
        <f>M$24*Data__2[[#This Row],[Return Market]]*K$4</f>
        <v>1.4595331896549886</v>
      </c>
      <c r="I504" s="1"/>
      <c r="J504" s="1"/>
      <c r="K504" s="1"/>
      <c r="L504" s="1"/>
      <c r="M504" s="1"/>
    </row>
    <row r="505" spans="1:13">
      <c r="A505" s="1">
        <v>1.7808661044914498</v>
      </c>
      <c r="B505" s="1">
        <v>-16.528556562402869</v>
      </c>
      <c r="C505" s="1">
        <v>-211.52949177487284</v>
      </c>
      <c r="D505" s="24">
        <f>Data__2[[#This Row],[Project_1]]/J$4</f>
        <v>1.1872440696609666E-2</v>
      </c>
      <c r="E505" s="24">
        <f>Data__2[[#This Row],[Project_2]]/K$4</f>
        <v>-0.11019037708268579</v>
      </c>
      <c r="F505" s="24">
        <f>Data__2[[#This Row],[Market]]/L$4</f>
        <v>-0.21152949177487285</v>
      </c>
      <c r="G505" s="1">
        <f>L$24*Data__2[[#This Row],[Return Market]]*J$4</f>
        <v>-11.751638431937394</v>
      </c>
      <c r="H505" s="1">
        <f>M$24*Data__2[[#This Row],[Return Market]]*K$4</f>
        <v>-12.339220353534266</v>
      </c>
      <c r="I505" s="1"/>
      <c r="J505" s="1"/>
      <c r="K505" s="1"/>
      <c r="L505" s="1"/>
      <c r="M505" s="1"/>
    </row>
    <row r="506" spans="1:13">
      <c r="A506" s="1">
        <v>-5.6480316483381721</v>
      </c>
      <c r="B506" s="1">
        <v>12.411291976197726</v>
      </c>
      <c r="C506" s="1">
        <v>-2.5152437115485498</v>
      </c>
      <c r="D506" s="24">
        <f>Data__2[[#This Row],[Project_1]]/J$4</f>
        <v>-3.7653544322254477E-2</v>
      </c>
      <c r="E506" s="24">
        <f>Data__2[[#This Row],[Project_2]]/K$4</f>
        <v>8.2741946507984832E-2</v>
      </c>
      <c r="F506" s="24">
        <f>Data__2[[#This Row],[Market]]/L$4</f>
        <v>-2.5152437115485496E-3</v>
      </c>
      <c r="G506" s="1">
        <f>L$24*Data__2[[#This Row],[Return Market]]*J$4</f>
        <v>-0.13973576175269736</v>
      </c>
      <c r="H506" s="1">
        <f>M$24*Data__2[[#This Row],[Return Market]]*K$4</f>
        <v>-0.14672254984033223</v>
      </c>
      <c r="I506" s="1"/>
      <c r="J506" s="1"/>
      <c r="K506" s="1"/>
      <c r="L506" s="1"/>
      <c r="M506" s="1"/>
    </row>
    <row r="507" spans="1:13">
      <c r="A507" s="1">
        <v>9.5688088334315857</v>
      </c>
      <c r="B507" s="1">
        <v>-15.54715846623208</v>
      </c>
      <c r="C507" s="1">
        <v>112.11671814238889</v>
      </c>
      <c r="D507" s="24">
        <f>Data__2[[#This Row],[Project_1]]/J$4</f>
        <v>6.3792058889543909E-2</v>
      </c>
      <c r="E507" s="24">
        <f>Data__2[[#This Row],[Project_2]]/K$4</f>
        <v>-0.10364772310821387</v>
      </c>
      <c r="F507" s="24">
        <f>Data__2[[#This Row],[Market]]/L$4</f>
        <v>0.1121167181423889</v>
      </c>
      <c r="G507" s="1">
        <f>L$24*Data__2[[#This Row],[Return Market]]*J$4</f>
        <v>6.2287065634660577</v>
      </c>
      <c r="H507" s="1">
        <f>M$24*Data__2[[#This Row],[Return Market]]*K$4</f>
        <v>6.5401418916393608</v>
      </c>
      <c r="I507" s="1"/>
      <c r="J507" s="1"/>
      <c r="K507" s="1"/>
      <c r="L507" s="1"/>
      <c r="M507" s="1"/>
    </row>
    <row r="508" spans="1:13">
      <c r="A508" s="1">
        <v>41.602557260264092</v>
      </c>
      <c r="B508" s="1">
        <v>9.9963053453872437</v>
      </c>
      <c r="C508" s="1">
        <v>-430.6123332733705</v>
      </c>
      <c r="D508" s="24">
        <f>Data__2[[#This Row],[Project_1]]/J$4</f>
        <v>0.27735038173509396</v>
      </c>
      <c r="E508" s="24">
        <f>Data__2[[#This Row],[Project_2]]/K$4</f>
        <v>6.6642035635914962E-2</v>
      </c>
      <c r="F508" s="24">
        <f>Data__2[[#This Row],[Market]]/L$4</f>
        <v>-0.43061233327337051</v>
      </c>
      <c r="G508" s="1">
        <f>L$24*Data__2[[#This Row],[Return Market]]*J$4</f>
        <v>-23.922907404076167</v>
      </c>
      <c r="H508" s="1">
        <f>M$24*Data__2[[#This Row],[Return Market]]*K$4</f>
        <v>-25.119052774279979</v>
      </c>
      <c r="I508" s="1"/>
      <c r="J508" s="1"/>
      <c r="K508" s="1"/>
      <c r="L508" s="1"/>
      <c r="M508" s="1"/>
    </row>
    <row r="509" spans="1:13">
      <c r="A509" s="1">
        <v>-15.656983947668607</v>
      </c>
      <c r="B509" s="1">
        <v>9.6713639156677083</v>
      </c>
      <c r="C509" s="1">
        <v>199.21966271507031</v>
      </c>
      <c r="D509" s="24">
        <f>Data__2[[#This Row],[Project_1]]/J$4</f>
        <v>-0.10437989298445738</v>
      </c>
      <c r="E509" s="24">
        <f>Data__2[[#This Row],[Project_2]]/K$4</f>
        <v>6.4475759437784719E-2</v>
      </c>
      <c r="F509" s="24">
        <f>Data__2[[#This Row],[Market]]/L$4</f>
        <v>0.1992196627150703</v>
      </c>
      <c r="G509" s="1">
        <f>L$24*Data__2[[#This Row],[Return Market]]*J$4</f>
        <v>11.067759039726141</v>
      </c>
      <c r="H509" s="1">
        <f>M$24*Data__2[[#This Row],[Return Market]]*K$4</f>
        <v>11.621146991712449</v>
      </c>
      <c r="I509" s="1"/>
      <c r="J509" s="1"/>
      <c r="K509" s="1"/>
      <c r="L509" s="1"/>
      <c r="M509" s="1"/>
    </row>
    <row r="510" spans="1:13">
      <c r="A510" s="1">
        <v>2.1576829420959438</v>
      </c>
      <c r="B510" s="1">
        <v>-4.7082573375458274</v>
      </c>
      <c r="C510" s="1">
        <v>-186.94247846756065</v>
      </c>
      <c r="D510" s="24">
        <f>Data__2[[#This Row],[Project_1]]/J$4</f>
        <v>1.4384552947306293E-2</v>
      </c>
      <c r="E510" s="24">
        <f>Data__2[[#This Row],[Project_2]]/K$4</f>
        <v>-3.1388382250305519E-2</v>
      </c>
      <c r="F510" s="24">
        <f>Data__2[[#This Row],[Market]]/L$4</f>
        <v>-0.18694247846756065</v>
      </c>
      <c r="G510" s="1">
        <f>L$24*Data__2[[#This Row],[Return Market]]*J$4</f>
        <v>-10.385693248197825</v>
      </c>
      <c r="H510" s="1">
        <f>M$24*Data__2[[#This Row],[Return Market]]*K$4</f>
        <v>-10.904977910607718</v>
      </c>
      <c r="I510" s="1"/>
      <c r="J510" s="1"/>
      <c r="K510" s="1"/>
      <c r="L510" s="1"/>
      <c r="M510" s="1"/>
    </row>
    <row r="511" spans="1:13">
      <c r="A511" s="1">
        <v>-17.986812225509254</v>
      </c>
      <c r="B511" s="1">
        <v>-2.5207549346814933</v>
      </c>
      <c r="C511" s="1">
        <v>-235.06422060453394</v>
      </c>
      <c r="D511" s="24">
        <f>Data__2[[#This Row],[Project_1]]/J$4</f>
        <v>-0.11991208150339502</v>
      </c>
      <c r="E511" s="24">
        <f>Data__2[[#This Row],[Project_2]]/K$4</f>
        <v>-1.6805032897876621E-2</v>
      </c>
      <c r="F511" s="24">
        <f>Data__2[[#This Row],[Market]]/L$4</f>
        <v>-0.23506422060453394</v>
      </c>
      <c r="G511" s="1">
        <f>L$24*Data__2[[#This Row],[Return Market]]*J$4</f>
        <v>-13.059123366918568</v>
      </c>
      <c r="H511" s="1">
        <f>M$24*Data__2[[#This Row],[Return Market]]*K$4</f>
        <v>-13.712079535264497</v>
      </c>
      <c r="I511" s="1"/>
      <c r="J511" s="1"/>
      <c r="K511" s="1"/>
      <c r="L511" s="1"/>
      <c r="M511" s="1"/>
    </row>
    <row r="512" spans="1:13">
      <c r="A512" s="1">
        <v>25.864724215267167</v>
      </c>
      <c r="B512" s="1">
        <v>21.42780276099306</v>
      </c>
      <c r="C512" s="1">
        <v>326.45287922667518</v>
      </c>
      <c r="D512" s="24">
        <f>Data__2[[#This Row],[Project_1]]/J$4</f>
        <v>0.17243149476844777</v>
      </c>
      <c r="E512" s="24">
        <f>Data__2[[#This Row],[Project_2]]/K$4</f>
        <v>0.1428520184066204</v>
      </c>
      <c r="F512" s="24">
        <f>Data__2[[#This Row],[Market]]/L$4</f>
        <v>0.32645287922667515</v>
      </c>
      <c r="G512" s="1">
        <f>L$24*Data__2[[#This Row],[Return Market]]*J$4</f>
        <v>18.136271068148641</v>
      </c>
      <c r="H512" s="1">
        <f>M$24*Data__2[[#This Row],[Return Market]]*K$4</f>
        <v>19.043084621556076</v>
      </c>
      <c r="I512" s="1"/>
      <c r="J512" s="1"/>
      <c r="K512" s="1"/>
      <c r="L512" s="1"/>
      <c r="M512" s="1"/>
    </row>
    <row r="513" spans="1:13">
      <c r="A513" s="1">
        <v>10.593841688897594</v>
      </c>
      <c r="B513" s="1">
        <v>-5.841850533545502</v>
      </c>
      <c r="C513" s="1">
        <v>23.63715590354839</v>
      </c>
      <c r="D513" s="24">
        <f>Data__2[[#This Row],[Project_1]]/J$4</f>
        <v>7.0625611259317295E-2</v>
      </c>
      <c r="E513" s="24">
        <f>Data__2[[#This Row],[Project_2]]/K$4</f>
        <v>-3.894567022363668E-2</v>
      </c>
      <c r="F513" s="24">
        <f>Data__2[[#This Row],[Market]]/L$4</f>
        <v>2.3637155903548389E-2</v>
      </c>
      <c r="G513" s="1">
        <f>L$24*Data__2[[#This Row],[Return Market]]*J$4</f>
        <v>1.3131753279749121</v>
      </c>
      <c r="H513" s="1">
        <f>M$24*Data__2[[#This Row],[Return Market]]*K$4</f>
        <v>1.3788340943736577</v>
      </c>
      <c r="I513" s="1"/>
      <c r="J513" s="1"/>
      <c r="K513" s="1"/>
      <c r="L513" s="1"/>
      <c r="M513" s="1"/>
    </row>
    <row r="514" spans="1:13">
      <c r="A514" s="1">
        <v>9.7221862167609121</v>
      </c>
      <c r="B514" s="1">
        <v>-10.689548769633124</v>
      </c>
      <c r="C514" s="1">
        <v>-99.297920691808372</v>
      </c>
      <c r="D514" s="24">
        <f>Data__2[[#This Row],[Project_1]]/J$4</f>
        <v>6.4814574778406076E-2</v>
      </c>
      <c r="E514" s="24">
        <f>Data__2[[#This Row],[Project_2]]/K$4</f>
        <v>-7.1263658464220822E-2</v>
      </c>
      <c r="F514" s="24">
        <f>Data__2[[#This Row],[Market]]/L$4</f>
        <v>-9.9297920691808372E-2</v>
      </c>
      <c r="G514" s="1">
        <f>L$24*Data__2[[#This Row],[Return Market]]*J$4</f>
        <v>-5.5165511495449158</v>
      </c>
      <c r="H514" s="1">
        <f>M$24*Data__2[[#This Row],[Return Market]]*K$4</f>
        <v>-5.7923787070221628</v>
      </c>
      <c r="I514" s="1"/>
      <c r="J514" s="1"/>
      <c r="K514" s="1"/>
      <c r="L514" s="1"/>
      <c r="M514" s="1"/>
    </row>
    <row r="515" spans="1:13">
      <c r="A515" s="1">
        <v>-14.711504436288411</v>
      </c>
      <c r="B515" s="1">
        <v>-17.329924366683798</v>
      </c>
      <c r="C515" s="1">
        <v>18.643361287170137</v>
      </c>
      <c r="D515" s="24">
        <f>Data__2[[#This Row],[Project_1]]/J$4</f>
        <v>-9.8076696241922737E-2</v>
      </c>
      <c r="E515" s="24">
        <f>Data__2[[#This Row],[Project_2]]/K$4</f>
        <v>-0.11553282911122532</v>
      </c>
      <c r="F515" s="24">
        <f>Data__2[[#This Row],[Market]]/L$4</f>
        <v>1.8643361287170136E-2</v>
      </c>
      <c r="G515" s="1">
        <f>L$24*Data__2[[#This Row],[Return Market]]*J$4</f>
        <v>1.0357422937316754</v>
      </c>
      <c r="H515" s="1">
        <f>M$24*Data__2[[#This Row],[Return Market]]*K$4</f>
        <v>1.0875294084182594</v>
      </c>
      <c r="I515" s="1"/>
      <c r="J515" s="1"/>
      <c r="K515" s="1"/>
      <c r="L515" s="1"/>
      <c r="M515" s="1"/>
    </row>
    <row r="516" spans="1:13">
      <c r="A516" s="1">
        <v>-7.433630604318509</v>
      </c>
      <c r="B516" s="1">
        <v>22.759525670684006</v>
      </c>
      <c r="C516" s="1">
        <v>-29.19664496503195</v>
      </c>
      <c r="D516" s="24">
        <f>Data__2[[#This Row],[Project_1]]/J$4</f>
        <v>-4.9557537362123392E-2</v>
      </c>
      <c r="E516" s="24">
        <f>Data__2[[#This Row],[Project_2]]/K$4</f>
        <v>0.15173017113789336</v>
      </c>
      <c r="F516" s="24">
        <f>Data__2[[#This Row],[Market]]/L$4</f>
        <v>-2.9196644965031951E-2</v>
      </c>
      <c r="G516" s="1">
        <f>L$24*Data__2[[#This Row],[Return Market]]*J$4</f>
        <v>-1.622035831390666</v>
      </c>
      <c r="H516" s="1">
        <f>M$24*Data__2[[#This Row],[Return Market]]*K$4</f>
        <v>-1.7031376229601993</v>
      </c>
      <c r="I516" s="1"/>
      <c r="J516" s="1"/>
      <c r="K516" s="1"/>
      <c r="L516" s="1"/>
      <c r="M516" s="1"/>
    </row>
    <row r="517" spans="1:13">
      <c r="A517" s="1">
        <v>-20.446560838283911</v>
      </c>
      <c r="B517" s="1">
        <v>-6.5592967296391649</v>
      </c>
      <c r="C517" s="1">
        <v>-64.599827503846484</v>
      </c>
      <c r="D517" s="24">
        <f>Data__2[[#This Row],[Project_1]]/J$4</f>
        <v>-0.13631040558855942</v>
      </c>
      <c r="E517" s="24">
        <f>Data__2[[#This Row],[Project_2]]/K$4</f>
        <v>-4.3728644864261097E-2</v>
      </c>
      <c r="F517" s="24">
        <f>Data__2[[#This Row],[Market]]/L$4</f>
        <v>-6.4599827503846491E-2</v>
      </c>
      <c r="G517" s="1">
        <f>L$24*Data__2[[#This Row],[Return Market]]*J$4</f>
        <v>-3.5888793057692538</v>
      </c>
      <c r="H517" s="1">
        <f>M$24*Data__2[[#This Row],[Return Market]]*K$4</f>
        <v>-3.7683232710577172</v>
      </c>
      <c r="I517" s="1"/>
      <c r="J517" s="1"/>
      <c r="K517" s="1"/>
      <c r="L517" s="1"/>
      <c r="M517" s="1"/>
    </row>
    <row r="518" spans="1:13">
      <c r="A518" s="1">
        <v>18.186433763427903</v>
      </c>
      <c r="B518" s="1">
        <v>12.30330385977226</v>
      </c>
      <c r="C518" s="1">
        <v>63.220681389400745</v>
      </c>
      <c r="D518" s="24">
        <f>Data__2[[#This Row],[Project_1]]/J$4</f>
        <v>0.12124289175618602</v>
      </c>
      <c r="E518" s="24">
        <f>Data__2[[#This Row],[Project_2]]/K$4</f>
        <v>8.2022025731815065E-2</v>
      </c>
      <c r="F518" s="24">
        <f>Data__2[[#This Row],[Market]]/L$4</f>
        <v>6.3220681389400749E-2</v>
      </c>
      <c r="G518" s="1">
        <f>L$24*Data__2[[#This Row],[Return Market]]*J$4</f>
        <v>3.5122600771889347</v>
      </c>
      <c r="H518" s="1">
        <f>M$24*Data__2[[#This Row],[Return Market]]*K$4</f>
        <v>3.687873081048382</v>
      </c>
      <c r="I518" s="1"/>
      <c r="J518" s="1"/>
      <c r="K518" s="1"/>
      <c r="L518" s="1"/>
      <c r="M518" s="1"/>
    </row>
    <row r="519" spans="1:13">
      <c r="A519" s="1">
        <v>37.899209964499576</v>
      </c>
      <c r="B519" s="1">
        <v>3.5239359711192897</v>
      </c>
      <c r="C519" s="1">
        <v>25.995502630273151</v>
      </c>
      <c r="D519" s="24">
        <f>Data__2[[#This Row],[Project_1]]/J$4</f>
        <v>0.25266139976333052</v>
      </c>
      <c r="E519" s="24">
        <f>Data__2[[#This Row],[Project_2]]/K$4</f>
        <v>2.3492906474128598E-2</v>
      </c>
      <c r="F519" s="24">
        <f>Data__2[[#This Row],[Market]]/L$4</f>
        <v>2.599550263027315E-2</v>
      </c>
      <c r="G519" s="1">
        <f>L$24*Data__2[[#This Row],[Return Market]]*J$4</f>
        <v>1.4441945905707321</v>
      </c>
      <c r="H519" s="1">
        <f>M$24*Data__2[[#This Row],[Return Market]]*K$4</f>
        <v>1.5164043200992692</v>
      </c>
      <c r="I519" s="1"/>
      <c r="J519" s="1"/>
      <c r="K519" s="1"/>
      <c r="L519" s="1"/>
      <c r="M519" s="1"/>
    </row>
    <row r="520" spans="1:13">
      <c r="A520" s="1">
        <v>24.999318055630265</v>
      </c>
      <c r="B520" s="1">
        <v>15.154929491908547</v>
      </c>
      <c r="C520" s="1">
        <v>192.46590469642535</v>
      </c>
      <c r="D520" s="24">
        <f>Data__2[[#This Row],[Project_1]]/J$4</f>
        <v>0.16666212037086844</v>
      </c>
      <c r="E520" s="24">
        <f>Data__2[[#This Row],[Project_2]]/K$4</f>
        <v>0.10103286327939032</v>
      </c>
      <c r="F520" s="24">
        <f>Data__2[[#This Row],[Market]]/L$4</f>
        <v>0.19246590469642536</v>
      </c>
      <c r="G520" s="1">
        <f>L$24*Data__2[[#This Row],[Return Market]]*J$4</f>
        <v>10.692550260912533</v>
      </c>
      <c r="H520" s="1">
        <f>M$24*Data__2[[#This Row],[Return Market]]*K$4</f>
        <v>11.227177773958159</v>
      </c>
      <c r="I520" s="1"/>
      <c r="J520" s="1"/>
      <c r="K520" s="1"/>
      <c r="L520" s="1"/>
      <c r="M520" s="1"/>
    </row>
    <row r="521" spans="1:13">
      <c r="A521" s="1">
        <v>48.954011250864163</v>
      </c>
      <c r="B521" s="1">
        <v>30.05681759239739</v>
      </c>
      <c r="C521" s="1">
        <v>290.13175425905899</v>
      </c>
      <c r="D521" s="24">
        <f>Data__2[[#This Row],[Project_1]]/J$4</f>
        <v>0.32636007500576109</v>
      </c>
      <c r="E521" s="24">
        <f>Data__2[[#This Row],[Project_2]]/K$4</f>
        <v>0.20037878394931594</v>
      </c>
      <c r="F521" s="24">
        <f>Data__2[[#This Row],[Market]]/L$4</f>
        <v>0.29013175425905902</v>
      </c>
      <c r="G521" s="1">
        <f>L$24*Data__2[[#This Row],[Return Market]]*J$4</f>
        <v>16.118430792169963</v>
      </c>
      <c r="H521" s="1">
        <f>M$24*Data__2[[#This Row],[Return Market]]*K$4</f>
        <v>16.924352331778465</v>
      </c>
      <c r="I521" s="1"/>
      <c r="J521" s="1"/>
      <c r="K521" s="1"/>
      <c r="L521" s="1"/>
      <c r="M521" s="1"/>
    </row>
    <row r="522" spans="1:13">
      <c r="A522" s="1">
        <v>24.263831015917248</v>
      </c>
      <c r="B522" s="1">
        <v>18.332536773131331</v>
      </c>
      <c r="C522" s="1">
        <v>111.04823556384585</v>
      </c>
      <c r="D522" s="24">
        <f>Data__2[[#This Row],[Project_1]]/J$4</f>
        <v>0.16175887343944831</v>
      </c>
      <c r="E522" s="24">
        <f>Data__2[[#This Row],[Project_2]]/K$4</f>
        <v>0.12221691182087553</v>
      </c>
      <c r="F522" s="24">
        <f>Data__2[[#This Row],[Market]]/L$4</f>
        <v>0.11104823556384585</v>
      </c>
      <c r="G522" s="1">
        <f>L$24*Data__2[[#This Row],[Return Market]]*J$4</f>
        <v>6.1693464202136656</v>
      </c>
      <c r="H522" s="1">
        <f>M$24*Data__2[[#This Row],[Return Market]]*K$4</f>
        <v>6.4778137412243497</v>
      </c>
      <c r="I522" s="1"/>
      <c r="J522" s="1"/>
      <c r="K522" s="1"/>
      <c r="L522" s="1"/>
      <c r="M522" s="1"/>
    </row>
    <row r="523" spans="1:13">
      <c r="A523" s="1">
        <v>2.2884768329165404</v>
      </c>
      <c r="B523" s="1">
        <v>13.710048128369358</v>
      </c>
      <c r="C523" s="1">
        <v>148.84551695258585</v>
      </c>
      <c r="D523" s="24">
        <f>Data__2[[#This Row],[Project_1]]/J$4</f>
        <v>1.5256512219443602E-2</v>
      </c>
      <c r="E523" s="24">
        <f>Data__2[[#This Row],[Project_2]]/K$4</f>
        <v>9.1400320855795719E-2</v>
      </c>
      <c r="F523" s="24">
        <f>Data__2[[#This Row],[Market]]/L$4</f>
        <v>0.14884551695258585</v>
      </c>
      <c r="G523" s="1">
        <f>L$24*Data__2[[#This Row],[Return Market]]*J$4</f>
        <v>8.2691953862547791</v>
      </c>
      <c r="H523" s="1">
        <f>M$24*Data__2[[#This Row],[Return Market]]*K$4</f>
        <v>8.6826551555675184</v>
      </c>
      <c r="I523" s="1"/>
      <c r="J523" s="1"/>
      <c r="K523" s="1"/>
      <c r="L523" s="1"/>
      <c r="M523" s="1"/>
    </row>
    <row r="524" spans="1:13">
      <c r="A524" s="1">
        <v>19.962811357670258</v>
      </c>
      <c r="B524" s="1">
        <v>4.5987921650888808</v>
      </c>
      <c r="C524" s="1">
        <v>-101.03338476101882</v>
      </c>
      <c r="D524" s="24">
        <f>Data__2[[#This Row],[Project_1]]/J$4</f>
        <v>0.13308540905113506</v>
      </c>
      <c r="E524" s="24">
        <f>Data__2[[#This Row],[Project_2]]/K$4</f>
        <v>3.0658614433925872E-2</v>
      </c>
      <c r="F524" s="24">
        <f>Data__2[[#This Row],[Market]]/L$4</f>
        <v>-0.10103338476101882</v>
      </c>
      <c r="G524" s="1">
        <f>L$24*Data__2[[#This Row],[Return Market]]*J$4</f>
        <v>-5.6129658200566084</v>
      </c>
      <c r="H524" s="1">
        <f>M$24*Data__2[[#This Row],[Return Market]]*K$4</f>
        <v>-5.8936141110594384</v>
      </c>
      <c r="I524" s="1"/>
      <c r="J524" s="1"/>
      <c r="K524" s="1"/>
      <c r="L524" s="1"/>
      <c r="M524" s="1"/>
    </row>
    <row r="525" spans="1:13">
      <c r="A525" s="1">
        <v>45.199252197127372</v>
      </c>
      <c r="B525" s="1">
        <v>30.257560278462151</v>
      </c>
      <c r="C525" s="1">
        <v>324.45631719817516</v>
      </c>
      <c r="D525" s="24">
        <f>Data__2[[#This Row],[Project_1]]/J$4</f>
        <v>0.30132834798084912</v>
      </c>
      <c r="E525" s="24">
        <f>Data__2[[#This Row],[Project_2]]/K$4</f>
        <v>0.20171706852308099</v>
      </c>
      <c r="F525" s="24">
        <f>Data__2[[#This Row],[Market]]/L$4</f>
        <v>0.32445631719817514</v>
      </c>
      <c r="G525" s="1">
        <f>L$24*Data__2[[#This Row],[Return Market]]*J$4</f>
        <v>18.025350955454194</v>
      </c>
      <c r="H525" s="1">
        <f>M$24*Data__2[[#This Row],[Return Market]]*K$4</f>
        <v>18.926618503226909</v>
      </c>
      <c r="I525" s="1"/>
      <c r="J525" s="1"/>
      <c r="K525" s="1"/>
      <c r="L525" s="1"/>
      <c r="M525" s="1"/>
    </row>
    <row r="526" spans="1:13">
      <c r="A526" s="1">
        <v>-1.3810711778233085</v>
      </c>
      <c r="B526" s="1">
        <v>-0.9458477774267422</v>
      </c>
      <c r="C526" s="1">
        <v>-65.505476506684374</v>
      </c>
      <c r="D526" s="24">
        <f>Data__2[[#This Row],[Project_1]]/J$4</f>
        <v>-9.2071411854887236E-3</v>
      </c>
      <c r="E526" s="24">
        <f>Data__2[[#This Row],[Project_2]]/K$4</f>
        <v>-6.3056518495116145E-3</v>
      </c>
      <c r="F526" s="24">
        <f>Data__2[[#This Row],[Market]]/L$4</f>
        <v>-6.5505476506684368E-2</v>
      </c>
      <c r="G526" s="1">
        <f>L$24*Data__2[[#This Row],[Return Market]]*J$4</f>
        <v>-3.639193139260247</v>
      </c>
      <c r="H526" s="1">
        <f>M$24*Data__2[[#This Row],[Return Market]]*K$4</f>
        <v>-3.8211527962232599</v>
      </c>
      <c r="I526" s="1"/>
      <c r="J526" s="1"/>
      <c r="K526" s="1"/>
      <c r="L526" s="1"/>
      <c r="M526" s="1"/>
    </row>
    <row r="527" spans="1:13">
      <c r="A527" s="1">
        <v>5.3847637904261401</v>
      </c>
      <c r="B527" s="1">
        <v>-10.487647024243675</v>
      </c>
      <c r="C527" s="1">
        <v>93.826564313425408</v>
      </c>
      <c r="D527" s="24">
        <f>Data__2[[#This Row],[Project_1]]/J$4</f>
        <v>3.5898425269507601E-2</v>
      </c>
      <c r="E527" s="24">
        <f>Data__2[[#This Row],[Project_2]]/K$4</f>
        <v>-6.9917646828291158E-2</v>
      </c>
      <c r="F527" s="24">
        <f>Data__2[[#This Row],[Market]]/L$4</f>
        <v>9.3826564313425412E-2</v>
      </c>
      <c r="G527" s="1">
        <f>L$24*Data__2[[#This Row],[Return Market]]*J$4</f>
        <v>5.2125869063014179</v>
      </c>
      <c r="H527" s="1">
        <f>M$24*Data__2[[#This Row],[Return Market]]*K$4</f>
        <v>5.4732162516164902</v>
      </c>
      <c r="I527" s="1"/>
      <c r="J527" s="1"/>
      <c r="K527" s="1"/>
      <c r="L527" s="1"/>
      <c r="M527" s="1"/>
    </row>
    <row r="528" spans="1:13">
      <c r="A528" s="1">
        <v>40.524617416089768</v>
      </c>
      <c r="B528" s="1">
        <v>43.977006830252357</v>
      </c>
      <c r="C528" s="1">
        <v>275.6477169331306</v>
      </c>
      <c r="D528" s="24">
        <f>Data__2[[#This Row],[Project_1]]/J$4</f>
        <v>0.2701641161072651</v>
      </c>
      <c r="E528" s="24">
        <f>Data__2[[#This Row],[Project_2]]/K$4</f>
        <v>0.2931800455350157</v>
      </c>
      <c r="F528" s="24">
        <f>Data__2[[#This Row],[Market]]/L$4</f>
        <v>0.27564771693313062</v>
      </c>
      <c r="G528" s="1">
        <f>L$24*Data__2[[#This Row],[Return Market]]*J$4</f>
        <v>15.313762051840607</v>
      </c>
      <c r="H528" s="1">
        <f>M$24*Data__2[[#This Row],[Return Market]]*K$4</f>
        <v>16.079450154432639</v>
      </c>
      <c r="I528" s="1"/>
      <c r="J528" s="1"/>
      <c r="K528" s="1"/>
      <c r="L528" s="1"/>
      <c r="M528" s="1"/>
    </row>
    <row r="529" spans="1:13">
      <c r="A529" s="1">
        <v>10.716352706907996</v>
      </c>
      <c r="B529" s="1">
        <v>4.3930495675349537</v>
      </c>
      <c r="C529" s="1">
        <v>39.760358855629356</v>
      </c>
      <c r="D529" s="24">
        <f>Data__2[[#This Row],[Project_1]]/J$4</f>
        <v>7.1442351379386634E-2</v>
      </c>
      <c r="E529" s="24">
        <f>Data__2[[#This Row],[Project_2]]/K$4</f>
        <v>2.928699711689969E-2</v>
      </c>
      <c r="F529" s="24">
        <f>Data__2[[#This Row],[Market]]/L$4</f>
        <v>3.9760358855629355E-2</v>
      </c>
      <c r="G529" s="1">
        <f>L$24*Data__2[[#This Row],[Return Market]]*J$4</f>
        <v>2.2089088253127445</v>
      </c>
      <c r="H529" s="1">
        <f>M$24*Data__2[[#This Row],[Return Market]]*K$4</f>
        <v>2.3193542665783822</v>
      </c>
      <c r="I529" s="1"/>
      <c r="J529" s="1"/>
      <c r="K529" s="1"/>
      <c r="L529" s="1"/>
      <c r="M529" s="1"/>
    </row>
    <row r="530" spans="1:13">
      <c r="A530" s="1">
        <v>53.167163043439658</v>
      </c>
      <c r="B530" s="1">
        <v>40.427220287460884</v>
      </c>
      <c r="C530" s="1">
        <v>433.78518504923733</v>
      </c>
      <c r="D530" s="24">
        <f>Data__2[[#This Row],[Project_1]]/J$4</f>
        <v>0.35444775362293107</v>
      </c>
      <c r="E530" s="24">
        <f>Data__2[[#This Row],[Project_2]]/K$4</f>
        <v>0.26951480191640587</v>
      </c>
      <c r="F530" s="24">
        <f>Data__2[[#This Row],[Market]]/L$4</f>
        <v>0.43378518504923735</v>
      </c>
      <c r="G530" s="1">
        <f>L$24*Data__2[[#This Row],[Return Market]]*J$4</f>
        <v>24.099176947179878</v>
      </c>
      <c r="H530" s="1">
        <f>M$24*Data__2[[#This Row],[Return Market]]*K$4</f>
        <v>25.30413579453888</v>
      </c>
      <c r="I530" s="1"/>
      <c r="J530" s="1"/>
      <c r="K530" s="1"/>
      <c r="L530" s="1"/>
      <c r="M530" s="1"/>
    </row>
    <row r="531" spans="1:13">
      <c r="A531" s="1">
        <v>34.058870891270629</v>
      </c>
      <c r="B531" s="1">
        <v>1.7263620892788332</v>
      </c>
      <c r="C531" s="1">
        <v>-60.968660505707504</v>
      </c>
      <c r="D531" s="24">
        <f>Data__2[[#This Row],[Project_1]]/J$4</f>
        <v>0.22705913927513752</v>
      </c>
      <c r="E531" s="24">
        <f>Data__2[[#This Row],[Project_2]]/K$4</f>
        <v>1.1509080595192222E-2</v>
      </c>
      <c r="F531" s="24">
        <f>Data__2[[#This Row],[Market]]/L$4</f>
        <v>-6.0968660505707505E-2</v>
      </c>
      <c r="G531" s="1">
        <f>L$24*Data__2[[#This Row],[Return Market]]*J$4</f>
        <v>-3.387147805872643</v>
      </c>
      <c r="H531" s="1">
        <f>M$24*Data__2[[#This Row],[Return Market]]*K$4</f>
        <v>-3.5565051961662757</v>
      </c>
      <c r="I531" s="1"/>
      <c r="J531" s="1"/>
      <c r="K531" s="1"/>
      <c r="L531" s="1"/>
      <c r="M531" s="1"/>
    </row>
    <row r="532" spans="1:13">
      <c r="A532" s="1">
        <v>10.869117843104151</v>
      </c>
      <c r="B532" s="1">
        <v>-4.9455608180106196</v>
      </c>
      <c r="C532" s="1">
        <v>-73.911234651030526</v>
      </c>
      <c r="D532" s="24">
        <f>Data__2[[#This Row],[Project_1]]/J$4</f>
        <v>7.2460785620694343E-2</v>
      </c>
      <c r="E532" s="24">
        <f>Data__2[[#This Row],[Project_2]]/K$4</f>
        <v>-3.2970405453404128E-2</v>
      </c>
      <c r="F532" s="24">
        <f>Data__2[[#This Row],[Market]]/L$4</f>
        <v>-7.3911234651030527E-2</v>
      </c>
      <c r="G532" s="1">
        <f>L$24*Data__2[[#This Row],[Return Market]]*J$4</f>
        <v>-4.1061797028350338</v>
      </c>
      <c r="H532" s="1">
        <f>M$24*Data__2[[#This Row],[Return Market]]*K$4</f>
        <v>-4.3114886879767864</v>
      </c>
      <c r="I532" s="1"/>
      <c r="J532" s="1"/>
      <c r="K532" s="1"/>
      <c r="L532" s="1"/>
      <c r="M532" s="1"/>
    </row>
    <row r="533" spans="1:13">
      <c r="A533" s="1">
        <v>-6.612662083618261</v>
      </c>
      <c r="B533" s="1">
        <v>12.135702313977848</v>
      </c>
      <c r="C533" s="1">
        <v>20.880799609930619</v>
      </c>
      <c r="D533" s="24">
        <f>Data__2[[#This Row],[Project_1]]/J$4</f>
        <v>-4.4084413890788404E-2</v>
      </c>
      <c r="E533" s="24">
        <f>Data__2[[#This Row],[Project_2]]/K$4</f>
        <v>8.0904682093185659E-2</v>
      </c>
      <c r="F533" s="24">
        <f>Data__2[[#This Row],[Market]]/L$4</f>
        <v>2.0880799609930618E-2</v>
      </c>
      <c r="G533" s="1">
        <f>L$24*Data__2[[#This Row],[Return Market]]*J$4</f>
        <v>1.1600444227739246</v>
      </c>
      <c r="H533" s="1">
        <f>M$24*Data__2[[#This Row],[Return Market]]*K$4</f>
        <v>1.218046643912621</v>
      </c>
      <c r="I533" s="1"/>
      <c r="J533" s="1"/>
      <c r="K533" s="1"/>
      <c r="L533" s="1"/>
      <c r="M533" s="1"/>
    </row>
    <row r="534" spans="1:13">
      <c r="A534" s="1">
        <v>-2.9677836772401207</v>
      </c>
      <c r="B534" s="1">
        <v>-5.7029495612053349</v>
      </c>
      <c r="C534" s="1">
        <v>-107.56688523004036</v>
      </c>
      <c r="D534" s="24">
        <f>Data__2[[#This Row],[Project_1]]/J$4</f>
        <v>-1.9785224514934138E-2</v>
      </c>
      <c r="E534" s="24">
        <f>Data__2[[#This Row],[Project_2]]/K$4</f>
        <v>-3.8019663741368899E-2</v>
      </c>
      <c r="F534" s="24">
        <f>Data__2[[#This Row],[Market]]/L$4</f>
        <v>-0.10756688523004035</v>
      </c>
      <c r="G534" s="1">
        <f>L$24*Data__2[[#This Row],[Return Market]]*J$4</f>
        <v>-5.9759380683355809</v>
      </c>
      <c r="H534" s="1">
        <f>M$24*Data__2[[#This Row],[Return Market]]*K$4</f>
        <v>-6.2747349717523617</v>
      </c>
      <c r="I534" s="1"/>
      <c r="J534" s="1"/>
      <c r="K534" s="1"/>
      <c r="L534" s="1"/>
      <c r="M534" s="1"/>
    </row>
    <row r="535" spans="1:13">
      <c r="A535" s="1">
        <v>4.342210515754874</v>
      </c>
      <c r="B535" s="1">
        <v>1.0248271777610061</v>
      </c>
      <c r="C535" s="1">
        <v>-138.10973320962859</v>
      </c>
      <c r="D535" s="24">
        <f>Data__2[[#This Row],[Project_1]]/J$4</f>
        <v>2.8948070105032492E-2</v>
      </c>
      <c r="E535" s="24">
        <f>Data__2[[#This Row],[Project_2]]/K$4</f>
        <v>6.8321811850733738E-3</v>
      </c>
      <c r="F535" s="24">
        <f>Data__2[[#This Row],[Market]]/L$4</f>
        <v>-0.13810973320962858</v>
      </c>
      <c r="G535" s="1">
        <f>L$24*Data__2[[#This Row],[Return Market]]*J$4</f>
        <v>-7.6727629560904855</v>
      </c>
      <c r="H535" s="1">
        <f>M$24*Data__2[[#This Row],[Return Market]]*K$4</f>
        <v>-8.056401103895011</v>
      </c>
      <c r="I535" s="1"/>
      <c r="J535" s="1"/>
      <c r="K535" s="1"/>
      <c r="L535" s="1"/>
      <c r="M535" s="1"/>
    </row>
    <row r="536" spans="1:13">
      <c r="A536" s="1">
        <v>8.2282211355314772</v>
      </c>
      <c r="B536" s="1">
        <v>7.9798344602742493</v>
      </c>
      <c r="C536" s="1">
        <v>250.48469770336493</v>
      </c>
      <c r="D536" s="24">
        <f>Data__2[[#This Row],[Project_1]]/J$4</f>
        <v>5.485480757020985E-2</v>
      </c>
      <c r="E536" s="24">
        <f>Data__2[[#This Row],[Project_2]]/K$4</f>
        <v>5.319889640182833E-2</v>
      </c>
      <c r="F536" s="24">
        <f>Data__2[[#This Row],[Market]]/L$4</f>
        <v>0.25048469770336496</v>
      </c>
      <c r="G536" s="1">
        <f>L$24*Data__2[[#This Row],[Return Market]]*J$4</f>
        <v>13.915816539075847</v>
      </c>
      <c r="H536" s="1">
        <f>M$24*Data__2[[#This Row],[Return Market]]*K$4</f>
        <v>14.611607366029641</v>
      </c>
      <c r="I536" s="1"/>
      <c r="J536" s="1"/>
      <c r="K536" s="1"/>
      <c r="L536" s="1"/>
      <c r="M536" s="1"/>
    </row>
    <row r="537" spans="1:13">
      <c r="A537" s="1">
        <v>13.163101329646194</v>
      </c>
      <c r="B537" s="1">
        <v>13.844790903975174</v>
      </c>
      <c r="C537" s="1">
        <v>346.86187145089923</v>
      </c>
      <c r="D537" s="24">
        <f>Data__2[[#This Row],[Project_1]]/J$4</f>
        <v>8.7754008864307967E-2</v>
      </c>
      <c r="E537" s="24">
        <f>Data__2[[#This Row],[Project_2]]/K$4</f>
        <v>9.2298606026501154E-2</v>
      </c>
      <c r="F537" s="24">
        <f>Data__2[[#This Row],[Market]]/L$4</f>
        <v>0.34686187145089925</v>
      </c>
      <c r="G537" s="1">
        <f>L$24*Data__2[[#This Row],[Return Market]]*J$4</f>
        <v>19.270103969494421</v>
      </c>
      <c r="H537" s="1">
        <f>M$24*Data__2[[#This Row],[Return Market]]*K$4</f>
        <v>20.233609167969149</v>
      </c>
      <c r="I537" s="1"/>
      <c r="J537" s="1"/>
      <c r="K537" s="1"/>
      <c r="L537" s="1"/>
      <c r="M537" s="1"/>
    </row>
    <row r="538" spans="1:13">
      <c r="A538" s="1">
        <v>9.8722775242490091</v>
      </c>
      <c r="B538" s="1">
        <v>0.16707286946531141</v>
      </c>
      <c r="C538" s="1">
        <v>-47.154417644458022</v>
      </c>
      <c r="D538" s="24">
        <f>Data__2[[#This Row],[Project_1]]/J$4</f>
        <v>6.5815183494993393E-2</v>
      </c>
      <c r="E538" s="24">
        <f>Data__2[[#This Row],[Project_2]]/K$4</f>
        <v>1.1138191297687427E-3</v>
      </c>
      <c r="F538" s="24">
        <f>Data__2[[#This Row],[Market]]/L$4</f>
        <v>-4.7154417644458019E-2</v>
      </c>
      <c r="G538" s="1">
        <f>L$24*Data__2[[#This Row],[Return Market]]*J$4</f>
        <v>-2.6196898691365598</v>
      </c>
      <c r="H538" s="1">
        <f>M$24*Data__2[[#This Row],[Return Market]]*K$4</f>
        <v>-2.7506743625933878</v>
      </c>
      <c r="I538" s="1"/>
      <c r="J538" s="1"/>
      <c r="K538" s="1"/>
      <c r="L538" s="1"/>
      <c r="M538" s="1"/>
    </row>
    <row r="539" spans="1:13">
      <c r="A539" s="1">
        <v>3.6771128475771091</v>
      </c>
      <c r="B539" s="1">
        <v>-1.9841331452294853</v>
      </c>
      <c r="C539" s="1">
        <v>-243.85777664691824</v>
      </c>
      <c r="D539" s="24">
        <f>Data__2[[#This Row],[Project_1]]/J$4</f>
        <v>2.4514085650514061E-2</v>
      </c>
      <c r="E539" s="24">
        <f>Data__2[[#This Row],[Project_2]]/K$4</f>
        <v>-1.3227554301529902E-2</v>
      </c>
      <c r="F539" s="24">
        <f>Data__2[[#This Row],[Market]]/L$4</f>
        <v>-0.24385777664691824</v>
      </c>
      <c r="G539" s="1">
        <f>L$24*Data__2[[#This Row],[Return Market]]*J$4</f>
        <v>-13.54765425816214</v>
      </c>
      <c r="H539" s="1">
        <f>M$24*Data__2[[#This Row],[Return Market]]*K$4</f>
        <v>-14.225036971070249</v>
      </c>
      <c r="I539" s="1"/>
      <c r="J539" s="1"/>
      <c r="K539" s="1"/>
      <c r="L539" s="1"/>
      <c r="M539" s="1"/>
    </row>
    <row r="540" spans="1:13">
      <c r="A540" s="1">
        <v>22.306790008657181</v>
      </c>
      <c r="B540" s="1">
        <v>12.919101957652579</v>
      </c>
      <c r="C540" s="1">
        <v>235.78530819384849</v>
      </c>
      <c r="D540" s="24">
        <f>Data__2[[#This Row],[Project_1]]/J$4</f>
        <v>0.14871193339104788</v>
      </c>
      <c r="E540" s="24">
        <f>Data__2[[#This Row],[Project_2]]/K$4</f>
        <v>8.6127346384350531E-2</v>
      </c>
      <c r="F540" s="24">
        <f>Data__2[[#This Row],[Market]]/L$4</f>
        <v>0.23578530819384849</v>
      </c>
      <c r="G540" s="1">
        <f>L$24*Data__2[[#This Row],[Return Market]]*J$4</f>
        <v>13.099183788547153</v>
      </c>
      <c r="H540" s="1">
        <f>M$24*Data__2[[#This Row],[Return Market]]*K$4</f>
        <v>13.754142977974512</v>
      </c>
      <c r="I540" s="1"/>
      <c r="J540" s="1"/>
      <c r="K540" s="1"/>
      <c r="L540" s="1"/>
      <c r="M540" s="1"/>
    </row>
    <row r="541" spans="1:13">
      <c r="A541" s="1">
        <v>5.121318837216192</v>
      </c>
      <c r="B541" s="1">
        <v>34.564572415410851</v>
      </c>
      <c r="C541" s="1">
        <v>272.56432682665348</v>
      </c>
      <c r="D541" s="24">
        <f>Data__2[[#This Row],[Project_1]]/J$4</f>
        <v>3.4142125581441279E-2</v>
      </c>
      <c r="E541" s="24">
        <f>Data__2[[#This Row],[Project_2]]/K$4</f>
        <v>0.23043048276940567</v>
      </c>
      <c r="F541" s="24">
        <f>Data__2[[#This Row],[Market]]/L$4</f>
        <v>0.27256432682665349</v>
      </c>
      <c r="G541" s="1">
        <f>L$24*Data__2[[#This Row],[Return Market]]*J$4</f>
        <v>15.142462601480766</v>
      </c>
      <c r="H541" s="1">
        <f>M$24*Data__2[[#This Row],[Return Market]]*K$4</f>
        <v>15.899585731554808</v>
      </c>
      <c r="I541" s="1"/>
      <c r="J541" s="1"/>
      <c r="K541" s="1"/>
      <c r="L541" s="1"/>
      <c r="M541" s="1"/>
    </row>
    <row r="542" spans="1:13">
      <c r="A542" s="1">
        <v>7.5005122146315681</v>
      </c>
      <c r="B542" s="1">
        <v>8.8891590861657548</v>
      </c>
      <c r="C542" s="1">
        <v>-54.683989857773952</v>
      </c>
      <c r="D542" s="24">
        <f>Data__2[[#This Row],[Project_1]]/J$4</f>
        <v>5.0003414764210455E-2</v>
      </c>
      <c r="E542" s="24">
        <f>Data__2[[#This Row],[Project_2]]/K$4</f>
        <v>5.9261060574438362E-2</v>
      </c>
      <c r="F542" s="24">
        <f>Data__2[[#This Row],[Market]]/L$4</f>
        <v>-5.4683989857773951E-2</v>
      </c>
      <c r="G542" s="1">
        <f>L$24*Data__2[[#This Row],[Return Market]]*J$4</f>
        <v>-3.037999436543001</v>
      </c>
      <c r="H542" s="1">
        <f>M$24*Data__2[[#This Row],[Return Market]]*K$4</f>
        <v>-3.1898994083701511</v>
      </c>
      <c r="I542" s="1"/>
      <c r="J542" s="1"/>
      <c r="K542" s="1"/>
      <c r="L542" s="1"/>
      <c r="M542" s="1"/>
    </row>
    <row r="543" spans="1:13">
      <c r="A543" s="1">
        <v>42.400738508443496</v>
      </c>
      <c r="B543" s="1">
        <v>11.854059305886894</v>
      </c>
      <c r="C543" s="1">
        <v>215.88517826755333</v>
      </c>
      <c r="D543" s="24">
        <f>Data__2[[#This Row],[Project_1]]/J$4</f>
        <v>0.28267159005628995</v>
      </c>
      <c r="E543" s="24">
        <f>Data__2[[#This Row],[Project_2]]/K$4</f>
        <v>7.9027062039245963E-2</v>
      </c>
      <c r="F543" s="24">
        <f>Data__2[[#This Row],[Market]]/L$4</f>
        <v>0.21588517826755332</v>
      </c>
      <c r="G543" s="1">
        <f>L$24*Data__2[[#This Row],[Return Market]]*J$4</f>
        <v>11.993621014864088</v>
      </c>
      <c r="H543" s="1">
        <f>M$24*Data__2[[#This Row],[Return Market]]*K$4</f>
        <v>12.593302065607295</v>
      </c>
      <c r="I543" s="1"/>
      <c r="J543" s="1"/>
      <c r="K543" s="1"/>
      <c r="L543" s="1"/>
      <c r="M543" s="1"/>
    </row>
    <row r="544" spans="1:13">
      <c r="A544" s="1">
        <v>22.611818542956662</v>
      </c>
      <c r="B544" s="1">
        <v>26.17550544246361</v>
      </c>
      <c r="C544" s="1">
        <v>174.56606882246044</v>
      </c>
      <c r="D544" s="24">
        <f>Data__2[[#This Row],[Project_1]]/J$4</f>
        <v>0.15074545695304442</v>
      </c>
      <c r="E544" s="24">
        <f>Data__2[[#This Row],[Project_2]]/K$4</f>
        <v>0.17450336961642407</v>
      </c>
      <c r="F544" s="24">
        <f>Data__2[[#This Row],[Market]]/L$4</f>
        <v>0.17456606882246042</v>
      </c>
      <c r="G544" s="1">
        <f>L$24*Data__2[[#This Row],[Return Market]]*J$4</f>
        <v>9.6981149345811453</v>
      </c>
      <c r="H544" s="1">
        <f>M$24*Data__2[[#This Row],[Return Market]]*K$4</f>
        <v>10.183020681310204</v>
      </c>
      <c r="I544" s="1"/>
      <c r="J544" s="1"/>
      <c r="K544" s="1"/>
      <c r="L544" s="1"/>
      <c r="M544" s="1"/>
    </row>
    <row r="545" spans="1:13">
      <c r="A545" s="1">
        <v>26.664020533479597</v>
      </c>
      <c r="B545" s="1">
        <v>19.713864041625243</v>
      </c>
      <c r="C545" s="1">
        <v>95.820995288326785</v>
      </c>
      <c r="D545" s="24">
        <f>Data__2[[#This Row],[Project_1]]/J$4</f>
        <v>0.17776013688986397</v>
      </c>
      <c r="E545" s="24">
        <f>Data__2[[#This Row],[Project_2]]/K$4</f>
        <v>0.13142576027750161</v>
      </c>
      <c r="F545" s="24">
        <f>Data__2[[#This Row],[Market]]/L$4</f>
        <v>9.5820995288326785E-2</v>
      </c>
      <c r="G545" s="1">
        <f>L$24*Data__2[[#This Row],[Return Market]]*J$4</f>
        <v>5.3233886271292725</v>
      </c>
      <c r="H545" s="1">
        <f>M$24*Data__2[[#This Row],[Return Market]]*K$4</f>
        <v>5.5895580584857365</v>
      </c>
      <c r="I545" s="1"/>
      <c r="J545" s="1"/>
      <c r="K545" s="1"/>
      <c r="L545" s="1"/>
      <c r="M545" s="1"/>
    </row>
    <row r="546" spans="1:13">
      <c r="A546" s="1">
        <v>-16.486983981312292</v>
      </c>
      <c r="B546" s="1">
        <v>-21.969567198520664</v>
      </c>
      <c r="C546" s="1">
        <v>-144.61628516704468</v>
      </c>
      <c r="D546" s="24">
        <f>Data__2[[#This Row],[Project_1]]/J$4</f>
        <v>-0.10991322654208195</v>
      </c>
      <c r="E546" s="24">
        <f>Data__2[[#This Row],[Project_2]]/K$4</f>
        <v>-0.1464637813234711</v>
      </c>
      <c r="F546" s="24">
        <f>Data__2[[#This Row],[Market]]/L$4</f>
        <v>-0.14461628516704467</v>
      </c>
      <c r="G546" s="1">
        <f>L$24*Data__2[[#This Row],[Return Market]]*J$4</f>
        <v>-8.034238064835824</v>
      </c>
      <c r="H546" s="1">
        <f>M$24*Data__2[[#This Row],[Return Market]]*K$4</f>
        <v>-8.4359499680776171</v>
      </c>
      <c r="I546" s="1"/>
      <c r="J546" s="1"/>
      <c r="K546" s="1"/>
      <c r="L546" s="1"/>
      <c r="M546" s="1"/>
    </row>
    <row r="547" spans="1:13">
      <c r="A547" s="1">
        <v>25.742879707053284</v>
      </c>
      <c r="B547" s="1">
        <v>28.256588426278697</v>
      </c>
      <c r="C547" s="1">
        <v>39.201087812494769</v>
      </c>
      <c r="D547" s="24">
        <f>Data__2[[#This Row],[Project_1]]/J$4</f>
        <v>0.17161919804702189</v>
      </c>
      <c r="E547" s="24">
        <f>Data__2[[#This Row],[Project_2]]/K$4</f>
        <v>0.1883772561751913</v>
      </c>
      <c r="F547" s="24">
        <f>Data__2[[#This Row],[Market]]/L$4</f>
        <v>3.9201087812494768E-2</v>
      </c>
      <c r="G547" s="1">
        <f>L$24*Data__2[[#This Row],[Return Market]]*J$4</f>
        <v>2.1778382118052675</v>
      </c>
      <c r="H547" s="1">
        <f>M$24*Data__2[[#This Row],[Return Market]]*K$4</f>
        <v>2.286730122395531</v>
      </c>
      <c r="I547" s="1"/>
      <c r="J547" s="1"/>
      <c r="K547" s="1"/>
      <c r="L547" s="1"/>
      <c r="M547" s="1"/>
    </row>
    <row r="548" spans="1:13">
      <c r="A548" s="1">
        <v>-5.5750059419178228</v>
      </c>
      <c r="B548" s="1">
        <v>26.784057417731947</v>
      </c>
      <c r="C548" s="1">
        <v>315.84333648638119</v>
      </c>
      <c r="D548" s="24">
        <f>Data__2[[#This Row],[Project_1]]/J$4</f>
        <v>-3.716670627945215E-2</v>
      </c>
      <c r="E548" s="24">
        <f>Data__2[[#This Row],[Project_2]]/K$4</f>
        <v>0.17856038278487965</v>
      </c>
      <c r="F548" s="24">
        <f>Data__2[[#This Row],[Market]]/L$4</f>
        <v>0.31584333648638119</v>
      </c>
      <c r="G548" s="1">
        <f>L$24*Data__2[[#This Row],[Return Market]]*J$4</f>
        <v>17.546852027021195</v>
      </c>
      <c r="H548" s="1">
        <f>M$24*Data__2[[#This Row],[Return Market]]*K$4</f>
        <v>18.424194628372259</v>
      </c>
      <c r="I548" s="1"/>
      <c r="J548" s="1"/>
      <c r="K548" s="1"/>
      <c r="L548" s="1"/>
      <c r="M548" s="1"/>
    </row>
    <row r="549" spans="1:13">
      <c r="A549" s="1">
        <v>35.215630591010651</v>
      </c>
      <c r="B549" s="1">
        <v>23.722715528729601</v>
      </c>
      <c r="C549" s="1">
        <v>151.65295875020786</v>
      </c>
      <c r="D549" s="24">
        <f>Data__2[[#This Row],[Project_1]]/J$4</f>
        <v>0.23477087060673768</v>
      </c>
      <c r="E549" s="24">
        <f>Data__2[[#This Row],[Project_2]]/K$4</f>
        <v>0.15815143685819735</v>
      </c>
      <c r="F549" s="24">
        <f>Data__2[[#This Row],[Market]]/L$4</f>
        <v>0.15165295875020784</v>
      </c>
      <c r="G549" s="1">
        <f>L$24*Data__2[[#This Row],[Return Market]]*J$4</f>
        <v>8.4251643750115566</v>
      </c>
      <c r="H549" s="1">
        <f>M$24*Data__2[[#This Row],[Return Market]]*K$4</f>
        <v>8.846422593762135</v>
      </c>
      <c r="I549" s="1"/>
      <c r="J549" s="1"/>
      <c r="K549" s="1"/>
      <c r="L549" s="1"/>
      <c r="M549" s="1"/>
    </row>
    <row r="550" spans="1:13">
      <c r="A550" s="1">
        <v>43.24857268041923</v>
      </c>
      <c r="B550" s="1">
        <v>8.1220769591135422</v>
      </c>
      <c r="C550" s="1">
        <v>130.68029541437753</v>
      </c>
      <c r="D550" s="24">
        <f>Data__2[[#This Row],[Project_1]]/J$4</f>
        <v>0.28832381786946154</v>
      </c>
      <c r="E550" s="24">
        <f>Data__2[[#This Row],[Project_2]]/K$4</f>
        <v>5.4147179727423618E-2</v>
      </c>
      <c r="F550" s="24">
        <f>Data__2[[#This Row],[Market]]/L$4</f>
        <v>0.13068029541437753</v>
      </c>
      <c r="G550" s="1">
        <f>L$24*Data__2[[#This Row],[Return Market]]*J$4</f>
        <v>7.2600164119098718</v>
      </c>
      <c r="H550" s="1">
        <f>M$24*Data__2[[#This Row],[Return Market]]*K$4</f>
        <v>7.623017232505366</v>
      </c>
      <c r="I550" s="1"/>
      <c r="J550" s="1"/>
      <c r="K550" s="1"/>
      <c r="L550" s="1"/>
      <c r="M550" s="1"/>
    </row>
    <row r="551" spans="1:13">
      <c r="A551" s="1">
        <v>-1.2159186531139028</v>
      </c>
      <c r="B551" s="1">
        <v>-26.000224594922244</v>
      </c>
      <c r="C551" s="1">
        <v>-296.60460751205693</v>
      </c>
      <c r="D551" s="24">
        <f>Data__2[[#This Row],[Project_1]]/J$4</f>
        <v>-8.106124354092685E-3</v>
      </c>
      <c r="E551" s="24">
        <f>Data__2[[#This Row],[Project_2]]/K$4</f>
        <v>-0.17333483063281496</v>
      </c>
      <c r="F551" s="24">
        <f>Data__2[[#This Row],[Market]]/L$4</f>
        <v>-0.29660460751205692</v>
      </c>
      <c r="G551" s="1">
        <f>L$24*Data__2[[#This Row],[Return Market]]*J$4</f>
        <v>-16.478033750669848</v>
      </c>
      <c r="H551" s="1">
        <f>M$24*Data__2[[#This Row],[Return Market]]*K$4</f>
        <v>-17.301935438203344</v>
      </c>
      <c r="I551" s="1"/>
      <c r="J551" s="1"/>
      <c r="K551" s="1"/>
      <c r="L551" s="1"/>
      <c r="M551" s="1"/>
    </row>
    <row r="552" spans="1:13">
      <c r="A552" s="1">
        <v>-17.577240485741388</v>
      </c>
      <c r="B552" s="1">
        <v>-22.326046503359329</v>
      </c>
      <c r="C552" s="1">
        <v>-3.2368871142520703</v>
      </c>
      <c r="D552" s="24">
        <f>Data__2[[#This Row],[Project_1]]/J$4</f>
        <v>-0.11718160323827592</v>
      </c>
      <c r="E552" s="24">
        <f>Data__2[[#This Row],[Project_2]]/K$4</f>
        <v>-0.14884031002239553</v>
      </c>
      <c r="F552" s="24">
        <f>Data__2[[#This Row],[Market]]/L$4</f>
        <v>-3.2368871142520704E-3</v>
      </c>
      <c r="G552" s="1">
        <f>L$24*Data__2[[#This Row],[Return Market]]*J$4</f>
        <v>-0.17982706190289299</v>
      </c>
      <c r="H552" s="1">
        <f>M$24*Data__2[[#This Row],[Return Market]]*K$4</f>
        <v>-0.18881841499803767</v>
      </c>
      <c r="I552" s="1"/>
      <c r="J552" s="1"/>
      <c r="K552" s="1"/>
      <c r="L552" s="1"/>
      <c r="M552" s="1"/>
    </row>
    <row r="553" spans="1:13">
      <c r="A553" s="1">
        <v>-3.642269548306615</v>
      </c>
      <c r="B553" s="1">
        <v>29.481143010101363</v>
      </c>
      <c r="C553" s="1">
        <v>318.80205328738418</v>
      </c>
      <c r="D553" s="24">
        <f>Data__2[[#This Row],[Project_1]]/J$4</f>
        <v>-2.4281796988710767E-2</v>
      </c>
      <c r="E553" s="24">
        <f>Data__2[[#This Row],[Project_2]]/K$4</f>
        <v>0.19654095340067576</v>
      </c>
      <c r="F553" s="24">
        <f>Data__2[[#This Row],[Market]]/L$4</f>
        <v>0.3188020532873842</v>
      </c>
      <c r="G553" s="1">
        <f>L$24*Data__2[[#This Row],[Return Market]]*J$4</f>
        <v>17.711225182632475</v>
      </c>
      <c r="H553" s="1">
        <f>M$24*Data__2[[#This Row],[Return Market]]*K$4</f>
        <v>18.596786441764102</v>
      </c>
      <c r="I553" s="1"/>
      <c r="J553" s="1"/>
      <c r="K553" s="1"/>
      <c r="L553" s="1"/>
      <c r="M553" s="1"/>
    </row>
    <row r="554" spans="1:13">
      <c r="A554" s="1">
        <v>-18.788155921716285</v>
      </c>
      <c r="B554" s="1">
        <v>-0.63560700785024693</v>
      </c>
      <c r="C554" s="1">
        <v>-132.12440419266963</v>
      </c>
      <c r="D554" s="24">
        <f>Data__2[[#This Row],[Project_1]]/J$4</f>
        <v>-0.12525437281144189</v>
      </c>
      <c r="E554" s="24">
        <f>Data__2[[#This Row],[Project_2]]/K$4</f>
        <v>-4.2373800523349799E-3</v>
      </c>
      <c r="F554" s="24">
        <f>Data__2[[#This Row],[Market]]/L$4</f>
        <v>-0.13212440419266963</v>
      </c>
      <c r="G554" s="1">
        <f>L$24*Data__2[[#This Row],[Return Market]]*J$4</f>
        <v>-7.3402446773705439</v>
      </c>
      <c r="H554" s="1">
        <f>M$24*Data__2[[#This Row],[Return Market]]*K$4</f>
        <v>-7.7072569112390719</v>
      </c>
      <c r="I554" s="1"/>
      <c r="J554" s="1"/>
      <c r="K554" s="1"/>
      <c r="L554" s="1"/>
      <c r="M554" s="1"/>
    </row>
    <row r="555" spans="1:13">
      <c r="A555" s="1">
        <v>37.721848561992104</v>
      </c>
      <c r="B555" s="1">
        <v>10.357817962188005</v>
      </c>
      <c r="C555" s="1">
        <v>81.502972671707923</v>
      </c>
      <c r="D555" s="24">
        <f>Data__2[[#This Row],[Project_1]]/J$4</f>
        <v>0.2514789904132807</v>
      </c>
      <c r="E555" s="24">
        <f>Data__2[[#This Row],[Project_2]]/K$4</f>
        <v>6.9052119747920027E-2</v>
      </c>
      <c r="F555" s="24">
        <f>Data__2[[#This Row],[Market]]/L$4</f>
        <v>8.1502972671707918E-2</v>
      </c>
      <c r="G555" s="1">
        <f>L$24*Data__2[[#This Row],[Return Market]]*J$4</f>
        <v>4.5279429262060011</v>
      </c>
      <c r="H555" s="1">
        <f>M$24*Data__2[[#This Row],[Return Market]]*K$4</f>
        <v>4.7543400725163005</v>
      </c>
      <c r="I555" s="1"/>
      <c r="J555" s="1"/>
      <c r="K555" s="1"/>
      <c r="L555" s="1"/>
      <c r="M555" s="1"/>
    </row>
    <row r="556" spans="1:13">
      <c r="A556" s="1">
        <v>10.180767752113717</v>
      </c>
      <c r="B556" s="1">
        <v>4.035889474017095</v>
      </c>
      <c r="C556" s="1">
        <v>157.02807861862772</v>
      </c>
      <c r="D556" s="24">
        <f>Data__2[[#This Row],[Project_1]]/J$4</f>
        <v>6.787178501409144E-2</v>
      </c>
      <c r="E556" s="24">
        <f>Data__2[[#This Row],[Project_2]]/K$4</f>
        <v>2.6905929826780632E-2</v>
      </c>
      <c r="F556" s="24">
        <f>Data__2[[#This Row],[Market]]/L$4</f>
        <v>0.15702807861862772</v>
      </c>
      <c r="G556" s="1">
        <f>L$24*Data__2[[#This Row],[Return Market]]*J$4</f>
        <v>8.7237821454793281</v>
      </c>
      <c r="H556" s="1">
        <f>M$24*Data__2[[#This Row],[Return Market]]*K$4</f>
        <v>9.1599712527532962</v>
      </c>
      <c r="I556" s="1"/>
      <c r="J556" s="1"/>
      <c r="K556" s="1"/>
      <c r="L556" s="1"/>
      <c r="M556" s="1"/>
    </row>
    <row r="557" spans="1:13">
      <c r="A557" s="1">
        <v>-1.5095617714307714</v>
      </c>
      <c r="B557" s="1">
        <v>-9.5187240639917476</v>
      </c>
      <c r="C557" s="1">
        <v>161.28213471203773</v>
      </c>
      <c r="D557" s="24">
        <f>Data__2[[#This Row],[Project_1]]/J$4</f>
        <v>-1.0063745142871809E-2</v>
      </c>
      <c r="E557" s="24">
        <f>Data__2[[#This Row],[Project_2]]/K$4</f>
        <v>-6.3458160426611648E-2</v>
      </c>
      <c r="F557" s="24">
        <f>Data__2[[#This Row],[Market]]/L$4</f>
        <v>0.16128213471203773</v>
      </c>
      <c r="G557" s="1">
        <f>L$24*Data__2[[#This Row],[Return Market]]*J$4</f>
        <v>8.960118595113217</v>
      </c>
      <c r="H557" s="1">
        <f>M$24*Data__2[[#This Row],[Return Market]]*K$4</f>
        <v>9.4081245248688798</v>
      </c>
      <c r="I557" s="1"/>
      <c r="J557" s="1"/>
      <c r="K557" s="1"/>
      <c r="L557" s="1"/>
      <c r="M557" s="1"/>
    </row>
    <row r="558" spans="1:13">
      <c r="A558" s="1">
        <v>33.718394682882142</v>
      </c>
      <c r="B558" s="1">
        <v>35.789304652196478</v>
      </c>
      <c r="C558" s="1">
        <v>267.47662159917775</v>
      </c>
      <c r="D558" s="24">
        <f>Data__2[[#This Row],[Project_1]]/J$4</f>
        <v>0.22478929788588095</v>
      </c>
      <c r="E558" s="24">
        <f>Data__2[[#This Row],[Project_2]]/K$4</f>
        <v>0.23859536434797651</v>
      </c>
      <c r="F558" s="24">
        <f>Data__2[[#This Row],[Market]]/L$4</f>
        <v>0.26747662159917773</v>
      </c>
      <c r="G558" s="1">
        <f>L$24*Data__2[[#This Row],[Return Market]]*J$4</f>
        <v>14.859812311065447</v>
      </c>
      <c r="H558" s="1">
        <f>M$24*Data__2[[#This Row],[Return Market]]*K$4</f>
        <v>15.602802926618722</v>
      </c>
      <c r="I558" s="1"/>
      <c r="J558" s="1"/>
      <c r="K558" s="1"/>
      <c r="L558" s="1"/>
      <c r="M558" s="1"/>
    </row>
    <row r="559" spans="1:13">
      <c r="A559" s="1">
        <v>-4.2779536191287928</v>
      </c>
      <c r="B559" s="1">
        <v>17.364380240547625</v>
      </c>
      <c r="C559" s="1">
        <v>316.80325206481177</v>
      </c>
      <c r="D559" s="24">
        <f>Data__2[[#This Row],[Project_1]]/J$4</f>
        <v>-2.8519690794191952E-2</v>
      </c>
      <c r="E559" s="24">
        <f>Data__2[[#This Row],[Project_2]]/K$4</f>
        <v>0.11576253493698417</v>
      </c>
      <c r="F559" s="24">
        <f>Data__2[[#This Row],[Market]]/L$4</f>
        <v>0.31680325206481175</v>
      </c>
      <c r="G559" s="1">
        <f>L$24*Data__2[[#This Row],[Return Market]]*J$4</f>
        <v>17.600180670267342</v>
      </c>
      <c r="H559" s="1">
        <f>M$24*Data__2[[#This Row],[Return Market]]*K$4</f>
        <v>18.480189703780709</v>
      </c>
      <c r="I559" s="1"/>
      <c r="J559" s="1"/>
      <c r="K559" s="1"/>
      <c r="L559" s="1"/>
      <c r="M559" s="1"/>
    </row>
    <row r="560" spans="1:13">
      <c r="A560" s="1">
        <v>14.777863136127744</v>
      </c>
      <c r="B560" s="1">
        <v>7.935469140572577</v>
      </c>
      <c r="C560" s="1">
        <v>164.20972970333838</v>
      </c>
      <c r="D560" s="24">
        <f>Data__2[[#This Row],[Project_1]]/J$4</f>
        <v>9.8519087574184955E-2</v>
      </c>
      <c r="E560" s="24">
        <f>Data__2[[#This Row],[Project_2]]/K$4</f>
        <v>5.2903127603817178E-2</v>
      </c>
      <c r="F560" s="24">
        <f>Data__2[[#This Row],[Market]]/L$4</f>
        <v>0.16420972970333839</v>
      </c>
      <c r="G560" s="1">
        <f>L$24*Data__2[[#This Row],[Return Market]]*J$4</f>
        <v>9.1227627612965883</v>
      </c>
      <c r="H560" s="1">
        <f>M$24*Data__2[[#This Row],[Return Market]]*K$4</f>
        <v>9.57890089936142</v>
      </c>
      <c r="I560" s="1"/>
      <c r="J560" s="1"/>
      <c r="K560" s="1"/>
      <c r="L560" s="1"/>
      <c r="M560" s="1"/>
    </row>
    <row r="561" spans="1:13">
      <c r="A561" s="1">
        <v>-13.800803537785256</v>
      </c>
      <c r="B561" s="1">
        <v>-9.4696856214339817</v>
      </c>
      <c r="C561" s="1">
        <v>38.539355529393426</v>
      </c>
      <c r="D561" s="24">
        <f>Data__2[[#This Row],[Project_1]]/J$4</f>
        <v>-9.2005356918568371E-2</v>
      </c>
      <c r="E561" s="24">
        <f>Data__2[[#This Row],[Project_2]]/K$4</f>
        <v>-6.3131237476226551E-2</v>
      </c>
      <c r="F561" s="24">
        <f>Data__2[[#This Row],[Market]]/L$4</f>
        <v>3.8539355529393422E-2</v>
      </c>
      <c r="G561" s="1">
        <f>L$24*Data__2[[#This Row],[Return Market]]*J$4</f>
        <v>2.141075307188526</v>
      </c>
      <c r="H561" s="1">
        <f>M$24*Data__2[[#This Row],[Return Market]]*K$4</f>
        <v>2.2481290725479526</v>
      </c>
      <c r="I561" s="1"/>
      <c r="J561" s="1"/>
      <c r="K561" s="1"/>
      <c r="L561" s="1"/>
      <c r="M561" s="1"/>
    </row>
    <row r="562" spans="1:13">
      <c r="A562" s="1">
        <v>0.79008550057250027</v>
      </c>
      <c r="B562" s="1">
        <v>22.135319338099727</v>
      </c>
      <c r="C562" s="1">
        <v>175.18949496924978</v>
      </c>
      <c r="D562" s="24">
        <f>Data__2[[#This Row],[Project_1]]/J$4</f>
        <v>5.2672366704833353E-3</v>
      </c>
      <c r="E562" s="24">
        <f>Data__2[[#This Row],[Project_2]]/K$4</f>
        <v>0.14756879558733152</v>
      </c>
      <c r="F562" s="24">
        <f>Data__2[[#This Row],[Market]]/L$4</f>
        <v>0.17518949496924979</v>
      </c>
      <c r="G562" s="1">
        <f>L$24*Data__2[[#This Row],[Return Market]]*J$4</f>
        <v>9.7327497205138886</v>
      </c>
      <c r="H562" s="1">
        <f>M$24*Data__2[[#This Row],[Return Market]]*K$4</f>
        <v>10.219387206539585</v>
      </c>
      <c r="I562" s="1"/>
      <c r="J562" s="1"/>
      <c r="K562" s="1"/>
      <c r="L562" s="1"/>
      <c r="M562" s="1"/>
    </row>
    <row r="563" spans="1:13">
      <c r="A563" s="1">
        <v>-22.565523938242293</v>
      </c>
      <c r="B563" s="1">
        <v>22.124974827152535</v>
      </c>
      <c r="C563" s="1">
        <v>62.213081350590265</v>
      </c>
      <c r="D563" s="24">
        <f>Data__2[[#This Row],[Project_1]]/J$4</f>
        <v>-0.15043682625494861</v>
      </c>
      <c r="E563" s="24">
        <f>Data__2[[#This Row],[Project_2]]/K$4</f>
        <v>0.14749983218101689</v>
      </c>
      <c r="F563" s="24">
        <f>Data__2[[#This Row],[Market]]/L$4</f>
        <v>6.2213081350590269E-2</v>
      </c>
      <c r="G563" s="1">
        <f>L$24*Data__2[[#This Row],[Return Market]]*J$4</f>
        <v>3.4562822972550187</v>
      </c>
      <c r="H563" s="1">
        <f>M$24*Data__2[[#This Row],[Return Market]]*K$4</f>
        <v>3.6290964121177702</v>
      </c>
      <c r="I563" s="1"/>
      <c r="J563" s="1"/>
      <c r="K563" s="1"/>
      <c r="L563" s="1"/>
      <c r="M563" s="1"/>
    </row>
    <row r="564" spans="1:13">
      <c r="A564" s="1">
        <v>34.989622322388485</v>
      </c>
      <c r="B564" s="1">
        <v>3.1835230406498054</v>
      </c>
      <c r="C564" s="1">
        <v>95.389845011674012</v>
      </c>
      <c r="D564" s="24">
        <f>Data__2[[#This Row],[Project_1]]/J$4</f>
        <v>0.23326414881592322</v>
      </c>
      <c r="E564" s="24">
        <f>Data__2[[#This Row],[Project_2]]/K$4</f>
        <v>2.1223486937665369E-2</v>
      </c>
      <c r="F564" s="24">
        <f>Data__2[[#This Row],[Market]]/L$4</f>
        <v>9.538984501167401E-2</v>
      </c>
      <c r="G564" s="1">
        <f>L$24*Data__2[[#This Row],[Return Market]]*J$4</f>
        <v>5.2994358339818959</v>
      </c>
      <c r="H564" s="1">
        <f>M$24*Data__2[[#This Row],[Return Market]]*K$4</f>
        <v>5.5644076256809916</v>
      </c>
      <c r="I564" s="1"/>
      <c r="J564" s="1"/>
      <c r="K564" s="1"/>
      <c r="L564" s="1"/>
      <c r="M564" s="1"/>
    </row>
    <row r="565" spans="1:13">
      <c r="A565" s="1">
        <v>72.310507487769129</v>
      </c>
      <c r="B565" s="1">
        <v>39.895673634984064</v>
      </c>
      <c r="C565" s="1">
        <v>323.33827228849549</v>
      </c>
      <c r="D565" s="24">
        <f>Data__2[[#This Row],[Project_1]]/J$4</f>
        <v>0.48207004991846086</v>
      </c>
      <c r="E565" s="24">
        <f>Data__2[[#This Row],[Project_2]]/K$4</f>
        <v>0.26597115756656042</v>
      </c>
      <c r="F565" s="24">
        <f>Data__2[[#This Row],[Market]]/L$4</f>
        <v>0.32333827228849549</v>
      </c>
      <c r="G565" s="1">
        <f>L$24*Data__2[[#This Row],[Return Market]]*J$4</f>
        <v>17.963237349360881</v>
      </c>
      <c r="H565" s="1">
        <f>M$24*Data__2[[#This Row],[Return Market]]*K$4</f>
        <v>18.861399216828925</v>
      </c>
      <c r="I565" s="1"/>
      <c r="J565" s="1"/>
      <c r="K565" s="1"/>
      <c r="L565" s="1"/>
      <c r="M565" s="1"/>
    </row>
    <row r="566" spans="1:13">
      <c r="A566" s="1">
        <v>5.5583962797866251</v>
      </c>
      <c r="B566" s="1">
        <v>-0.7808896003200072</v>
      </c>
      <c r="C566" s="1">
        <v>-162.05471355336175</v>
      </c>
      <c r="D566" s="24">
        <f>Data__2[[#This Row],[Project_1]]/J$4</f>
        <v>3.70559751985775E-2</v>
      </c>
      <c r="E566" s="24">
        <f>Data__2[[#This Row],[Project_2]]/K$4</f>
        <v>-5.2059306688000484E-3</v>
      </c>
      <c r="F566" s="24">
        <f>Data__2[[#This Row],[Market]]/L$4</f>
        <v>-0.16205471355336176</v>
      </c>
      <c r="G566" s="1">
        <f>L$24*Data__2[[#This Row],[Return Market]]*J$4</f>
        <v>-9.0030396418534409</v>
      </c>
      <c r="H566" s="1">
        <f>M$24*Data__2[[#This Row],[Return Market]]*K$4</f>
        <v>-9.4531916239461165</v>
      </c>
      <c r="I566" s="1"/>
      <c r="J566" s="1"/>
      <c r="K566" s="1"/>
      <c r="L566" s="1"/>
      <c r="M566" s="1"/>
    </row>
    <row r="567" spans="1:13">
      <c r="A567" s="1">
        <v>29.265608620161778</v>
      </c>
      <c r="B567" s="1">
        <v>0.51126294296581776</v>
      </c>
      <c r="C567" s="1">
        <v>11.134205853998154</v>
      </c>
      <c r="D567" s="24">
        <f>Data__2[[#This Row],[Project_1]]/J$4</f>
        <v>0.1951040574677452</v>
      </c>
      <c r="E567" s="24">
        <f>Data__2[[#This Row],[Project_2]]/K$4</f>
        <v>3.4084196197721184E-3</v>
      </c>
      <c r="F567" s="24">
        <f>Data__2[[#This Row],[Market]]/L$4</f>
        <v>1.1134205853998153E-2</v>
      </c>
      <c r="G567" s="1">
        <f>L$24*Data__2[[#This Row],[Return Market]]*J$4</f>
        <v>0.61856699188878694</v>
      </c>
      <c r="H567" s="1">
        <f>M$24*Data__2[[#This Row],[Return Market]]*K$4</f>
        <v>0.64949534148322641</v>
      </c>
      <c r="I567" s="1"/>
      <c r="J567" s="1"/>
      <c r="K567" s="1"/>
      <c r="L567" s="1"/>
      <c r="M567" s="1"/>
    </row>
    <row r="568" spans="1:13">
      <c r="A568" s="1">
        <v>24.60936399570609</v>
      </c>
      <c r="B568" s="1">
        <v>24.209748166503054</v>
      </c>
      <c r="C568" s="1">
        <v>-40.883341127264515</v>
      </c>
      <c r="D568" s="24">
        <f>Data__2[[#This Row],[Project_1]]/J$4</f>
        <v>0.1640624266380406</v>
      </c>
      <c r="E568" s="24">
        <f>Data__2[[#This Row],[Project_2]]/K$4</f>
        <v>0.16139832111002037</v>
      </c>
      <c r="F568" s="24">
        <f>Data__2[[#This Row],[Market]]/L$4</f>
        <v>-4.0883341127264515E-2</v>
      </c>
      <c r="G568" s="1">
        <f>L$24*Data__2[[#This Row],[Return Market]]*J$4</f>
        <v>-2.2712967292924757</v>
      </c>
      <c r="H568" s="1">
        <f>M$24*Data__2[[#This Row],[Return Market]]*K$4</f>
        <v>-2.3848615657570997</v>
      </c>
      <c r="I568" s="1"/>
      <c r="J568" s="1"/>
      <c r="K568" s="1"/>
      <c r="L568" s="1"/>
      <c r="M568" s="1"/>
    </row>
    <row r="569" spans="1:13">
      <c r="A569" s="1">
        <v>3.1863228703085147</v>
      </c>
      <c r="B569" s="1">
        <v>-20.89145363428851</v>
      </c>
      <c r="C569" s="1">
        <v>-219.33445065680576</v>
      </c>
      <c r="D569" s="24">
        <f>Data__2[[#This Row],[Project_1]]/J$4</f>
        <v>2.1242152468723432E-2</v>
      </c>
      <c r="E569" s="24">
        <f>Data__2[[#This Row],[Project_2]]/K$4</f>
        <v>-0.13927635756192339</v>
      </c>
      <c r="F569" s="24">
        <f>Data__2[[#This Row],[Market]]/L$4</f>
        <v>-0.21933445065680576</v>
      </c>
      <c r="G569" s="1">
        <f>L$24*Data__2[[#This Row],[Return Market]]*J$4</f>
        <v>-12.185247258711446</v>
      </c>
      <c r="H569" s="1">
        <f>M$24*Data__2[[#This Row],[Return Market]]*K$4</f>
        <v>-12.79450962164702</v>
      </c>
      <c r="I569" s="1"/>
      <c r="J569" s="1"/>
      <c r="K569" s="1"/>
      <c r="L569" s="1"/>
      <c r="M569" s="1"/>
    </row>
    <row r="570" spans="1:13">
      <c r="A570" s="1">
        <v>9.6121132792795887</v>
      </c>
      <c r="B570" s="1">
        <v>8.3235704961930583</v>
      </c>
      <c r="C570" s="1">
        <v>-158.76390898354649</v>
      </c>
      <c r="D570" s="24">
        <f>Data__2[[#This Row],[Project_1]]/J$4</f>
        <v>6.4080755195197264E-2</v>
      </c>
      <c r="E570" s="24">
        <f>Data__2[[#This Row],[Project_2]]/K$4</f>
        <v>5.5490469974620392E-2</v>
      </c>
      <c r="F570" s="24">
        <f>Data__2[[#This Row],[Market]]/L$4</f>
        <v>-0.15876390898354648</v>
      </c>
      <c r="G570" s="1">
        <f>L$24*Data__2[[#This Row],[Return Market]]*J$4</f>
        <v>-8.8202171657525916</v>
      </c>
      <c r="H570" s="1">
        <f>M$24*Data__2[[#This Row],[Return Market]]*K$4</f>
        <v>-9.2612280240402232</v>
      </c>
      <c r="I570" s="1"/>
      <c r="J570" s="1"/>
      <c r="K570" s="1"/>
      <c r="L570" s="1"/>
      <c r="M570" s="1"/>
    </row>
    <row r="571" spans="1:13">
      <c r="A571" s="1">
        <v>1.0482338679069372</v>
      </c>
      <c r="B571" s="1">
        <v>-26.666312290809373</v>
      </c>
      <c r="C571" s="1">
        <v>-186.65614344965127</v>
      </c>
      <c r="D571" s="24">
        <f>Data__2[[#This Row],[Project_1]]/J$4</f>
        <v>6.9882257860462479E-3</v>
      </c>
      <c r="E571" s="24">
        <f>Data__2[[#This Row],[Project_2]]/K$4</f>
        <v>-0.17777541527206248</v>
      </c>
      <c r="F571" s="24">
        <f>Data__2[[#This Row],[Market]]/L$4</f>
        <v>-0.18665614344965126</v>
      </c>
      <c r="G571" s="1">
        <f>L$24*Data__2[[#This Row],[Return Market]]*J$4</f>
        <v>-10.36978574720286</v>
      </c>
      <c r="H571" s="1">
        <f>M$24*Data__2[[#This Row],[Return Market]]*K$4</f>
        <v>-10.888275034563005</v>
      </c>
      <c r="I571" s="1"/>
      <c r="J571" s="1"/>
      <c r="K571" s="1"/>
      <c r="L571" s="1"/>
      <c r="M571" s="1"/>
    </row>
    <row r="572" spans="1:13">
      <c r="A572" s="1">
        <v>15.839637963208649</v>
      </c>
      <c r="B572" s="1">
        <v>-21.612391189126896</v>
      </c>
      <c r="C572" s="1">
        <v>-144.00618848730937</v>
      </c>
      <c r="D572" s="24">
        <f>Data__2[[#This Row],[Project_1]]/J$4</f>
        <v>0.10559758642139098</v>
      </c>
      <c r="E572" s="24">
        <f>Data__2[[#This Row],[Project_2]]/K$4</f>
        <v>-0.14408260792751265</v>
      </c>
      <c r="F572" s="24">
        <f>Data__2[[#This Row],[Market]]/L$4</f>
        <v>-0.14400618848730937</v>
      </c>
      <c r="G572" s="1">
        <f>L$24*Data__2[[#This Row],[Return Market]]*J$4</f>
        <v>-8.0003438048505302</v>
      </c>
      <c r="H572" s="1">
        <f>M$24*Data__2[[#This Row],[Return Market]]*K$4</f>
        <v>-8.4003609950930578</v>
      </c>
      <c r="I572" s="1"/>
      <c r="J572" s="1"/>
      <c r="K572" s="1"/>
      <c r="L572" s="1"/>
      <c r="M572" s="1"/>
    </row>
    <row r="573" spans="1:13">
      <c r="A573" s="1">
        <v>18.258176917891511</v>
      </c>
      <c r="B573" s="1">
        <v>0.70371455498264979</v>
      </c>
      <c r="C573" s="1">
        <v>-24.235539919292549</v>
      </c>
      <c r="D573" s="24">
        <f>Data__2[[#This Row],[Project_1]]/J$4</f>
        <v>0.12172117945261007</v>
      </c>
      <c r="E573" s="24">
        <f>Data__2[[#This Row],[Project_2]]/K$4</f>
        <v>4.6914303665509987E-3</v>
      </c>
      <c r="F573" s="24">
        <f>Data__2[[#This Row],[Market]]/L$4</f>
        <v>-2.4235539919292549E-2</v>
      </c>
      <c r="G573" s="1">
        <f>L$24*Data__2[[#This Row],[Return Market]]*J$4</f>
        <v>-1.3464188844051432</v>
      </c>
      <c r="H573" s="1">
        <f>M$24*Data__2[[#This Row],[Return Market]]*K$4</f>
        <v>-1.4137398286254006</v>
      </c>
      <c r="I573" s="1"/>
      <c r="J573" s="1"/>
      <c r="K573" s="1"/>
      <c r="L573" s="1"/>
      <c r="M573" s="1"/>
    </row>
    <row r="574" spans="1:13">
      <c r="A574" s="1">
        <v>44.08107262412863</v>
      </c>
      <c r="B574" s="1">
        <v>20.542615809586746</v>
      </c>
      <c r="C574" s="1">
        <v>190.45961509405259</v>
      </c>
      <c r="D574" s="24">
        <f>Data__2[[#This Row],[Project_1]]/J$4</f>
        <v>0.29387381749419089</v>
      </c>
      <c r="E574" s="24">
        <f>Data__2[[#This Row],[Project_2]]/K$4</f>
        <v>0.13695077206391162</v>
      </c>
      <c r="F574" s="24">
        <f>Data__2[[#This Row],[Market]]/L$4</f>
        <v>0.1904596150940526</v>
      </c>
      <c r="G574" s="1">
        <f>L$24*Data__2[[#This Row],[Return Market]]*J$4</f>
        <v>10.581089727447379</v>
      </c>
      <c r="H574" s="1">
        <f>M$24*Data__2[[#This Row],[Return Market]]*K$4</f>
        <v>11.110144213819749</v>
      </c>
      <c r="I574" s="1"/>
      <c r="J574" s="1"/>
      <c r="K574" s="1"/>
      <c r="L574" s="1"/>
      <c r="M574" s="1"/>
    </row>
    <row r="575" spans="1:13">
      <c r="A575" s="1">
        <v>25.407336410864545</v>
      </c>
      <c r="B575" s="1">
        <v>22.715463997495512</v>
      </c>
      <c r="C575" s="1">
        <v>75.909961356858247</v>
      </c>
      <c r="D575" s="24">
        <f>Data__2[[#This Row],[Project_1]]/J$4</f>
        <v>0.16938224273909697</v>
      </c>
      <c r="E575" s="24">
        <f>Data__2[[#This Row],[Project_2]]/K$4</f>
        <v>0.15143642664997009</v>
      </c>
      <c r="F575" s="24">
        <f>Data__2[[#This Row],[Market]]/L$4</f>
        <v>7.5909961356858249E-2</v>
      </c>
      <c r="G575" s="1">
        <f>L$24*Data__2[[#This Row],[Return Market]]*J$4</f>
        <v>4.2172200753810181</v>
      </c>
      <c r="H575" s="1">
        <f>M$24*Data__2[[#This Row],[Return Market]]*K$4</f>
        <v>4.4280810791500702</v>
      </c>
      <c r="I575" s="1"/>
      <c r="J575" s="1"/>
      <c r="K575" s="1"/>
      <c r="L575" s="1"/>
      <c r="M575" s="1"/>
    </row>
    <row r="576" spans="1:13">
      <c r="A576" s="1">
        <v>-19.833709837012464</v>
      </c>
      <c r="B576" s="1">
        <v>-2.3249054962289488</v>
      </c>
      <c r="C576" s="1">
        <v>-203.48941175499311</v>
      </c>
      <c r="D576" s="24">
        <f>Data__2[[#This Row],[Project_1]]/J$4</f>
        <v>-0.13222473224674977</v>
      </c>
      <c r="E576" s="24">
        <f>Data__2[[#This Row],[Project_2]]/K$4</f>
        <v>-1.5499369974859659E-2</v>
      </c>
      <c r="F576" s="24">
        <f>Data__2[[#This Row],[Market]]/L$4</f>
        <v>-0.2034894117549931</v>
      </c>
      <c r="G576" s="1">
        <f>L$24*Data__2[[#This Row],[Return Market]]*J$4</f>
        <v>-11.304967319721852</v>
      </c>
      <c r="H576" s="1">
        <f>M$24*Data__2[[#This Row],[Return Market]]*K$4</f>
        <v>-11.870215685707945</v>
      </c>
      <c r="I576" s="1"/>
      <c r="J576" s="1"/>
      <c r="K576" s="1"/>
      <c r="L576" s="1"/>
      <c r="M576" s="1"/>
    </row>
    <row r="577" spans="1:13">
      <c r="A577" s="1">
        <v>11.936379222195399</v>
      </c>
      <c r="B577" s="1">
        <v>3.1201872128781947</v>
      </c>
      <c r="C577" s="1">
        <v>-4.2182180128888973</v>
      </c>
      <c r="D577" s="24">
        <f>Data__2[[#This Row],[Project_1]]/J$4</f>
        <v>7.9575861481302662E-2</v>
      </c>
      <c r="E577" s="24">
        <f>Data__2[[#This Row],[Project_2]]/K$4</f>
        <v>2.080124808585463E-2</v>
      </c>
      <c r="F577" s="24">
        <f>Data__2[[#This Row],[Market]]/L$4</f>
        <v>-4.2182180128888976E-3</v>
      </c>
      <c r="G577" s="1">
        <f>L$24*Data__2[[#This Row],[Return Market]]*J$4</f>
        <v>-0.23434544516049458</v>
      </c>
      <c r="H577" s="1">
        <f>M$24*Data__2[[#This Row],[Return Market]]*K$4</f>
        <v>-0.24606271741851934</v>
      </c>
      <c r="I577" s="1"/>
      <c r="J577" s="1"/>
      <c r="K577" s="1"/>
      <c r="L577" s="1"/>
      <c r="M577" s="1"/>
    </row>
    <row r="578" spans="1:13">
      <c r="A578" s="1">
        <v>-4.9931186994040164</v>
      </c>
      <c r="B578" s="1">
        <v>-0.83156750481233743</v>
      </c>
      <c r="C578" s="1">
        <v>159.52018680245132</v>
      </c>
      <c r="D578" s="24">
        <f>Data__2[[#This Row],[Project_1]]/J$4</f>
        <v>-3.3287457996026774E-2</v>
      </c>
      <c r="E578" s="24">
        <f>Data__2[[#This Row],[Project_2]]/K$4</f>
        <v>-5.5437833654155833E-3</v>
      </c>
      <c r="F578" s="24">
        <f>Data__2[[#This Row],[Market]]/L$4</f>
        <v>0.15952018680245131</v>
      </c>
      <c r="G578" s="1">
        <f>L$24*Data__2[[#This Row],[Return Market]]*J$4</f>
        <v>8.8622326001361937</v>
      </c>
      <c r="H578" s="1">
        <f>M$24*Data__2[[#This Row],[Return Market]]*K$4</f>
        <v>9.3053442301430049</v>
      </c>
      <c r="I578" s="1"/>
      <c r="J578" s="1"/>
      <c r="K578" s="1"/>
      <c r="L578" s="1"/>
      <c r="M578" s="1"/>
    </row>
    <row r="579" spans="1:13">
      <c r="A579" s="1">
        <v>29.189417429932575</v>
      </c>
      <c r="B579" s="1">
        <v>28.985206880018211</v>
      </c>
      <c r="C579" s="1">
        <v>95.153313162811983</v>
      </c>
      <c r="D579" s="24">
        <f>Data__2[[#This Row],[Project_1]]/J$4</f>
        <v>0.1945961161995505</v>
      </c>
      <c r="E579" s="24">
        <f>Data__2[[#This Row],[Project_2]]/K$4</f>
        <v>0.19323471253345473</v>
      </c>
      <c r="F579" s="24">
        <f>Data__2[[#This Row],[Market]]/L$4</f>
        <v>9.5153313162811989E-2</v>
      </c>
      <c r="G579" s="1">
        <f>L$24*Data__2[[#This Row],[Return Market]]*J$4</f>
        <v>5.2862951757117838</v>
      </c>
      <c r="H579" s="1">
        <f>M$24*Data__2[[#This Row],[Return Market]]*K$4</f>
        <v>5.5506099344973734</v>
      </c>
      <c r="I579" s="1"/>
      <c r="J579" s="1"/>
      <c r="K579" s="1"/>
      <c r="L579" s="1"/>
      <c r="M579" s="1"/>
    </row>
    <row r="580" spans="1:13">
      <c r="A580" s="1">
        <v>9.6136873751527485</v>
      </c>
      <c r="B580" s="1">
        <v>3.9895690421357628</v>
      </c>
      <c r="C580" s="1">
        <v>251.29178027144357</v>
      </c>
      <c r="D580" s="24">
        <f>Data__2[[#This Row],[Project_1]]/J$4</f>
        <v>6.4091249167684994E-2</v>
      </c>
      <c r="E580" s="24">
        <f>Data__2[[#This Row],[Project_2]]/K$4</f>
        <v>2.6597126947571752E-2</v>
      </c>
      <c r="F580" s="24">
        <f>Data__2[[#This Row],[Market]]/L$4</f>
        <v>0.25129178027144355</v>
      </c>
      <c r="G580" s="1">
        <f>L$24*Data__2[[#This Row],[Return Market]]*J$4</f>
        <v>13.960654459524658</v>
      </c>
      <c r="H580" s="1">
        <f>M$24*Data__2[[#This Row],[Return Market]]*K$4</f>
        <v>14.658687182500893</v>
      </c>
      <c r="I580" s="1"/>
      <c r="J580" s="1"/>
      <c r="K580" s="1"/>
      <c r="L580" s="1"/>
      <c r="M580" s="1"/>
    </row>
    <row r="581" spans="1:13">
      <c r="A581" s="1">
        <v>19.277006613163685</v>
      </c>
      <c r="B581" s="1">
        <v>-3.902648035462958</v>
      </c>
      <c r="C581" s="1">
        <v>2.3886847491558854</v>
      </c>
      <c r="D581" s="24">
        <f>Data__2[[#This Row],[Project_1]]/J$4</f>
        <v>0.12851337742109123</v>
      </c>
      <c r="E581" s="24">
        <f>Data__2[[#This Row],[Project_2]]/K$4</f>
        <v>-2.6017653569753052E-2</v>
      </c>
      <c r="F581" s="24">
        <f>Data__2[[#This Row],[Market]]/L$4</f>
        <v>2.3886847491558852E-3</v>
      </c>
      <c r="G581" s="1">
        <f>L$24*Data__2[[#This Row],[Return Market]]*J$4</f>
        <v>0.13270470828643821</v>
      </c>
      <c r="H581" s="1">
        <f>M$24*Data__2[[#This Row],[Return Market]]*K$4</f>
        <v>0.13933994370076014</v>
      </c>
      <c r="I581" s="1"/>
      <c r="J581" s="1"/>
      <c r="K581" s="1"/>
      <c r="L581" s="1"/>
      <c r="M581" s="1"/>
    </row>
    <row r="582" spans="1:13">
      <c r="A582" s="1">
        <v>7.7359505334716943</v>
      </c>
      <c r="B582" s="1">
        <v>10.82625530901738</v>
      </c>
      <c r="C582" s="1">
        <v>8.0033648623910096</v>
      </c>
      <c r="D582" s="24">
        <f>Data__2[[#This Row],[Project_1]]/J$4</f>
        <v>5.157300355647796E-2</v>
      </c>
      <c r="E582" s="24">
        <f>Data__2[[#This Row],[Project_2]]/K$4</f>
        <v>7.2175035393449202E-2</v>
      </c>
      <c r="F582" s="24">
        <f>Data__2[[#This Row],[Market]]/L$4</f>
        <v>8.00336486239101E-3</v>
      </c>
      <c r="G582" s="1">
        <f>L$24*Data__2[[#This Row],[Return Market]]*J$4</f>
        <v>0.44463138124394547</v>
      </c>
      <c r="H582" s="1">
        <f>M$24*Data__2[[#This Row],[Return Market]]*K$4</f>
        <v>0.46686295030614289</v>
      </c>
      <c r="I582" s="1"/>
      <c r="J582" s="1"/>
      <c r="K582" s="1"/>
      <c r="L582" s="1"/>
      <c r="M582" s="1"/>
    </row>
    <row r="583" spans="1:13">
      <c r="A583" s="1">
        <v>4.5228154919482506</v>
      </c>
      <c r="B583" s="1">
        <v>-19.681134926023148</v>
      </c>
      <c r="C583" s="1">
        <v>-132.67388425863965</v>
      </c>
      <c r="D583" s="24">
        <f>Data__2[[#This Row],[Project_1]]/J$4</f>
        <v>3.0152103279655004E-2</v>
      </c>
      <c r="E583" s="24">
        <f>Data__2[[#This Row],[Project_2]]/K$4</f>
        <v>-0.13120756617348767</v>
      </c>
      <c r="F583" s="24">
        <f>Data__2[[#This Row],[Market]]/L$4</f>
        <v>-0.13267388425863966</v>
      </c>
      <c r="G583" s="1">
        <f>L$24*Data__2[[#This Row],[Return Market]]*J$4</f>
        <v>-7.3707713477022123</v>
      </c>
      <c r="H583" s="1">
        <f>M$24*Data__2[[#This Row],[Return Market]]*K$4</f>
        <v>-7.7393099150873228</v>
      </c>
      <c r="I583" s="1"/>
      <c r="J583" s="1"/>
      <c r="K583" s="1"/>
      <c r="L583" s="1"/>
      <c r="M583" s="1"/>
    </row>
    <row r="584" spans="1:13">
      <c r="A584" s="1">
        <v>58.282835728024523</v>
      </c>
      <c r="B584" s="1">
        <v>30.20234802204444</v>
      </c>
      <c r="C584" s="1">
        <v>384.28520010816243</v>
      </c>
      <c r="D584" s="24">
        <f>Data__2[[#This Row],[Project_1]]/J$4</f>
        <v>0.38855223818683016</v>
      </c>
      <c r="E584" s="24">
        <f>Data__2[[#This Row],[Project_2]]/K$4</f>
        <v>0.20134898681362959</v>
      </c>
      <c r="F584" s="24">
        <f>Data__2[[#This Row],[Market]]/L$4</f>
        <v>0.38428520010816242</v>
      </c>
      <c r="G584" s="1">
        <f>L$24*Data__2[[#This Row],[Return Market]]*J$4</f>
        <v>21.349177783786825</v>
      </c>
      <c r="H584" s="1">
        <f>M$24*Data__2[[#This Row],[Return Market]]*K$4</f>
        <v>22.416636672976171</v>
      </c>
      <c r="I584" s="1"/>
      <c r="J584" s="1"/>
      <c r="K584" s="1"/>
      <c r="L584" s="1"/>
      <c r="M584" s="1"/>
    </row>
    <row r="585" spans="1:13">
      <c r="A585" s="1">
        <v>52.051613000831523</v>
      </c>
      <c r="B585" s="1">
        <v>41.54410426193332</v>
      </c>
      <c r="C585" s="1">
        <v>299.40916186470247</v>
      </c>
      <c r="D585" s="24">
        <f>Data__2[[#This Row],[Project_1]]/J$4</f>
        <v>0.34701075333887682</v>
      </c>
      <c r="E585" s="24">
        <f>Data__2[[#This Row],[Project_2]]/K$4</f>
        <v>0.27696069507955545</v>
      </c>
      <c r="F585" s="24">
        <f>Data__2[[#This Row],[Market]]/L$4</f>
        <v>0.29940916186470246</v>
      </c>
      <c r="G585" s="1">
        <f>L$24*Data__2[[#This Row],[Return Market]]*J$4</f>
        <v>16.633842325816822</v>
      </c>
      <c r="H585" s="1">
        <f>M$24*Data__2[[#This Row],[Return Market]]*K$4</f>
        <v>17.465534442107664</v>
      </c>
      <c r="I585" s="1"/>
      <c r="J585" s="1"/>
      <c r="K585" s="1"/>
      <c r="L585" s="1"/>
      <c r="M585" s="1"/>
    </row>
    <row r="586" spans="1:13">
      <c r="A586" s="1">
        <v>6.6406876230125498</v>
      </c>
      <c r="B586" s="1">
        <v>-0.53155725012577015</v>
      </c>
      <c r="C586" s="1">
        <v>-107.33220240736264</v>
      </c>
      <c r="D586" s="24">
        <f>Data__2[[#This Row],[Project_1]]/J$4</f>
        <v>4.4271250820083666E-2</v>
      </c>
      <c r="E586" s="24">
        <f>Data__2[[#This Row],[Project_2]]/K$4</f>
        <v>-3.5437150008384675E-3</v>
      </c>
      <c r="F586" s="24">
        <f>Data__2[[#This Row],[Market]]/L$4</f>
        <v>-0.10733220240736265</v>
      </c>
      <c r="G586" s="1">
        <f>L$24*Data__2[[#This Row],[Return Market]]*J$4</f>
        <v>-5.9629001337423766</v>
      </c>
      <c r="H586" s="1">
        <f>M$24*Data__2[[#This Row],[Return Market]]*K$4</f>
        <v>-6.2610451404294949</v>
      </c>
      <c r="I586" s="1"/>
      <c r="J586" s="1"/>
      <c r="K586" s="1"/>
      <c r="L586" s="1"/>
      <c r="M586" s="1"/>
    </row>
    <row r="587" spans="1:13">
      <c r="A587" s="1">
        <v>3.3581762847706189</v>
      </c>
      <c r="B587" s="1">
        <v>32.950939076723813</v>
      </c>
      <c r="C587" s="1">
        <v>316.37951410337809</v>
      </c>
      <c r="D587" s="24">
        <f>Data__2[[#This Row],[Project_1]]/J$4</f>
        <v>2.2387841898470793E-2</v>
      </c>
      <c r="E587" s="24">
        <f>Data__2[[#This Row],[Project_2]]/K$4</f>
        <v>0.21967292717815876</v>
      </c>
      <c r="F587" s="24">
        <f>Data__2[[#This Row],[Market]]/L$4</f>
        <v>0.31637951410337811</v>
      </c>
      <c r="G587" s="1">
        <f>L$24*Data__2[[#This Row],[Return Market]]*J$4</f>
        <v>17.576639672409915</v>
      </c>
      <c r="H587" s="1">
        <f>M$24*Data__2[[#This Row],[Return Market]]*K$4</f>
        <v>18.455471656030415</v>
      </c>
      <c r="I587" s="1"/>
      <c r="J587" s="1"/>
      <c r="K587" s="1"/>
      <c r="L587" s="1"/>
      <c r="M587" s="1"/>
    </row>
    <row r="588" spans="1:13">
      <c r="A588" s="1">
        <v>31.349727601723465</v>
      </c>
      <c r="B588" s="1">
        <v>28.401904493466631</v>
      </c>
      <c r="C588" s="1">
        <v>500.51325732952648</v>
      </c>
      <c r="D588" s="24">
        <f>Data__2[[#This Row],[Project_1]]/J$4</f>
        <v>0.20899818401148976</v>
      </c>
      <c r="E588" s="24">
        <f>Data__2[[#This Row],[Project_2]]/K$4</f>
        <v>0.1893460299564442</v>
      </c>
      <c r="F588" s="24">
        <f>Data__2[[#This Row],[Market]]/L$4</f>
        <v>0.50051325732952645</v>
      </c>
      <c r="G588" s="1">
        <f>L$24*Data__2[[#This Row],[Return Market]]*J$4</f>
        <v>27.806292073862611</v>
      </c>
      <c r="H588" s="1">
        <f>M$24*Data__2[[#This Row],[Return Market]]*K$4</f>
        <v>29.196606677555749</v>
      </c>
      <c r="I588" s="1"/>
      <c r="J588" s="1"/>
      <c r="K588" s="1"/>
      <c r="L588" s="1"/>
      <c r="M588" s="1"/>
    </row>
    <row r="589" spans="1:13">
      <c r="A589" s="1">
        <v>32.725622213814248</v>
      </c>
      <c r="B589" s="1">
        <v>20.872560731022958</v>
      </c>
      <c r="C589" s="1">
        <v>54.305875268713528</v>
      </c>
      <c r="D589" s="24">
        <f>Data__2[[#This Row],[Project_1]]/J$4</f>
        <v>0.21817081475876166</v>
      </c>
      <c r="E589" s="24">
        <f>Data__2[[#This Row],[Project_2]]/K$4</f>
        <v>0.13915040487348637</v>
      </c>
      <c r="F589" s="24">
        <f>Data__2[[#This Row],[Market]]/L$4</f>
        <v>5.4305875268713527E-2</v>
      </c>
      <c r="G589" s="1">
        <f>L$24*Data__2[[#This Row],[Return Market]]*J$4</f>
        <v>3.0169930704840886</v>
      </c>
      <c r="H589" s="1">
        <f>M$24*Data__2[[#This Row],[Return Market]]*K$4</f>
        <v>3.1678427240082931</v>
      </c>
      <c r="I589" s="1"/>
      <c r="J589" s="1"/>
      <c r="K589" s="1"/>
      <c r="L589" s="1"/>
      <c r="M589" s="1"/>
    </row>
    <row r="590" spans="1:13">
      <c r="A590" s="1">
        <v>-3.9613963943335087</v>
      </c>
      <c r="B590" s="1">
        <v>4.284476957403589</v>
      </c>
      <c r="C590" s="1">
        <v>159.22755273536796</v>
      </c>
      <c r="D590" s="24">
        <f>Data__2[[#This Row],[Project_1]]/J$4</f>
        <v>-2.6409309295556724E-2</v>
      </c>
      <c r="E590" s="24">
        <f>Data__2[[#This Row],[Project_2]]/K$4</f>
        <v>2.8563179716023925E-2</v>
      </c>
      <c r="F590" s="24">
        <f>Data__2[[#This Row],[Market]]/L$4</f>
        <v>0.15922755273536796</v>
      </c>
      <c r="G590" s="1">
        <f>L$24*Data__2[[#This Row],[Return Market]]*J$4</f>
        <v>8.8459751519648968</v>
      </c>
      <c r="H590" s="1">
        <f>M$24*Data__2[[#This Row],[Return Market]]*K$4</f>
        <v>9.2882739095631432</v>
      </c>
      <c r="I590" s="1"/>
      <c r="J590" s="1"/>
      <c r="K590" s="1"/>
      <c r="L590" s="1"/>
      <c r="M590" s="1"/>
    </row>
    <row r="591" spans="1:13">
      <c r="A591" s="1">
        <v>35.44804127960812</v>
      </c>
      <c r="B591" s="1">
        <v>24.433910941666319</v>
      </c>
      <c r="C591" s="1">
        <v>105.80098383873951</v>
      </c>
      <c r="D591" s="24">
        <f>Data__2[[#This Row],[Project_1]]/J$4</f>
        <v>0.23632027519738746</v>
      </c>
      <c r="E591" s="24">
        <f>Data__2[[#This Row],[Project_2]]/K$4</f>
        <v>0.16289273961110878</v>
      </c>
      <c r="F591" s="24">
        <f>Data__2[[#This Row],[Market]]/L$4</f>
        <v>0.10580098383873951</v>
      </c>
      <c r="G591" s="1">
        <f>L$24*Data__2[[#This Row],[Return Market]]*J$4</f>
        <v>5.8778324354855354</v>
      </c>
      <c r="H591" s="1">
        <f>M$24*Data__2[[#This Row],[Return Market]]*K$4</f>
        <v>6.1717240572598131</v>
      </c>
      <c r="I591" s="1"/>
      <c r="J591" s="1"/>
      <c r="K591" s="1"/>
      <c r="L591" s="1"/>
      <c r="M591" s="1"/>
    </row>
    <row r="592" spans="1:13">
      <c r="A592" s="1">
        <v>12.582771889261519</v>
      </c>
      <c r="B592" s="1">
        <v>-2.4141227450833611</v>
      </c>
      <c r="C592" s="1">
        <v>248.30292077893574</v>
      </c>
      <c r="D592" s="24">
        <f>Data__2[[#This Row],[Project_1]]/J$4</f>
        <v>8.3885145928410121E-2</v>
      </c>
      <c r="E592" s="24">
        <f>Data__2[[#This Row],[Project_2]]/K$4</f>
        <v>-1.6094151633889074E-2</v>
      </c>
      <c r="F592" s="24">
        <f>Data__2[[#This Row],[Market]]/L$4</f>
        <v>0.24830292077893573</v>
      </c>
      <c r="G592" s="1">
        <f>L$24*Data__2[[#This Row],[Return Market]]*J$4</f>
        <v>13.794606709940888</v>
      </c>
      <c r="H592" s="1">
        <f>M$24*Data__2[[#This Row],[Return Market]]*K$4</f>
        <v>14.484337045437938</v>
      </c>
      <c r="I592" s="1"/>
      <c r="J592" s="1"/>
      <c r="K592" s="1"/>
      <c r="L592" s="1"/>
      <c r="M592" s="1"/>
    </row>
    <row r="593" spans="1:13">
      <c r="A593" s="1">
        <v>31.702188880441216</v>
      </c>
      <c r="B593" s="1">
        <v>4.9851224454706653</v>
      </c>
      <c r="C593" s="1">
        <v>-87.3742938407959</v>
      </c>
      <c r="D593" s="24">
        <f>Data__2[[#This Row],[Project_1]]/J$4</f>
        <v>0.2113479258696081</v>
      </c>
      <c r="E593" s="24">
        <f>Data__2[[#This Row],[Project_2]]/K$4</f>
        <v>3.3234149636471103E-2</v>
      </c>
      <c r="F593" s="24">
        <f>Data__2[[#This Row],[Market]]/L$4</f>
        <v>-8.7374293840795897E-2</v>
      </c>
      <c r="G593" s="1">
        <f>L$24*Data__2[[#This Row],[Return Market]]*J$4</f>
        <v>-4.8541274355997777</v>
      </c>
      <c r="H593" s="1">
        <f>M$24*Data__2[[#This Row],[Return Market]]*K$4</f>
        <v>-5.0968338073797668</v>
      </c>
      <c r="I593" s="1"/>
      <c r="J593" s="1"/>
      <c r="K593" s="1"/>
      <c r="L593" s="1"/>
      <c r="M593" s="1"/>
    </row>
    <row r="594" spans="1:13">
      <c r="A594" s="1">
        <v>-17.953380685581131</v>
      </c>
      <c r="B594" s="1">
        <v>-13.693947271711544</v>
      </c>
      <c r="C594" s="1">
        <v>-257.59517548798061</v>
      </c>
      <c r="D594" s="24">
        <f>Data__2[[#This Row],[Project_1]]/J$4</f>
        <v>-0.11968920457054087</v>
      </c>
      <c r="E594" s="24">
        <f>Data__2[[#This Row],[Project_2]]/K$4</f>
        <v>-9.1292981811410295E-2</v>
      </c>
      <c r="F594" s="24">
        <f>Data__2[[#This Row],[Market]]/L$4</f>
        <v>-0.25759517548798061</v>
      </c>
      <c r="G594" s="1">
        <f>L$24*Data__2[[#This Row],[Return Market]]*J$4</f>
        <v>-14.310843082665604</v>
      </c>
      <c r="H594" s="1">
        <f>M$24*Data__2[[#This Row],[Return Market]]*K$4</f>
        <v>-15.026385236798889</v>
      </c>
      <c r="I594" s="1"/>
      <c r="J594" s="1"/>
      <c r="K594" s="1"/>
      <c r="L594" s="1"/>
      <c r="M594" s="1"/>
    </row>
    <row r="595" spans="1:13">
      <c r="A595" s="1">
        <v>12.648787713941996</v>
      </c>
      <c r="B595" s="1">
        <v>8.5966884738902181</v>
      </c>
      <c r="C595" s="1">
        <v>111.13947425914424</v>
      </c>
      <c r="D595" s="24">
        <f>Data__2[[#This Row],[Project_1]]/J$4</f>
        <v>8.4325251426279973E-2</v>
      </c>
      <c r="E595" s="24">
        <f>Data__2[[#This Row],[Project_2]]/K$4</f>
        <v>5.7311256492601451E-2</v>
      </c>
      <c r="F595" s="24">
        <f>Data__2[[#This Row],[Market]]/L$4</f>
        <v>0.11113947425914424</v>
      </c>
      <c r="G595" s="1">
        <f>L$24*Data__2[[#This Row],[Return Market]]*J$4</f>
        <v>6.1744152366191312</v>
      </c>
      <c r="H595" s="1">
        <f>M$24*Data__2[[#This Row],[Return Market]]*K$4</f>
        <v>6.4831359984500896</v>
      </c>
      <c r="I595" s="1"/>
      <c r="J595" s="1"/>
      <c r="K595" s="1"/>
      <c r="L595" s="1"/>
      <c r="M595" s="1"/>
    </row>
    <row r="596" spans="1:13">
      <c r="A596" s="1">
        <v>6.7256331600666286</v>
      </c>
      <c r="B596" s="1">
        <v>2.2087602470411136</v>
      </c>
      <c r="C596" s="1">
        <v>184.19781598246271</v>
      </c>
      <c r="D596" s="24">
        <f>Data__2[[#This Row],[Project_1]]/J$4</f>
        <v>4.4837554400444193E-2</v>
      </c>
      <c r="E596" s="24">
        <f>Data__2[[#This Row],[Project_2]]/K$4</f>
        <v>1.4725068313607424E-2</v>
      </c>
      <c r="F596" s="24">
        <f>Data__2[[#This Row],[Market]]/L$4</f>
        <v>0.18419781598246271</v>
      </c>
      <c r="G596" s="1">
        <f>L$24*Data__2[[#This Row],[Return Market]]*J$4</f>
        <v>10.233211999025718</v>
      </c>
      <c r="H596" s="1">
        <f>M$24*Data__2[[#This Row],[Return Market]]*K$4</f>
        <v>10.744872598977006</v>
      </c>
      <c r="I596" s="1"/>
      <c r="J596" s="1"/>
      <c r="K596" s="1"/>
      <c r="L596" s="1"/>
      <c r="M596" s="1"/>
    </row>
    <row r="597" spans="1:13">
      <c r="A597" s="1">
        <v>6.9235172979527588</v>
      </c>
      <c r="B597" s="1">
        <v>-3.052503135939622</v>
      </c>
      <c r="C597" s="1">
        <v>3.8629267848975957</v>
      </c>
      <c r="D597" s="24">
        <f>Data__2[[#This Row],[Project_1]]/J$4</f>
        <v>4.6156781986351723E-2</v>
      </c>
      <c r="E597" s="24">
        <f>Data__2[[#This Row],[Project_2]]/K$4</f>
        <v>-2.0350020906264147E-2</v>
      </c>
      <c r="F597" s="24">
        <f>Data__2[[#This Row],[Market]]/L$4</f>
        <v>3.8629267848975957E-3</v>
      </c>
      <c r="G597" s="1">
        <f>L$24*Data__2[[#This Row],[Return Market]]*J$4</f>
        <v>0.21460704360542224</v>
      </c>
      <c r="H597" s="1">
        <f>M$24*Data__2[[#This Row],[Return Market]]*K$4</f>
        <v>0.22533739578569337</v>
      </c>
      <c r="I597" s="1"/>
      <c r="J597" s="1"/>
      <c r="K597" s="1"/>
      <c r="L597" s="1"/>
      <c r="M597" s="1"/>
    </row>
    <row r="598" spans="1:13">
      <c r="A598" s="1">
        <v>1.8502468756981614</v>
      </c>
      <c r="B598" s="1">
        <v>-3.538449014810805</v>
      </c>
      <c r="C598" s="1">
        <v>93.016957530553483</v>
      </c>
      <c r="D598" s="24">
        <f>Data__2[[#This Row],[Project_1]]/J$4</f>
        <v>1.2334979171321077E-2</v>
      </c>
      <c r="E598" s="24">
        <f>Data__2[[#This Row],[Project_2]]/K$4</f>
        <v>-2.35896600987387E-2</v>
      </c>
      <c r="F598" s="24">
        <f>Data__2[[#This Row],[Market]]/L$4</f>
        <v>9.3016957530553487E-2</v>
      </c>
      <c r="G598" s="1">
        <f>L$24*Data__2[[#This Row],[Return Market]]*J$4</f>
        <v>5.1676087516974212</v>
      </c>
      <c r="H598" s="1">
        <f>M$24*Data__2[[#This Row],[Return Market]]*K$4</f>
        <v>5.4259891892822942</v>
      </c>
      <c r="I598" s="1"/>
      <c r="J598" s="1"/>
      <c r="K598" s="1"/>
      <c r="L598" s="1"/>
      <c r="M598" s="1"/>
    </row>
    <row r="599" spans="1:13">
      <c r="A599" s="1">
        <v>17.75005988223382</v>
      </c>
      <c r="B599" s="1">
        <v>4.4147004203778382</v>
      </c>
      <c r="C599" s="1">
        <v>-136.26406836817733</v>
      </c>
      <c r="D599" s="24">
        <f>Data__2[[#This Row],[Project_1]]/J$4</f>
        <v>0.11833373254822548</v>
      </c>
      <c r="E599" s="24">
        <f>Data__2[[#This Row],[Project_2]]/K$4</f>
        <v>2.9431336135852255E-2</v>
      </c>
      <c r="F599" s="24">
        <f>Data__2[[#This Row],[Market]]/L$4</f>
        <v>-0.13626406836817734</v>
      </c>
      <c r="G599" s="1">
        <f>L$24*Data__2[[#This Row],[Return Market]]*J$4</f>
        <v>-7.5702260204543057</v>
      </c>
      <c r="H599" s="1">
        <f>M$24*Data__2[[#This Row],[Return Market]]*K$4</f>
        <v>-7.9487373214770214</v>
      </c>
      <c r="I599" s="1"/>
      <c r="J599" s="1"/>
      <c r="K599" s="1"/>
      <c r="L599" s="1"/>
      <c r="M599" s="1"/>
    </row>
    <row r="600" spans="1:13">
      <c r="A600" s="1">
        <v>13.438956799058269</v>
      </c>
      <c r="B600" s="1">
        <v>3.5511802514207869</v>
      </c>
      <c r="C600" s="1">
        <v>200.90573765301923</v>
      </c>
      <c r="D600" s="24">
        <f>Data__2[[#This Row],[Project_1]]/J$4</f>
        <v>8.9593045327055129E-2</v>
      </c>
      <c r="E600" s="24">
        <f>Data__2[[#This Row],[Project_2]]/K$4</f>
        <v>2.3674535009471913E-2</v>
      </c>
      <c r="F600" s="24">
        <f>Data__2[[#This Row],[Market]]/L$4</f>
        <v>0.20090573765301922</v>
      </c>
      <c r="G600" s="1">
        <f>L$24*Data__2[[#This Row],[Return Market]]*J$4</f>
        <v>11.16142986961219</v>
      </c>
      <c r="H600" s="1">
        <f>M$24*Data__2[[#This Row],[Return Market]]*K$4</f>
        <v>11.719501363092803</v>
      </c>
      <c r="I600" s="1"/>
      <c r="J600" s="1"/>
      <c r="K600" s="1"/>
      <c r="L600" s="1"/>
      <c r="M600" s="1"/>
    </row>
    <row r="601" spans="1:13">
      <c r="A601" s="1">
        <v>15.805691969374795</v>
      </c>
      <c r="B601" s="1">
        <v>7.4446915884941225</v>
      </c>
      <c r="C601" s="1">
        <v>93.936836692776879</v>
      </c>
      <c r="D601" s="24">
        <f>Data__2[[#This Row],[Project_1]]/J$4</f>
        <v>0.10537127979583197</v>
      </c>
      <c r="E601" s="24">
        <f>Data__2[[#This Row],[Project_2]]/K$4</f>
        <v>4.9631277256627485E-2</v>
      </c>
      <c r="F601" s="24">
        <f>Data__2[[#This Row],[Market]]/L$4</f>
        <v>9.3936836692776873E-2</v>
      </c>
      <c r="G601" s="1">
        <f>L$24*Data__2[[#This Row],[Return Market]]*J$4</f>
        <v>5.2187131495987211</v>
      </c>
      <c r="H601" s="1">
        <f>M$24*Data__2[[#This Row],[Return Market]]*K$4</f>
        <v>5.4796488070786582</v>
      </c>
      <c r="I601" s="1"/>
      <c r="J601" s="1"/>
      <c r="K601" s="1"/>
      <c r="L601" s="1"/>
      <c r="M601" s="1"/>
    </row>
    <row r="602" spans="1:13">
      <c r="A602" s="1">
        <v>6.5169245914628497</v>
      </c>
      <c r="B602" s="1">
        <v>-3.5111012451960342</v>
      </c>
      <c r="C602" s="1">
        <v>-217.10184203021055</v>
      </c>
      <c r="D602" s="24">
        <f>Data__2[[#This Row],[Project_1]]/J$4</f>
        <v>4.3446163943085668E-2</v>
      </c>
      <c r="E602" s="24">
        <f>Data__2[[#This Row],[Project_2]]/K$4</f>
        <v>-2.3407341634640227E-2</v>
      </c>
      <c r="F602" s="24">
        <f>Data__2[[#This Row],[Market]]/L$4</f>
        <v>-0.21710184203021055</v>
      </c>
      <c r="G602" s="1">
        <f>L$24*Data__2[[#This Row],[Return Market]]*J$4</f>
        <v>-12.061213446122823</v>
      </c>
      <c r="H602" s="1">
        <f>M$24*Data__2[[#This Row],[Return Market]]*K$4</f>
        <v>-12.664274118428965</v>
      </c>
      <c r="I602" s="1"/>
      <c r="J602" s="1"/>
      <c r="K602" s="1"/>
      <c r="L602" s="1"/>
      <c r="M602" s="1"/>
    </row>
    <row r="603" spans="1:13">
      <c r="A603" s="1">
        <v>-24.594934351263234</v>
      </c>
      <c r="B603" s="1">
        <v>3.5311897235885681E-3</v>
      </c>
      <c r="C603" s="1">
        <v>-38.368434512457753</v>
      </c>
      <c r="D603" s="24">
        <f>Data__2[[#This Row],[Project_1]]/J$4</f>
        <v>-0.16396622900842156</v>
      </c>
      <c r="E603" s="24">
        <f>Data__2[[#This Row],[Project_2]]/K$4</f>
        <v>2.3541264823923787E-5</v>
      </c>
      <c r="F603" s="24">
        <f>Data__2[[#This Row],[Market]]/L$4</f>
        <v>-3.8368434512457757E-2</v>
      </c>
      <c r="G603" s="1">
        <f>L$24*Data__2[[#This Row],[Return Market]]*J$4</f>
        <v>-2.1315796951365447</v>
      </c>
      <c r="H603" s="1">
        <f>M$24*Data__2[[#This Row],[Return Market]]*K$4</f>
        <v>-2.2381586798933721</v>
      </c>
      <c r="I603" s="1"/>
      <c r="J603" s="1"/>
      <c r="K603" s="1"/>
      <c r="L603" s="1"/>
      <c r="M603" s="1"/>
    </row>
    <row r="604" spans="1:13">
      <c r="A604" s="1">
        <v>-6.7977339653963362</v>
      </c>
      <c r="B604" s="1">
        <v>0.93585125509699907</v>
      </c>
      <c r="C604" s="1">
        <v>-161.77644017704233</v>
      </c>
      <c r="D604" s="24">
        <f>Data__2[[#This Row],[Project_1]]/J$4</f>
        <v>-4.5318226435975578E-2</v>
      </c>
      <c r="E604" s="24">
        <f>Data__2[[#This Row],[Project_2]]/K$4</f>
        <v>6.2390083673133272E-3</v>
      </c>
      <c r="F604" s="24">
        <f>Data__2[[#This Row],[Market]]/L$4</f>
        <v>-0.16177644017704232</v>
      </c>
      <c r="G604" s="1">
        <f>L$24*Data__2[[#This Row],[Return Market]]*J$4</f>
        <v>-8.9875800098356944</v>
      </c>
      <c r="H604" s="1">
        <f>M$24*Data__2[[#This Row],[Return Market]]*K$4</f>
        <v>-9.436959010327481</v>
      </c>
      <c r="I604" s="1"/>
      <c r="J604" s="1"/>
      <c r="K604" s="1"/>
      <c r="L604" s="1"/>
      <c r="M604" s="1"/>
    </row>
    <row r="605" spans="1:13">
      <c r="A605" s="1">
        <v>17.351931551399808</v>
      </c>
      <c r="B605" s="1">
        <v>8.2807681612935014</v>
      </c>
      <c r="C605" s="1">
        <v>344.51487514586449</v>
      </c>
      <c r="D605" s="24">
        <f>Data__2[[#This Row],[Project_1]]/J$4</f>
        <v>0.11567954367599873</v>
      </c>
      <c r="E605" s="24">
        <f>Data__2[[#This Row],[Project_2]]/K$4</f>
        <v>5.5205121075290006E-2</v>
      </c>
      <c r="F605" s="24">
        <f>Data__2[[#This Row],[Market]]/L$4</f>
        <v>0.34451487514586449</v>
      </c>
      <c r="G605" s="1">
        <f>L$24*Data__2[[#This Row],[Return Market]]*J$4</f>
        <v>19.139715285881383</v>
      </c>
      <c r="H605" s="1">
        <f>M$24*Data__2[[#This Row],[Return Market]]*K$4</f>
        <v>20.096701050175454</v>
      </c>
      <c r="I605" s="1"/>
      <c r="J605" s="1"/>
      <c r="K605" s="1"/>
      <c r="L605" s="1"/>
      <c r="M605" s="1"/>
    </row>
    <row r="606" spans="1:13">
      <c r="A606" s="1">
        <v>14.430125422094262</v>
      </c>
      <c r="B606" s="1">
        <v>-8.1219879128875938</v>
      </c>
      <c r="C606" s="1">
        <v>-99.292694553230433</v>
      </c>
      <c r="D606" s="24">
        <f>Data__2[[#This Row],[Project_1]]/J$4</f>
        <v>9.6200836147295077E-2</v>
      </c>
      <c r="E606" s="24">
        <f>Data__2[[#This Row],[Project_2]]/K$4</f>
        <v>-5.4146586085917291E-2</v>
      </c>
      <c r="F606" s="24">
        <f>Data__2[[#This Row],[Market]]/L$4</f>
        <v>-9.9292694553230434E-2</v>
      </c>
      <c r="G606" s="1">
        <f>L$24*Data__2[[#This Row],[Return Market]]*J$4</f>
        <v>-5.5162608085128078</v>
      </c>
      <c r="H606" s="1">
        <f>M$24*Data__2[[#This Row],[Return Market]]*K$4</f>
        <v>-5.7920738489384496</v>
      </c>
      <c r="I606" s="1"/>
      <c r="J606" s="1"/>
      <c r="K606" s="1"/>
      <c r="L606" s="1"/>
      <c r="M606" s="1"/>
    </row>
    <row r="607" spans="1:13">
      <c r="A607" s="1">
        <v>24.398488586790595</v>
      </c>
      <c r="B607" s="1">
        <v>32.091583504931279</v>
      </c>
      <c r="C607" s="1">
        <v>168.02110786489101</v>
      </c>
      <c r="D607" s="24">
        <f>Data__2[[#This Row],[Project_1]]/J$4</f>
        <v>0.16265659057860396</v>
      </c>
      <c r="E607" s="24">
        <f>Data__2[[#This Row],[Project_2]]/K$4</f>
        <v>0.2139438900328752</v>
      </c>
      <c r="F607" s="24">
        <f>Data__2[[#This Row],[Market]]/L$4</f>
        <v>0.168021107864891</v>
      </c>
      <c r="G607" s="1">
        <f>L$24*Data__2[[#This Row],[Return Market]]*J$4</f>
        <v>9.3345059924939555</v>
      </c>
      <c r="H607" s="1">
        <f>M$24*Data__2[[#This Row],[Return Market]]*K$4</f>
        <v>9.8012312921186542</v>
      </c>
      <c r="I607" s="1"/>
      <c r="J607" s="1"/>
      <c r="K607" s="1"/>
      <c r="L607" s="1"/>
      <c r="M607" s="1"/>
    </row>
    <row r="608" spans="1:13">
      <c r="A608" s="1">
        <v>39.483142803008647</v>
      </c>
      <c r="B608" s="1">
        <v>7.3790345497313341</v>
      </c>
      <c r="C608" s="1">
        <v>-103.43382291694414</v>
      </c>
      <c r="D608" s="24">
        <f>Data__2[[#This Row],[Project_1]]/J$4</f>
        <v>0.26322095202005763</v>
      </c>
      <c r="E608" s="24">
        <f>Data__2[[#This Row],[Project_2]]/K$4</f>
        <v>4.919356366487556E-2</v>
      </c>
      <c r="F608" s="24">
        <f>Data__2[[#This Row],[Market]]/L$4</f>
        <v>-0.10343382291694414</v>
      </c>
      <c r="G608" s="1">
        <f>L$24*Data__2[[#This Row],[Return Market]]*J$4</f>
        <v>-5.7463234953857922</v>
      </c>
      <c r="H608" s="1">
        <f>M$24*Data__2[[#This Row],[Return Market]]*K$4</f>
        <v>-6.0336396701550834</v>
      </c>
      <c r="I608" s="1"/>
      <c r="J608" s="1"/>
      <c r="K608" s="1"/>
      <c r="L608" s="1"/>
      <c r="M608" s="1"/>
    </row>
    <row r="609" spans="1:13">
      <c r="A609" s="1">
        <v>29.187297188417208</v>
      </c>
      <c r="B609" s="1">
        <v>20.124239208102722</v>
      </c>
      <c r="C609" s="1">
        <v>67.096579598100902</v>
      </c>
      <c r="D609" s="24">
        <f>Data__2[[#This Row],[Project_1]]/J$4</f>
        <v>0.19458198125611473</v>
      </c>
      <c r="E609" s="24">
        <f>Data__2[[#This Row],[Project_2]]/K$4</f>
        <v>0.13416159472068481</v>
      </c>
      <c r="F609" s="24">
        <f>Data__2[[#This Row],[Market]]/L$4</f>
        <v>6.7096579598100906E-2</v>
      </c>
      <c r="G609" s="1">
        <f>L$24*Data__2[[#This Row],[Return Market]]*J$4</f>
        <v>3.7275877554500547</v>
      </c>
      <c r="H609" s="1">
        <f>M$24*Data__2[[#This Row],[Return Market]]*K$4</f>
        <v>3.9139671432225578</v>
      </c>
      <c r="I609" s="1"/>
      <c r="J609" s="1"/>
      <c r="K609" s="1"/>
      <c r="L609" s="1"/>
      <c r="M609" s="1"/>
    </row>
    <row r="610" spans="1:13">
      <c r="A610" s="1">
        <v>17.583635529729115</v>
      </c>
      <c r="B610" s="1">
        <v>37.248316874454773</v>
      </c>
      <c r="C610" s="1">
        <v>12.681407983604899</v>
      </c>
      <c r="D610" s="24">
        <f>Data__2[[#This Row],[Project_1]]/J$4</f>
        <v>0.11722423686486076</v>
      </c>
      <c r="E610" s="24">
        <f>Data__2[[#This Row],[Project_2]]/K$4</f>
        <v>0.24832211249636515</v>
      </c>
      <c r="F610" s="24">
        <f>Data__2[[#This Row],[Market]]/L$4</f>
        <v>1.2681407983604899E-2</v>
      </c>
      <c r="G610" s="1">
        <f>L$24*Data__2[[#This Row],[Return Market]]*J$4</f>
        <v>0.70452266575582856</v>
      </c>
      <c r="H610" s="1">
        <f>M$24*Data__2[[#This Row],[Return Market]]*K$4</f>
        <v>0.73974879904362012</v>
      </c>
      <c r="I610" s="1"/>
      <c r="J610" s="1"/>
      <c r="K610" s="1"/>
      <c r="L610" s="1"/>
      <c r="M610" s="1"/>
    </row>
    <row r="611" spans="1:13">
      <c r="A611" s="1">
        <v>-21.779933718401445</v>
      </c>
      <c r="B611" s="1">
        <v>1.0954958609880308</v>
      </c>
      <c r="C611" s="1">
        <v>-48.310536731720163</v>
      </c>
      <c r="D611" s="24">
        <f>Data__2[[#This Row],[Project_1]]/J$4</f>
        <v>-0.14519955812267629</v>
      </c>
      <c r="E611" s="24">
        <f>Data__2[[#This Row],[Project_2]]/K$4</f>
        <v>7.3033057399202054E-3</v>
      </c>
      <c r="F611" s="24">
        <f>Data__2[[#This Row],[Market]]/L$4</f>
        <v>-4.8310536731720165E-2</v>
      </c>
      <c r="G611" s="1">
        <f>L$24*Data__2[[#This Row],[Return Market]]*J$4</f>
        <v>-2.6839187073177899</v>
      </c>
      <c r="H611" s="1">
        <f>M$24*Data__2[[#This Row],[Return Market]]*K$4</f>
        <v>-2.8181146426836801</v>
      </c>
      <c r="I611" s="1"/>
      <c r="J611" s="1"/>
      <c r="K611" s="1"/>
      <c r="L611" s="1"/>
      <c r="M611" s="1"/>
    </row>
    <row r="612" spans="1:13">
      <c r="A612" s="1">
        <v>16.582357655364703</v>
      </c>
      <c r="B612" s="1">
        <v>21.497282410043141</v>
      </c>
      <c r="C612" s="1">
        <v>187.05390642672245</v>
      </c>
      <c r="D612" s="24">
        <f>Data__2[[#This Row],[Project_1]]/J$4</f>
        <v>0.11054905103576469</v>
      </c>
      <c r="E612" s="24">
        <f>Data__2[[#This Row],[Project_2]]/K$4</f>
        <v>0.14331521606695427</v>
      </c>
      <c r="F612" s="24">
        <f>Data__2[[#This Row],[Market]]/L$4</f>
        <v>0.18705390642672245</v>
      </c>
      <c r="G612" s="1">
        <f>L$24*Data__2[[#This Row],[Return Market]]*J$4</f>
        <v>10.391883690373481</v>
      </c>
      <c r="H612" s="1">
        <f>M$24*Data__2[[#This Row],[Return Market]]*K$4</f>
        <v>10.911477874892157</v>
      </c>
      <c r="I612" s="1"/>
      <c r="J612" s="1"/>
      <c r="K612" s="1"/>
      <c r="L612" s="1"/>
      <c r="M612" s="1"/>
    </row>
    <row r="613" spans="1:13">
      <c r="A613" s="1">
        <v>1.0002947192659501</v>
      </c>
      <c r="B613" s="1">
        <v>4.2109837810492259</v>
      </c>
      <c r="C613" s="1">
        <v>170.67134342002169</v>
      </c>
      <c r="D613" s="24">
        <f>Data__2[[#This Row],[Project_1]]/J$4</f>
        <v>6.6686314617730013E-3</v>
      </c>
      <c r="E613" s="24">
        <f>Data__2[[#This Row],[Project_2]]/K$4</f>
        <v>2.8073225206994838E-2</v>
      </c>
      <c r="F613" s="24">
        <f>Data__2[[#This Row],[Market]]/L$4</f>
        <v>0.17067134342002169</v>
      </c>
      <c r="G613" s="1">
        <f>L$24*Data__2[[#This Row],[Return Market]]*J$4</f>
        <v>9.4817413011123275</v>
      </c>
      <c r="H613" s="1">
        <f>M$24*Data__2[[#This Row],[Return Market]]*K$4</f>
        <v>9.9558283661679443</v>
      </c>
      <c r="I613" s="1"/>
      <c r="J613" s="1"/>
      <c r="K613" s="1"/>
      <c r="L613" s="1"/>
      <c r="M613" s="1"/>
    </row>
    <row r="614" spans="1:13">
      <c r="A614" s="1">
        <v>-9.278747550923228</v>
      </c>
      <c r="B614" s="1">
        <v>10.692543218090616</v>
      </c>
      <c r="C614" s="1">
        <v>78.005371883967058</v>
      </c>
      <c r="D614" s="24">
        <f>Data__2[[#This Row],[Project_1]]/J$4</f>
        <v>-6.185831700615485E-2</v>
      </c>
      <c r="E614" s="24">
        <f>Data__2[[#This Row],[Project_2]]/K$4</f>
        <v>7.1283621453937449E-2</v>
      </c>
      <c r="F614" s="24">
        <f>Data__2[[#This Row],[Market]]/L$4</f>
        <v>7.8005371883967056E-2</v>
      </c>
      <c r="G614" s="1">
        <f>L$24*Data__2[[#This Row],[Return Market]]*J$4</f>
        <v>4.3336317713315085</v>
      </c>
      <c r="H614" s="1">
        <f>M$24*Data__2[[#This Row],[Return Market]]*K$4</f>
        <v>4.5503133598980838</v>
      </c>
      <c r="I614" s="1"/>
      <c r="J614" s="1"/>
      <c r="K614" s="1"/>
      <c r="L614" s="1"/>
      <c r="M614" s="1"/>
    </row>
    <row r="615" spans="1:13">
      <c r="A615" s="1">
        <v>15.903271902857069</v>
      </c>
      <c r="B615" s="1">
        <v>17.863150031322341</v>
      </c>
      <c r="C615" s="1">
        <v>182.33075993112431</v>
      </c>
      <c r="D615" s="24">
        <f>Data__2[[#This Row],[Project_1]]/J$4</f>
        <v>0.1060218126857138</v>
      </c>
      <c r="E615" s="24">
        <f>Data__2[[#This Row],[Project_2]]/K$4</f>
        <v>0.11908766687548228</v>
      </c>
      <c r="F615" s="24">
        <f>Data__2[[#This Row],[Market]]/L$4</f>
        <v>0.1823307599311243</v>
      </c>
      <c r="G615" s="1">
        <f>L$24*Data__2[[#This Row],[Return Market]]*J$4</f>
        <v>10.12948666284025</v>
      </c>
      <c r="H615" s="1">
        <f>M$24*Data__2[[#This Row],[Return Market]]*K$4</f>
        <v>10.635960995982265</v>
      </c>
      <c r="I615" s="1"/>
      <c r="J615" s="1"/>
      <c r="K615" s="1"/>
      <c r="L615" s="1"/>
      <c r="M615" s="1"/>
    </row>
    <row r="616" spans="1:13">
      <c r="A616" s="1">
        <v>38.478779149026693</v>
      </c>
      <c r="B616" s="1">
        <v>14.144596673111419</v>
      </c>
      <c r="C616" s="1">
        <v>184.93920315224585</v>
      </c>
      <c r="D616" s="24">
        <f>Data__2[[#This Row],[Project_1]]/J$4</f>
        <v>0.25652519432684462</v>
      </c>
      <c r="E616" s="24">
        <f>Data__2[[#This Row],[Project_2]]/K$4</f>
        <v>9.4297311154076122E-2</v>
      </c>
      <c r="F616" s="24">
        <f>Data__2[[#This Row],[Market]]/L$4</f>
        <v>0.18493920315224585</v>
      </c>
      <c r="G616" s="1">
        <f>L$24*Data__2[[#This Row],[Return Market]]*J$4</f>
        <v>10.274400175124782</v>
      </c>
      <c r="H616" s="1">
        <f>M$24*Data__2[[#This Row],[Return Market]]*K$4</f>
        <v>10.788120183881022</v>
      </c>
      <c r="I616" s="1"/>
      <c r="J616" s="1"/>
      <c r="K616" s="1"/>
      <c r="L616" s="1"/>
      <c r="M616" s="1"/>
    </row>
    <row r="617" spans="1:13">
      <c r="A617" s="1">
        <v>27.022827890231419</v>
      </c>
      <c r="B617" s="1">
        <v>4.971393468966177</v>
      </c>
      <c r="C617" s="1">
        <v>26.834544504921666</v>
      </c>
      <c r="D617" s="24">
        <f>Data__2[[#This Row],[Project_1]]/J$4</f>
        <v>0.18015218593487611</v>
      </c>
      <c r="E617" s="24">
        <f>Data__2[[#This Row],[Project_2]]/K$4</f>
        <v>3.314262312644118E-2</v>
      </c>
      <c r="F617" s="24">
        <f>Data__2[[#This Row],[Market]]/L$4</f>
        <v>2.6834544504921665E-2</v>
      </c>
      <c r="G617" s="1">
        <f>L$24*Data__2[[#This Row],[Return Market]]*J$4</f>
        <v>1.4908080280512053</v>
      </c>
      <c r="H617" s="1">
        <f>M$24*Data__2[[#This Row],[Return Market]]*K$4</f>
        <v>1.5653484294537658</v>
      </c>
      <c r="I617" s="1"/>
      <c r="J617" s="1"/>
      <c r="K617" s="1"/>
      <c r="L617" s="1"/>
      <c r="M617" s="1"/>
    </row>
    <row r="618" spans="1:13">
      <c r="A618" s="1">
        <v>-26.06701538660117</v>
      </c>
      <c r="B618" s="1">
        <v>-9.7057910313976237</v>
      </c>
      <c r="C618" s="1">
        <v>-318.1753996474161</v>
      </c>
      <c r="D618" s="24">
        <f>Data__2[[#This Row],[Project_1]]/J$4</f>
        <v>-0.17378010257734114</v>
      </c>
      <c r="E618" s="24">
        <f>Data__2[[#This Row],[Project_2]]/K$4</f>
        <v>-6.4705273542650821E-2</v>
      </c>
      <c r="F618" s="24">
        <f>Data__2[[#This Row],[Market]]/L$4</f>
        <v>-0.31817539964741609</v>
      </c>
      <c r="G618" s="1">
        <f>L$24*Data__2[[#This Row],[Return Market]]*J$4</f>
        <v>-17.676411091523136</v>
      </c>
      <c r="H618" s="1">
        <f>M$24*Data__2[[#This Row],[Return Market]]*K$4</f>
        <v>-18.560231646099297</v>
      </c>
      <c r="I618" s="1"/>
      <c r="J618" s="1"/>
      <c r="K618" s="1"/>
      <c r="L618" s="1"/>
      <c r="M618" s="1"/>
    </row>
    <row r="619" spans="1:13">
      <c r="A619" s="1">
        <v>19.560241914247506</v>
      </c>
      <c r="B619" s="1">
        <v>14.836117631833938</v>
      </c>
      <c r="C619" s="1">
        <v>-49.738203902511657</v>
      </c>
      <c r="D619" s="24">
        <f>Data__2[[#This Row],[Project_1]]/J$4</f>
        <v>0.13040161276165005</v>
      </c>
      <c r="E619" s="24">
        <f>Data__2[[#This Row],[Project_2]]/K$4</f>
        <v>9.8907450878892925E-2</v>
      </c>
      <c r="F619" s="24">
        <f>Data__2[[#This Row],[Market]]/L$4</f>
        <v>-4.9738203902511657E-2</v>
      </c>
      <c r="G619" s="1">
        <f>L$24*Data__2[[#This Row],[Return Market]]*J$4</f>
        <v>-2.7632335501395398</v>
      </c>
      <c r="H619" s="1">
        <f>M$24*Data__2[[#This Row],[Return Market]]*K$4</f>
        <v>-2.9013952276465171</v>
      </c>
      <c r="I619" s="1"/>
      <c r="J619" s="1"/>
      <c r="K619" s="1"/>
      <c r="L619" s="1"/>
      <c r="M619" s="1"/>
    </row>
    <row r="620" spans="1:13">
      <c r="A620" s="1">
        <v>7.8185400052531389</v>
      </c>
      <c r="B620" s="1">
        <v>-12.812532651401554</v>
      </c>
      <c r="C620" s="1">
        <v>-229.34117550586132</v>
      </c>
      <c r="D620" s="24">
        <f>Data__2[[#This Row],[Project_1]]/J$4</f>
        <v>5.2123600035020923E-2</v>
      </c>
      <c r="E620" s="24">
        <f>Data__2[[#This Row],[Project_2]]/K$4</f>
        <v>-8.5416884342677024E-2</v>
      </c>
      <c r="F620" s="24">
        <f>Data__2[[#This Row],[Market]]/L$4</f>
        <v>-0.22934117550586131</v>
      </c>
      <c r="G620" s="1">
        <f>L$24*Data__2[[#This Row],[Return Market]]*J$4</f>
        <v>-12.741176416992309</v>
      </c>
      <c r="H620" s="1">
        <f>M$24*Data__2[[#This Row],[Return Market]]*K$4</f>
        <v>-13.378235237841926</v>
      </c>
      <c r="I620" s="1"/>
      <c r="J620" s="1"/>
      <c r="K620" s="1"/>
      <c r="L620" s="1"/>
      <c r="M620" s="1"/>
    </row>
    <row r="621" spans="1:13">
      <c r="A621" s="1">
        <v>-15.750242022982995</v>
      </c>
      <c r="B621" s="1">
        <v>1.7798135787473282</v>
      </c>
      <c r="C621" s="1">
        <v>68.992463055127104</v>
      </c>
      <c r="D621" s="24">
        <f>Data__2[[#This Row],[Project_1]]/J$4</f>
        <v>-0.10500161348655331</v>
      </c>
      <c r="E621" s="24">
        <f>Data__2[[#This Row],[Project_2]]/K$4</f>
        <v>1.1865423858315521E-2</v>
      </c>
      <c r="F621" s="24">
        <f>Data__2[[#This Row],[Market]]/L$4</f>
        <v>6.8992463055127101E-2</v>
      </c>
      <c r="G621" s="1">
        <f>L$24*Data__2[[#This Row],[Return Market]]*J$4</f>
        <v>3.8329146141737325</v>
      </c>
      <c r="H621" s="1">
        <f>M$24*Data__2[[#This Row],[Return Market]]*K$4</f>
        <v>4.0245603448824196</v>
      </c>
      <c r="I621" s="1"/>
      <c r="J621" s="1"/>
      <c r="K621" s="1"/>
      <c r="L621" s="1"/>
      <c r="M621" s="1"/>
    </row>
    <row r="622" spans="1:13">
      <c r="A622" s="1">
        <v>-9.5906198826932965</v>
      </c>
      <c r="B622" s="1">
        <v>-2.1984569093713286</v>
      </c>
      <c r="C622" s="1">
        <v>-144.87033786139702</v>
      </c>
      <c r="D622" s="24">
        <f>Data__2[[#This Row],[Project_1]]/J$4</f>
        <v>-6.3937465884621972E-2</v>
      </c>
      <c r="E622" s="24">
        <f>Data__2[[#This Row],[Project_2]]/K$4</f>
        <v>-1.4656379395808857E-2</v>
      </c>
      <c r="F622" s="24">
        <f>Data__2[[#This Row],[Market]]/L$4</f>
        <v>-0.14487033786139702</v>
      </c>
      <c r="G622" s="1">
        <f>L$24*Data__2[[#This Row],[Return Market]]*J$4</f>
        <v>-8.0483521034109557</v>
      </c>
      <c r="H622" s="1">
        <f>M$24*Data__2[[#This Row],[Return Market]]*K$4</f>
        <v>-8.4507697085815039</v>
      </c>
      <c r="I622" s="1"/>
      <c r="J622" s="1"/>
      <c r="K622" s="1"/>
      <c r="L622" s="1"/>
      <c r="M622" s="1"/>
    </row>
    <row r="623" spans="1:13">
      <c r="A623" s="1">
        <v>-6.8504349416038153</v>
      </c>
      <c r="B623" s="1">
        <v>9.3584395365849726</v>
      </c>
      <c r="C623" s="1">
        <v>-102.29457904363878</v>
      </c>
      <c r="D623" s="24">
        <f>Data__2[[#This Row],[Project_1]]/J$4</f>
        <v>-4.566956627735877E-2</v>
      </c>
      <c r="E623" s="24">
        <f>Data__2[[#This Row],[Project_2]]/K$4</f>
        <v>6.2389596910566482E-2</v>
      </c>
      <c r="F623" s="24">
        <f>Data__2[[#This Row],[Market]]/L$4</f>
        <v>-0.10229457904363878</v>
      </c>
      <c r="G623" s="1">
        <f>L$24*Data__2[[#This Row],[Return Market]]*J$4</f>
        <v>-5.6830321690910504</v>
      </c>
      <c r="H623" s="1">
        <f>M$24*Data__2[[#This Row],[Return Market]]*K$4</f>
        <v>-5.9671837775456034</v>
      </c>
      <c r="I623" s="1"/>
      <c r="J623" s="1"/>
      <c r="K623" s="1"/>
      <c r="L623" s="1"/>
      <c r="M623" s="1"/>
    </row>
    <row r="624" spans="1:13">
      <c r="A624" s="1">
        <v>44.628145168071349</v>
      </c>
      <c r="B624" s="1">
        <v>26.216240640005481</v>
      </c>
      <c r="C624" s="1">
        <v>281.87008837831087</v>
      </c>
      <c r="D624" s="24">
        <f>Data__2[[#This Row],[Project_1]]/J$4</f>
        <v>0.29752096778714232</v>
      </c>
      <c r="E624" s="24">
        <f>Data__2[[#This Row],[Project_2]]/K$4</f>
        <v>0.17477493760003654</v>
      </c>
      <c r="F624" s="24">
        <f>Data__2[[#This Row],[Market]]/L$4</f>
        <v>0.28187008837831085</v>
      </c>
      <c r="G624" s="1">
        <f>L$24*Data__2[[#This Row],[Return Market]]*J$4</f>
        <v>15.659449354350622</v>
      </c>
      <c r="H624" s="1">
        <f>M$24*Data__2[[#This Row],[Return Market]]*K$4</f>
        <v>16.442421822068152</v>
      </c>
      <c r="I624" s="1"/>
      <c r="J624" s="1"/>
      <c r="K624" s="1"/>
      <c r="L624" s="1"/>
      <c r="M624" s="1"/>
    </row>
    <row r="625" spans="1:13">
      <c r="A625" s="1">
        <v>-7.7399235812593759</v>
      </c>
      <c r="B625" s="1">
        <v>-21.470059372776195</v>
      </c>
      <c r="C625" s="1">
        <v>-257.53712096957207</v>
      </c>
      <c r="D625" s="24">
        <f>Data__2[[#This Row],[Project_1]]/J$4</f>
        <v>-5.1599490541729173E-2</v>
      </c>
      <c r="E625" s="24">
        <f>Data__2[[#This Row],[Project_2]]/K$4</f>
        <v>-0.1431337291518413</v>
      </c>
      <c r="F625" s="24">
        <f>Data__2[[#This Row],[Market]]/L$4</f>
        <v>-0.2575371209695721</v>
      </c>
      <c r="G625" s="1">
        <f>L$24*Data__2[[#This Row],[Return Market]]*J$4</f>
        <v>-14.30761783164291</v>
      </c>
      <c r="H625" s="1">
        <f>M$24*Data__2[[#This Row],[Return Market]]*K$4</f>
        <v>-15.022998723225058</v>
      </c>
      <c r="I625" s="1"/>
      <c r="J625" s="1"/>
      <c r="K625" s="1"/>
      <c r="L625" s="1"/>
      <c r="M625" s="1"/>
    </row>
    <row r="626" spans="1:13">
      <c r="A626" s="1">
        <v>31.249822373939011</v>
      </c>
      <c r="B626" s="1">
        <v>31.409079630207231</v>
      </c>
      <c r="C626" s="1">
        <v>412.15501990899691</v>
      </c>
      <c r="D626" s="24">
        <f>Data__2[[#This Row],[Project_1]]/J$4</f>
        <v>0.20833214915959342</v>
      </c>
      <c r="E626" s="24">
        <f>Data__2[[#This Row],[Project_2]]/K$4</f>
        <v>0.20939386420138154</v>
      </c>
      <c r="F626" s="24">
        <f>Data__2[[#This Row],[Market]]/L$4</f>
        <v>0.41215501990899689</v>
      </c>
      <c r="G626" s="1">
        <f>L$24*Data__2[[#This Row],[Return Market]]*J$4</f>
        <v>22.897501106055412</v>
      </c>
      <c r="H626" s="1">
        <f>M$24*Data__2[[#This Row],[Return Market]]*K$4</f>
        <v>24.042376161358185</v>
      </c>
      <c r="I626" s="1"/>
      <c r="J626" s="1"/>
      <c r="K626" s="1"/>
      <c r="L626" s="1"/>
      <c r="M626" s="1"/>
    </row>
    <row r="627" spans="1:13">
      <c r="A627" s="1">
        <v>0.45055087958328421</v>
      </c>
      <c r="B627" s="1">
        <v>19.295379100066963</v>
      </c>
      <c r="C627" s="1">
        <v>91.473488822951737</v>
      </c>
      <c r="D627" s="24">
        <f>Data__2[[#This Row],[Project_1]]/J$4</f>
        <v>3.003672530555228E-3</v>
      </c>
      <c r="E627" s="24">
        <f>Data__2[[#This Row],[Project_2]]/K$4</f>
        <v>0.12863586066711308</v>
      </c>
      <c r="F627" s="24">
        <f>Data__2[[#This Row],[Market]]/L$4</f>
        <v>9.147348882295174E-2</v>
      </c>
      <c r="G627" s="1">
        <f>L$24*Data__2[[#This Row],[Return Market]]*J$4</f>
        <v>5.0818604901639919</v>
      </c>
      <c r="H627" s="1">
        <f>M$24*Data__2[[#This Row],[Return Market]]*K$4</f>
        <v>5.3359535146721919</v>
      </c>
      <c r="I627" s="1"/>
      <c r="J627" s="1"/>
      <c r="K627" s="1"/>
      <c r="L627" s="1"/>
      <c r="M627" s="1"/>
    </row>
    <row r="628" spans="1:13">
      <c r="A628" s="1">
        <v>17.162406273113344</v>
      </c>
      <c r="B628" s="1">
        <v>19.986490483161234</v>
      </c>
      <c r="C628" s="1">
        <v>-72.716599796783356</v>
      </c>
      <c r="D628" s="24">
        <f>Data__2[[#This Row],[Project_1]]/J$4</f>
        <v>0.11441604182075563</v>
      </c>
      <c r="E628" s="24">
        <f>Data__2[[#This Row],[Project_2]]/K$4</f>
        <v>0.13324326988774154</v>
      </c>
      <c r="F628" s="24">
        <f>Data__2[[#This Row],[Market]]/L$4</f>
        <v>-7.2716599796783354E-2</v>
      </c>
      <c r="G628" s="1">
        <f>L$24*Data__2[[#This Row],[Return Market]]*J$4</f>
        <v>-4.0398110998213017</v>
      </c>
      <c r="H628" s="1">
        <f>M$24*Data__2[[#This Row],[Return Market]]*K$4</f>
        <v>-4.2418016548123676</v>
      </c>
      <c r="I628" s="1"/>
      <c r="J628" s="1"/>
      <c r="K628" s="1"/>
      <c r="L628" s="1"/>
      <c r="M628" s="1"/>
    </row>
    <row r="629" spans="1:13">
      <c r="A629" s="1">
        <v>-12.116751892531919</v>
      </c>
      <c r="B629" s="1">
        <v>-1.4696281380135172</v>
      </c>
      <c r="C629" s="1">
        <v>-33.388260184803769</v>
      </c>
      <c r="D629" s="24">
        <f>Data__2[[#This Row],[Project_1]]/J$4</f>
        <v>-8.0778345950212799E-2</v>
      </c>
      <c r="E629" s="24">
        <f>Data__2[[#This Row],[Project_2]]/K$4</f>
        <v>-9.797520920090114E-3</v>
      </c>
      <c r="F629" s="24">
        <f>Data__2[[#This Row],[Market]]/L$4</f>
        <v>-3.3388260184803772E-2</v>
      </c>
      <c r="G629" s="1">
        <f>L$24*Data__2[[#This Row],[Return Market]]*J$4</f>
        <v>-1.8549033436002116</v>
      </c>
      <c r="H629" s="1">
        <f>M$24*Data__2[[#This Row],[Return Market]]*K$4</f>
        <v>-1.9476485107802226</v>
      </c>
      <c r="I629" s="1"/>
      <c r="J629" s="1"/>
      <c r="K629" s="1"/>
      <c r="L629" s="1"/>
      <c r="M629" s="1"/>
    </row>
    <row r="630" spans="1:13">
      <c r="A630" s="1">
        <v>17.735992223605408</v>
      </c>
      <c r="B630" s="1">
        <v>7.9731950713426309</v>
      </c>
      <c r="C630" s="1">
        <v>70.956807301775328</v>
      </c>
      <c r="D630" s="24">
        <f>Data__2[[#This Row],[Project_1]]/J$4</f>
        <v>0.11823994815736938</v>
      </c>
      <c r="E630" s="24">
        <f>Data__2[[#This Row],[Project_2]]/K$4</f>
        <v>5.3154633808950871E-2</v>
      </c>
      <c r="F630" s="24">
        <f>Data__2[[#This Row],[Market]]/L$4</f>
        <v>7.0956807301775324E-2</v>
      </c>
      <c r="G630" s="1">
        <f>L$24*Data__2[[#This Row],[Return Market]]*J$4</f>
        <v>3.9420448500986338</v>
      </c>
      <c r="H630" s="1">
        <f>M$24*Data__2[[#This Row],[Return Market]]*K$4</f>
        <v>4.1391470926035661</v>
      </c>
      <c r="I630" s="1"/>
      <c r="J630" s="1"/>
      <c r="K630" s="1"/>
      <c r="L630" s="1"/>
      <c r="M630" s="1"/>
    </row>
    <row r="631" spans="1:13">
      <c r="A631" s="1">
        <v>11.90165397110658</v>
      </c>
      <c r="B631" s="1">
        <v>-4.6815169180957135</v>
      </c>
      <c r="C631" s="1">
        <v>-32.494434155840409</v>
      </c>
      <c r="D631" s="24">
        <f>Data__2[[#This Row],[Project_1]]/J$4</f>
        <v>7.9344359807377196E-2</v>
      </c>
      <c r="E631" s="24">
        <f>Data__2[[#This Row],[Project_2]]/K$4</f>
        <v>-3.1210112787304758E-2</v>
      </c>
      <c r="F631" s="24">
        <f>Data__2[[#This Row],[Market]]/L$4</f>
        <v>-3.2494434155840406E-2</v>
      </c>
      <c r="G631" s="1">
        <f>L$24*Data__2[[#This Row],[Return Market]]*J$4</f>
        <v>-1.8052463419911358</v>
      </c>
      <c r="H631" s="1">
        <f>M$24*Data__2[[#This Row],[Return Market]]*K$4</f>
        <v>-1.8955086590906929</v>
      </c>
      <c r="I631" s="1"/>
      <c r="J631" s="1"/>
      <c r="K631" s="1"/>
      <c r="L631" s="1"/>
      <c r="M631" s="1"/>
    </row>
    <row r="632" spans="1:13">
      <c r="A632" s="1">
        <v>28.477881226676558</v>
      </c>
      <c r="B632" s="1">
        <v>0.99359415588262578</v>
      </c>
      <c r="C632" s="1">
        <v>-28.489811964463868</v>
      </c>
      <c r="D632" s="24">
        <f>Data__2[[#This Row],[Project_1]]/J$4</f>
        <v>0.18985254151117706</v>
      </c>
      <c r="E632" s="24">
        <f>Data__2[[#This Row],[Project_2]]/K$4</f>
        <v>6.6239610392175054E-3</v>
      </c>
      <c r="F632" s="24">
        <f>Data__2[[#This Row],[Market]]/L$4</f>
        <v>-2.8489811964463867E-2</v>
      </c>
      <c r="G632" s="1">
        <f>L$24*Data__2[[#This Row],[Return Market]]*J$4</f>
        <v>-1.5827673313591055</v>
      </c>
      <c r="H632" s="1">
        <f>M$24*Data__2[[#This Row],[Return Market]]*K$4</f>
        <v>-1.6619056979270612</v>
      </c>
      <c r="I632" s="1"/>
      <c r="J632" s="1"/>
      <c r="K632" s="1"/>
      <c r="L632" s="1"/>
      <c r="M632" s="1"/>
    </row>
    <row r="633" spans="1:13">
      <c r="A633" s="1">
        <v>-14.372418945158817</v>
      </c>
      <c r="B633" s="1">
        <v>-0.87626498497827399</v>
      </c>
      <c r="C633" s="1">
        <v>7.1070859197692329</v>
      </c>
      <c r="D633" s="24">
        <f>Data__2[[#This Row],[Project_1]]/J$4</f>
        <v>-9.5816126301058777E-2</v>
      </c>
      <c r="E633" s="24">
        <f>Data__2[[#This Row],[Project_2]]/K$4</f>
        <v>-5.8417665665218268E-3</v>
      </c>
      <c r="F633" s="24">
        <f>Data__2[[#This Row],[Market]]/L$4</f>
        <v>7.107085919769233E-3</v>
      </c>
      <c r="G633" s="1">
        <f>L$24*Data__2[[#This Row],[Return Market]]*J$4</f>
        <v>0.39483810665384672</v>
      </c>
      <c r="H633" s="1">
        <f>M$24*Data__2[[#This Row],[Return Market]]*K$4</f>
        <v>0.41458001198653915</v>
      </c>
      <c r="I633" s="1"/>
      <c r="J633" s="1"/>
      <c r="K633" s="1"/>
      <c r="L633" s="1"/>
      <c r="M633" s="1"/>
    </row>
    <row r="634" spans="1:13">
      <c r="A634" s="1">
        <v>51.901409764014204</v>
      </c>
      <c r="B634" s="1">
        <v>15.599430803324395</v>
      </c>
      <c r="C634" s="1">
        <v>283.00472428615058</v>
      </c>
      <c r="D634" s="24">
        <f>Data__2[[#This Row],[Project_1]]/J$4</f>
        <v>0.34600939842676137</v>
      </c>
      <c r="E634" s="24">
        <f>Data__2[[#This Row],[Project_2]]/K$4</f>
        <v>0.10399620535549597</v>
      </c>
      <c r="F634" s="24">
        <f>Data__2[[#This Row],[Market]]/L$4</f>
        <v>0.28300472428615059</v>
      </c>
      <c r="G634" s="1">
        <f>L$24*Data__2[[#This Row],[Return Market]]*J$4</f>
        <v>15.722484682563939</v>
      </c>
      <c r="H634" s="1">
        <f>M$24*Data__2[[#This Row],[Return Market]]*K$4</f>
        <v>16.50860891669214</v>
      </c>
      <c r="I634" s="1"/>
      <c r="J634" s="1"/>
      <c r="K634" s="1"/>
      <c r="L634" s="1"/>
      <c r="M634" s="1"/>
    </row>
    <row r="635" spans="1:13">
      <c r="A635" s="1">
        <v>9.3945660535276758</v>
      </c>
      <c r="B635" s="1">
        <v>15.814837495193396</v>
      </c>
      <c r="C635" s="1">
        <v>-106.02730687336083</v>
      </c>
      <c r="D635" s="24">
        <f>Data__2[[#This Row],[Project_1]]/J$4</f>
        <v>6.2630440356851169E-2</v>
      </c>
      <c r="E635" s="24">
        <f>Data__2[[#This Row],[Project_2]]/K$4</f>
        <v>0.10543224996795597</v>
      </c>
      <c r="F635" s="24">
        <f>Data__2[[#This Row],[Market]]/L$4</f>
        <v>-0.10602730687336083</v>
      </c>
      <c r="G635" s="1">
        <f>L$24*Data__2[[#This Row],[Return Market]]*J$4</f>
        <v>-5.8904059374089419</v>
      </c>
      <c r="H635" s="1">
        <f>M$24*Data__2[[#This Row],[Return Market]]*K$4</f>
        <v>-6.1849262342793896</v>
      </c>
      <c r="I635" s="1"/>
      <c r="J635" s="1"/>
      <c r="K635" s="1"/>
      <c r="L635" s="1"/>
      <c r="M635" s="1"/>
    </row>
    <row r="636" spans="1:13">
      <c r="A636" s="1">
        <v>4.1222441483172787</v>
      </c>
      <c r="B636" s="1">
        <v>15.564418718497944</v>
      </c>
      <c r="C636" s="1">
        <v>225.9605625103581</v>
      </c>
      <c r="D636" s="24">
        <f>Data__2[[#This Row],[Project_1]]/J$4</f>
        <v>2.7481627655448523E-2</v>
      </c>
      <c r="E636" s="24">
        <f>Data__2[[#This Row],[Project_2]]/K$4</f>
        <v>0.10376279145665296</v>
      </c>
      <c r="F636" s="24">
        <f>Data__2[[#This Row],[Market]]/L$4</f>
        <v>0.22596056251035809</v>
      </c>
      <c r="G636" s="1">
        <f>L$24*Data__2[[#This Row],[Return Market]]*J$4</f>
        <v>12.553364583908797</v>
      </c>
      <c r="H636" s="1">
        <f>M$24*Data__2[[#This Row],[Return Market]]*K$4</f>
        <v>13.18103281310424</v>
      </c>
      <c r="I636" s="1"/>
      <c r="J636" s="1"/>
      <c r="K636" s="1"/>
      <c r="L636" s="1"/>
      <c r="M636" s="1"/>
    </row>
    <row r="637" spans="1:13">
      <c r="A637" s="1">
        <v>44.012561343553884</v>
      </c>
      <c r="B637" s="1">
        <v>8.6047400964572169</v>
      </c>
      <c r="C637" s="1">
        <v>-15.296217711572538</v>
      </c>
      <c r="D637" s="24">
        <f>Data__2[[#This Row],[Project_1]]/J$4</f>
        <v>0.29341707562369257</v>
      </c>
      <c r="E637" s="24">
        <f>Data__2[[#This Row],[Project_2]]/K$4</f>
        <v>5.7364933976381448E-2</v>
      </c>
      <c r="F637" s="24">
        <f>Data__2[[#This Row],[Market]]/L$4</f>
        <v>-1.5296217711572538E-2</v>
      </c>
      <c r="G637" s="1">
        <f>L$24*Data__2[[#This Row],[Return Market]]*J$4</f>
        <v>-0.84978987286514207</v>
      </c>
      <c r="H637" s="1">
        <f>M$24*Data__2[[#This Row],[Return Market]]*K$4</f>
        <v>-0.89227936650839923</v>
      </c>
      <c r="I637" s="1"/>
      <c r="J637" s="1"/>
      <c r="K637" s="1"/>
      <c r="L637" s="1"/>
      <c r="M637" s="1"/>
    </row>
    <row r="638" spans="1:13">
      <c r="A638" s="1">
        <v>13.694486412290729</v>
      </c>
      <c r="B638" s="1">
        <v>14.345303030566251</v>
      </c>
      <c r="C638" s="1">
        <v>-11.984474725721768</v>
      </c>
      <c r="D638" s="24">
        <f>Data__2[[#This Row],[Project_1]]/J$4</f>
        <v>9.1296576081938197E-2</v>
      </c>
      <c r="E638" s="24">
        <f>Data__2[[#This Row],[Project_2]]/K$4</f>
        <v>9.5635353537108336E-2</v>
      </c>
      <c r="F638" s="24">
        <f>Data__2[[#This Row],[Market]]/L$4</f>
        <v>-1.1984474725721768E-2</v>
      </c>
      <c r="G638" s="1">
        <f>L$24*Data__2[[#This Row],[Return Market]]*J$4</f>
        <v>-0.66580415142898786</v>
      </c>
      <c r="H638" s="1">
        <f>M$24*Data__2[[#This Row],[Return Market]]*K$4</f>
        <v>-0.69909435900043726</v>
      </c>
      <c r="I638" s="1"/>
      <c r="J638" s="1"/>
      <c r="K638" s="1"/>
      <c r="L638" s="1"/>
      <c r="M638" s="1"/>
    </row>
    <row r="639" spans="1:13">
      <c r="A639" s="1">
        <v>37.42425191711088</v>
      </c>
      <c r="B639" s="1">
        <v>43.942372040343365</v>
      </c>
      <c r="C639" s="1">
        <v>310.44033610713569</v>
      </c>
      <c r="D639" s="24">
        <f>Data__2[[#This Row],[Project_1]]/J$4</f>
        <v>0.24949501278073918</v>
      </c>
      <c r="E639" s="24">
        <f>Data__2[[#This Row],[Project_2]]/K$4</f>
        <v>0.29294914693562241</v>
      </c>
      <c r="F639" s="24">
        <f>Data__2[[#This Row],[Market]]/L$4</f>
        <v>0.31044033610713567</v>
      </c>
      <c r="G639" s="1">
        <f>L$24*Data__2[[#This Row],[Return Market]]*J$4</f>
        <v>17.246685339285335</v>
      </c>
      <c r="H639" s="1">
        <f>M$24*Data__2[[#This Row],[Return Market]]*K$4</f>
        <v>18.109019606249603</v>
      </c>
      <c r="I639" s="1"/>
      <c r="J639" s="1"/>
      <c r="K639" s="1"/>
      <c r="L639" s="1"/>
      <c r="M639" s="1"/>
    </row>
    <row r="640" spans="1:13">
      <c r="A640" s="1">
        <v>29.19947685919777</v>
      </c>
      <c r="B640" s="1">
        <v>0.14721294470149537</v>
      </c>
      <c r="C640" s="1">
        <v>41.365267834440431</v>
      </c>
      <c r="D640" s="24">
        <f>Data__2[[#This Row],[Project_1]]/J$4</f>
        <v>0.19466317906131847</v>
      </c>
      <c r="E640" s="24">
        <f>Data__2[[#This Row],[Project_2]]/K$4</f>
        <v>9.8141963134330259E-4</v>
      </c>
      <c r="F640" s="24">
        <f>Data__2[[#This Row],[Market]]/L$4</f>
        <v>4.1365267834440431E-2</v>
      </c>
      <c r="G640" s="1">
        <f>L$24*Data__2[[#This Row],[Return Market]]*J$4</f>
        <v>2.2980704352466934</v>
      </c>
      <c r="H640" s="1">
        <f>M$24*Data__2[[#This Row],[Return Market]]*K$4</f>
        <v>2.4129739570090285</v>
      </c>
      <c r="I640" s="1"/>
      <c r="J640" s="1"/>
      <c r="K640" s="1"/>
      <c r="L640" s="1"/>
      <c r="M640" s="1"/>
    </row>
    <row r="641" spans="1:13">
      <c r="A641" s="1">
        <v>-31.698623391837117</v>
      </c>
      <c r="B641" s="1">
        <v>-3.0977518436443461</v>
      </c>
      <c r="C641" s="1">
        <v>-16.6939180479187</v>
      </c>
      <c r="D641" s="24">
        <f>Data__2[[#This Row],[Project_1]]/J$4</f>
        <v>-0.21132415594558077</v>
      </c>
      <c r="E641" s="24">
        <f>Data__2[[#This Row],[Project_2]]/K$4</f>
        <v>-2.0651678957628972E-2</v>
      </c>
      <c r="F641" s="24">
        <f>Data__2[[#This Row],[Market]]/L$4</f>
        <v>-1.6693918047918699E-2</v>
      </c>
      <c r="G641" s="1">
        <f>L$24*Data__2[[#This Row],[Return Market]]*J$4</f>
        <v>-0.9274398915510399</v>
      </c>
      <c r="H641" s="1">
        <f>M$24*Data__2[[#This Row],[Return Market]]*K$4</f>
        <v>-0.97381188612859193</v>
      </c>
      <c r="I641" s="1"/>
      <c r="J641" s="1"/>
      <c r="K641" s="1"/>
      <c r="L641" s="1"/>
      <c r="M641" s="1"/>
    </row>
    <row r="642" spans="1:13">
      <c r="A642" s="1">
        <v>-19.648714718690552</v>
      </c>
      <c r="B642" s="1">
        <v>-12.476545852468551</v>
      </c>
      <c r="C642" s="1">
        <v>-177.96791390788178</v>
      </c>
      <c r="D642" s="24">
        <f>Data__2[[#This Row],[Project_1]]/J$4</f>
        <v>-0.13099143145793701</v>
      </c>
      <c r="E642" s="24">
        <f>Data__2[[#This Row],[Project_2]]/K$4</f>
        <v>-8.3176972349790337E-2</v>
      </c>
      <c r="F642" s="24">
        <f>Data__2[[#This Row],[Market]]/L$4</f>
        <v>-0.17796791390788178</v>
      </c>
      <c r="G642" s="1">
        <f>L$24*Data__2[[#This Row],[Return Market]]*J$4</f>
        <v>-9.8871063282156655</v>
      </c>
      <c r="H642" s="1">
        <f>M$24*Data__2[[#This Row],[Return Market]]*K$4</f>
        <v>-10.381461644626452</v>
      </c>
      <c r="I642" s="1"/>
      <c r="J642" s="1"/>
      <c r="K642" s="1"/>
      <c r="L642" s="1"/>
      <c r="M642" s="1"/>
    </row>
    <row r="643" spans="1:13">
      <c r="A643" s="1">
        <v>12.981994219389168</v>
      </c>
      <c r="B643" s="1">
        <v>-4.6803175751359518</v>
      </c>
      <c r="C643" s="1">
        <v>96.178226066720299</v>
      </c>
      <c r="D643" s="24">
        <f>Data__2[[#This Row],[Project_1]]/J$4</f>
        <v>8.6546628129261116E-2</v>
      </c>
      <c r="E643" s="24">
        <f>Data__2[[#This Row],[Project_2]]/K$4</f>
        <v>-3.1202117167573012E-2</v>
      </c>
      <c r="F643" s="24">
        <f>Data__2[[#This Row],[Market]]/L$4</f>
        <v>9.6178226066720302E-2</v>
      </c>
      <c r="G643" s="1">
        <f>L$24*Data__2[[#This Row],[Return Market]]*J$4</f>
        <v>5.3432347814844672</v>
      </c>
      <c r="H643" s="1">
        <f>M$24*Data__2[[#This Row],[Return Market]]*K$4</f>
        <v>5.610396520558691</v>
      </c>
      <c r="I643" s="1"/>
      <c r="J643" s="1"/>
      <c r="K643" s="1"/>
      <c r="L643" s="1"/>
      <c r="M643" s="1"/>
    </row>
    <row r="644" spans="1:13">
      <c r="A644" s="1">
        <v>18.274768373275727</v>
      </c>
      <c r="B644" s="1">
        <v>3.2062372687833367</v>
      </c>
      <c r="C644" s="1">
        <v>253.81191382984625</v>
      </c>
      <c r="D644" s="24">
        <f>Data__2[[#This Row],[Project_1]]/J$4</f>
        <v>0.12183178915517151</v>
      </c>
      <c r="E644" s="24">
        <f>Data__2[[#This Row],[Project_2]]/K$4</f>
        <v>2.1374915125222244E-2</v>
      </c>
      <c r="F644" s="24">
        <f>Data__2[[#This Row],[Market]]/L$4</f>
        <v>0.25381191382984625</v>
      </c>
      <c r="G644" s="1">
        <f>L$24*Data__2[[#This Row],[Return Market]]*J$4</f>
        <v>14.10066187943592</v>
      </c>
      <c r="H644" s="1">
        <f>M$24*Data__2[[#This Row],[Return Market]]*K$4</f>
        <v>14.805694973407718</v>
      </c>
      <c r="I644" s="1"/>
      <c r="J644" s="1"/>
      <c r="K644" s="1"/>
      <c r="L644" s="1"/>
      <c r="M644" s="1"/>
    </row>
    <row r="645" spans="1:13">
      <c r="A645" s="1">
        <v>52.366912339409026</v>
      </c>
      <c r="B645" s="1">
        <v>7.8372711610397943</v>
      </c>
      <c r="C645" s="1">
        <v>36.628521277912597</v>
      </c>
      <c r="D645" s="24">
        <f>Data__2[[#This Row],[Project_1]]/J$4</f>
        <v>0.34911274892939353</v>
      </c>
      <c r="E645" s="24">
        <f>Data__2[[#This Row],[Project_2]]/K$4</f>
        <v>5.2248474406931963E-2</v>
      </c>
      <c r="F645" s="24">
        <f>Data__2[[#This Row],[Market]]/L$4</f>
        <v>3.66285212779126E-2</v>
      </c>
      <c r="G645" s="1">
        <f>L$24*Data__2[[#This Row],[Return Market]]*J$4</f>
        <v>2.0349178487729245</v>
      </c>
      <c r="H645" s="1">
        <f>M$24*Data__2[[#This Row],[Return Market]]*K$4</f>
        <v>2.1366637412115712</v>
      </c>
      <c r="I645" s="1"/>
      <c r="J645" s="1"/>
      <c r="K645" s="1"/>
      <c r="L645" s="1"/>
      <c r="M645" s="1"/>
    </row>
    <row r="646" spans="1:13">
      <c r="A646" s="1">
        <v>19.347493862872405</v>
      </c>
      <c r="B646" s="1">
        <v>10.227927472958177</v>
      </c>
      <c r="C646" s="1">
        <v>98.664966205841253</v>
      </c>
      <c r="D646" s="24">
        <f>Data__2[[#This Row],[Project_1]]/J$4</f>
        <v>0.12898329241914935</v>
      </c>
      <c r="E646" s="24">
        <f>Data__2[[#This Row],[Project_2]]/K$4</f>
        <v>6.8186183153054511E-2</v>
      </c>
      <c r="F646" s="24">
        <f>Data__2[[#This Row],[Market]]/L$4</f>
        <v>9.8664966205841254E-2</v>
      </c>
      <c r="G646" s="1">
        <f>L$24*Data__2[[#This Row],[Return Market]]*J$4</f>
        <v>5.4813870114356309</v>
      </c>
      <c r="H646" s="1">
        <f>M$24*Data__2[[#This Row],[Return Market]]*K$4</f>
        <v>5.755456362007414</v>
      </c>
      <c r="I646" s="1"/>
      <c r="J646" s="1"/>
      <c r="K646" s="1"/>
      <c r="L646" s="1"/>
      <c r="M646" s="1"/>
    </row>
    <row r="647" spans="1:13">
      <c r="A647" s="1">
        <v>-12.641219665042243</v>
      </c>
      <c r="B647" s="1">
        <v>-8.402498632225587</v>
      </c>
      <c r="C647" s="1">
        <v>-256.55297395102991</v>
      </c>
      <c r="D647" s="24">
        <f>Data__2[[#This Row],[Project_1]]/J$4</f>
        <v>-8.4274797766948281E-2</v>
      </c>
      <c r="E647" s="24">
        <f>Data__2[[#This Row],[Project_2]]/K$4</f>
        <v>-5.6016657548170583E-2</v>
      </c>
      <c r="F647" s="24">
        <f>Data__2[[#This Row],[Market]]/L$4</f>
        <v>-0.25655297395102994</v>
      </c>
      <c r="G647" s="1">
        <f>L$24*Data__2[[#This Row],[Return Market]]*J$4</f>
        <v>-14.252942997279458</v>
      </c>
      <c r="H647" s="1">
        <f>M$24*Data__2[[#This Row],[Return Market]]*K$4</f>
        <v>-14.965590147143432</v>
      </c>
      <c r="I647" s="1"/>
      <c r="J647" s="1"/>
      <c r="K647" s="1"/>
      <c r="L647" s="1"/>
      <c r="M647" s="1"/>
    </row>
    <row r="648" spans="1:13">
      <c r="A648" s="1">
        <v>13.577879430037363</v>
      </c>
      <c r="B648" s="1">
        <v>-0.54368371888432065</v>
      </c>
      <c r="C648" s="1">
        <v>22.157684350673733</v>
      </c>
      <c r="D648" s="24">
        <f>Data__2[[#This Row],[Project_1]]/J$4</f>
        <v>9.0519196200249091E-2</v>
      </c>
      <c r="E648" s="24">
        <f>Data__2[[#This Row],[Project_2]]/K$4</f>
        <v>-3.6245581258954711E-3</v>
      </c>
      <c r="F648" s="24">
        <f>Data__2[[#This Row],[Market]]/L$4</f>
        <v>2.2157684350673734E-2</v>
      </c>
      <c r="G648" s="1">
        <f>L$24*Data__2[[#This Row],[Return Market]]*J$4</f>
        <v>1.23098246392632</v>
      </c>
      <c r="H648" s="1">
        <f>M$24*Data__2[[#This Row],[Return Market]]*K$4</f>
        <v>1.2925315871226362</v>
      </c>
      <c r="I648" s="1"/>
      <c r="J648" s="1"/>
      <c r="K648" s="1"/>
      <c r="L648" s="1"/>
      <c r="M648" s="1"/>
    </row>
    <row r="649" spans="1:13">
      <c r="A649" s="1">
        <v>15.034198320510393</v>
      </c>
      <c r="B649" s="1">
        <v>-1.167207693157561</v>
      </c>
      <c r="C649" s="1">
        <v>11.719011507162108</v>
      </c>
      <c r="D649" s="24">
        <f>Data__2[[#This Row],[Project_1]]/J$4</f>
        <v>0.10022798880340263</v>
      </c>
      <c r="E649" s="24">
        <f>Data__2[[#This Row],[Project_2]]/K$4</f>
        <v>-7.781384621050407E-3</v>
      </c>
      <c r="F649" s="24">
        <f>Data__2[[#This Row],[Market]]/L$4</f>
        <v>1.1719011507162107E-2</v>
      </c>
      <c r="G649" s="1">
        <f>L$24*Data__2[[#This Row],[Return Market]]*J$4</f>
        <v>0.65105619484234001</v>
      </c>
      <c r="H649" s="1">
        <f>M$24*Data__2[[#This Row],[Return Market]]*K$4</f>
        <v>0.68360900458445717</v>
      </c>
      <c r="I649" s="1"/>
      <c r="J649" s="1"/>
      <c r="K649" s="1"/>
      <c r="L649" s="1"/>
      <c r="M649" s="1"/>
    </row>
    <row r="650" spans="1:13">
      <c r="A650" s="1">
        <v>6.6743593877630865</v>
      </c>
      <c r="B650" s="1">
        <v>18.779554837542392</v>
      </c>
      <c r="C650" s="1">
        <v>183.98837239698921</v>
      </c>
      <c r="D650" s="24">
        <f>Data__2[[#This Row],[Project_1]]/J$4</f>
        <v>4.4495729251753907E-2</v>
      </c>
      <c r="E650" s="24">
        <f>Data__2[[#This Row],[Project_2]]/K$4</f>
        <v>0.12519703225028261</v>
      </c>
      <c r="F650" s="24">
        <f>Data__2[[#This Row],[Market]]/L$4</f>
        <v>0.1839883723969892</v>
      </c>
      <c r="G650" s="1">
        <f>L$24*Data__2[[#This Row],[Return Market]]*J$4</f>
        <v>10.221576244277189</v>
      </c>
      <c r="H650" s="1">
        <f>M$24*Data__2[[#This Row],[Return Market]]*K$4</f>
        <v>10.732655056491051</v>
      </c>
      <c r="I650" s="1"/>
      <c r="J650" s="1"/>
      <c r="K650" s="1"/>
      <c r="L650" s="1"/>
      <c r="M650" s="1"/>
    </row>
    <row r="651" spans="1:13">
      <c r="A651" s="1">
        <v>-1.2392370231709151</v>
      </c>
      <c r="B651" s="1">
        <v>-1.7387530490771876</v>
      </c>
      <c r="C651" s="1">
        <v>-327.37666889388993</v>
      </c>
      <c r="D651" s="24">
        <f>Data__2[[#This Row],[Project_1]]/J$4</f>
        <v>-8.2615801544727672E-3</v>
      </c>
      <c r="E651" s="24">
        <f>Data__2[[#This Row],[Project_2]]/K$4</f>
        <v>-1.1591686993847918E-2</v>
      </c>
      <c r="F651" s="24">
        <f>Data__2[[#This Row],[Market]]/L$4</f>
        <v>-0.32737666889388994</v>
      </c>
      <c r="G651" s="1">
        <f>L$24*Data__2[[#This Row],[Return Market]]*J$4</f>
        <v>-18.187592716327242</v>
      </c>
      <c r="H651" s="1">
        <f>M$24*Data__2[[#This Row],[Return Market]]*K$4</f>
        <v>-19.096972352143602</v>
      </c>
      <c r="I651" s="1"/>
      <c r="J651" s="1"/>
      <c r="K651" s="1"/>
      <c r="L651" s="1"/>
      <c r="M651" s="1"/>
    </row>
    <row r="652" spans="1:13">
      <c r="A652" s="1">
        <v>10.969156145856902</v>
      </c>
      <c r="B652" s="1">
        <v>33.607661654836349</v>
      </c>
      <c r="C652" s="1">
        <v>384.92783393784538</v>
      </c>
      <c r="D652" s="24">
        <f>Data__2[[#This Row],[Project_1]]/J$4</f>
        <v>7.3127707639046011E-2</v>
      </c>
      <c r="E652" s="24">
        <f>Data__2[[#This Row],[Project_2]]/K$4</f>
        <v>0.224051077698909</v>
      </c>
      <c r="F652" s="24">
        <f>Data__2[[#This Row],[Market]]/L$4</f>
        <v>0.38492783393784535</v>
      </c>
      <c r="G652" s="1">
        <f>L$24*Data__2[[#This Row],[Return Market]]*J$4</f>
        <v>21.384879663213656</v>
      </c>
      <c r="H652" s="1">
        <f>M$24*Data__2[[#This Row],[Return Market]]*K$4</f>
        <v>22.454123646374342</v>
      </c>
      <c r="I652" s="1"/>
      <c r="J652" s="1"/>
      <c r="K652" s="1"/>
      <c r="L652" s="1"/>
      <c r="M652" s="1"/>
    </row>
    <row r="653" spans="1:13">
      <c r="A653" s="1">
        <v>9.7335503607172527</v>
      </c>
      <c r="B653" s="1">
        <v>24.514997376085248</v>
      </c>
      <c r="C653" s="1">
        <v>190.37517974558432</v>
      </c>
      <c r="D653" s="24">
        <f>Data__2[[#This Row],[Project_1]]/J$4</f>
        <v>6.4890335738115021E-2</v>
      </c>
      <c r="E653" s="24">
        <f>Data__2[[#This Row],[Project_2]]/K$4</f>
        <v>0.16343331584056831</v>
      </c>
      <c r="F653" s="24">
        <f>Data__2[[#This Row],[Market]]/L$4</f>
        <v>0.19037517974558432</v>
      </c>
      <c r="G653" s="1">
        <f>L$24*Data__2[[#This Row],[Return Market]]*J$4</f>
        <v>10.576398874754696</v>
      </c>
      <c r="H653" s="1">
        <f>M$24*Data__2[[#This Row],[Return Market]]*K$4</f>
        <v>11.105218818492434</v>
      </c>
      <c r="I653" s="1"/>
      <c r="J653" s="1"/>
      <c r="K653" s="1"/>
      <c r="L653" s="1"/>
      <c r="M653" s="1"/>
    </row>
    <row r="654" spans="1:13">
      <c r="A654" s="1">
        <v>25.438099990766219</v>
      </c>
      <c r="B654" s="1">
        <v>26.464023821389983</v>
      </c>
      <c r="C654" s="1">
        <v>-42.140579048793427</v>
      </c>
      <c r="D654" s="24">
        <f>Data__2[[#This Row],[Project_1]]/J$4</f>
        <v>0.1695873332717748</v>
      </c>
      <c r="E654" s="24">
        <f>Data__2[[#This Row],[Project_2]]/K$4</f>
        <v>0.17642682547593322</v>
      </c>
      <c r="F654" s="24">
        <f>Data__2[[#This Row],[Market]]/L$4</f>
        <v>-4.2140579048793425E-2</v>
      </c>
      <c r="G654" s="1">
        <f>L$24*Data__2[[#This Row],[Return Market]]*J$4</f>
        <v>-2.3411432804885264</v>
      </c>
      <c r="H654" s="1">
        <f>M$24*Data__2[[#This Row],[Return Market]]*K$4</f>
        <v>-2.4582004445129528</v>
      </c>
      <c r="I654" s="1"/>
      <c r="J654" s="1"/>
      <c r="K654" s="1"/>
      <c r="L654" s="1"/>
      <c r="M654" s="1"/>
    </row>
    <row r="655" spans="1:13">
      <c r="A655" s="1">
        <v>36.196130219250037</v>
      </c>
      <c r="B655" s="1">
        <v>21.093991016748763</v>
      </c>
      <c r="C655" s="1">
        <v>398.2134120427346</v>
      </c>
      <c r="D655" s="24">
        <f>Data__2[[#This Row],[Project_1]]/J$4</f>
        <v>0.24130753479500025</v>
      </c>
      <c r="E655" s="24">
        <f>Data__2[[#This Row],[Project_2]]/K$4</f>
        <v>0.14062660677832509</v>
      </c>
      <c r="F655" s="24">
        <f>Data__2[[#This Row],[Market]]/L$4</f>
        <v>0.39821341204273458</v>
      </c>
      <c r="G655" s="1">
        <f>L$24*Data__2[[#This Row],[Return Market]]*J$4</f>
        <v>22.122967335707504</v>
      </c>
      <c r="H655" s="1">
        <f>M$24*Data__2[[#This Row],[Return Market]]*K$4</f>
        <v>23.229115702492884</v>
      </c>
      <c r="I655" s="1"/>
      <c r="J655" s="1"/>
      <c r="K655" s="1"/>
      <c r="L655" s="1"/>
      <c r="M655" s="1"/>
    </row>
    <row r="656" spans="1:13">
      <c r="A656" s="1">
        <v>30.29572495327136</v>
      </c>
      <c r="B656" s="1">
        <v>17.94205742799749</v>
      </c>
      <c r="C656" s="1">
        <v>221.42839883106387</v>
      </c>
      <c r="D656" s="24">
        <f>Data__2[[#This Row],[Project_1]]/J$4</f>
        <v>0.20197149968847575</v>
      </c>
      <c r="E656" s="24">
        <f>Data__2[[#This Row],[Project_2]]/K$4</f>
        <v>0.11961371618664994</v>
      </c>
      <c r="F656" s="24">
        <f>Data__2[[#This Row],[Market]]/L$4</f>
        <v>0.22142839883106388</v>
      </c>
      <c r="G656" s="1">
        <f>L$24*Data__2[[#This Row],[Return Market]]*J$4</f>
        <v>12.301577712836897</v>
      </c>
      <c r="H656" s="1">
        <f>M$24*Data__2[[#This Row],[Return Market]]*K$4</f>
        <v>12.916656598478744</v>
      </c>
      <c r="I656" s="1"/>
      <c r="J656" s="1"/>
      <c r="K656" s="1"/>
      <c r="L656" s="1"/>
      <c r="M656" s="1"/>
    </row>
    <row r="657" spans="1:13">
      <c r="A657" s="1">
        <v>-6.4271241160844497</v>
      </c>
      <c r="B657" s="1">
        <v>6.4590027452653169</v>
      </c>
      <c r="C657" s="1">
        <v>27.599896730698092</v>
      </c>
      <c r="D657" s="24">
        <f>Data__2[[#This Row],[Project_1]]/J$4</f>
        <v>-4.2847494107229663E-2</v>
      </c>
      <c r="E657" s="24">
        <f>Data__2[[#This Row],[Project_2]]/K$4</f>
        <v>4.3060018301768782E-2</v>
      </c>
      <c r="F657" s="24">
        <f>Data__2[[#This Row],[Market]]/L$4</f>
        <v>2.7599896730698091E-2</v>
      </c>
      <c r="G657" s="1">
        <f>L$24*Data__2[[#This Row],[Return Market]]*J$4</f>
        <v>1.5333275961498958</v>
      </c>
      <c r="H657" s="1">
        <f>M$24*Data__2[[#This Row],[Return Market]]*K$4</f>
        <v>1.6099939759573907</v>
      </c>
      <c r="I657" s="1"/>
      <c r="J657" s="1"/>
      <c r="K657" s="1"/>
      <c r="L657" s="1"/>
      <c r="M657" s="1"/>
    </row>
    <row r="658" spans="1:13">
      <c r="A658" s="1">
        <v>19.945520494192216</v>
      </c>
      <c r="B658" s="1">
        <v>31.388806040505468</v>
      </c>
      <c r="C658" s="1">
        <v>285.09417794573267</v>
      </c>
      <c r="D658" s="24">
        <f>Data__2[[#This Row],[Project_1]]/J$4</f>
        <v>0.1329701366279481</v>
      </c>
      <c r="E658" s="24">
        <f>Data__2[[#This Row],[Project_2]]/K$4</f>
        <v>0.20925870693670312</v>
      </c>
      <c r="F658" s="24">
        <f>Data__2[[#This Row],[Market]]/L$4</f>
        <v>0.28509417794573266</v>
      </c>
      <c r="G658" s="1">
        <f>L$24*Data__2[[#This Row],[Return Market]]*J$4</f>
        <v>15.838565441429612</v>
      </c>
      <c r="H658" s="1">
        <f>M$24*Data__2[[#This Row],[Return Market]]*K$4</f>
        <v>16.630493713501096</v>
      </c>
      <c r="I658" s="1"/>
      <c r="J658" s="1"/>
      <c r="K658" s="1"/>
      <c r="L658" s="1"/>
      <c r="M658" s="1"/>
    </row>
    <row r="659" spans="1:13">
      <c r="A659" s="1">
        <v>-10.874167602675968</v>
      </c>
      <c r="B659" s="1">
        <v>5.5065834983446491</v>
      </c>
      <c r="C659" s="1">
        <v>-47.457611433569781</v>
      </c>
      <c r="D659" s="24">
        <f>Data__2[[#This Row],[Project_1]]/J$4</f>
        <v>-7.2494450684506453E-2</v>
      </c>
      <c r="E659" s="24">
        <f>Data__2[[#This Row],[Project_2]]/K$4</f>
        <v>3.6710556655630992E-2</v>
      </c>
      <c r="F659" s="24">
        <f>Data__2[[#This Row],[Market]]/L$4</f>
        <v>-4.7457611433569781E-2</v>
      </c>
      <c r="G659" s="1">
        <f>L$24*Data__2[[#This Row],[Return Market]]*J$4</f>
        <v>-2.6365339685316576</v>
      </c>
      <c r="H659" s="1">
        <f>M$24*Data__2[[#This Row],[Return Market]]*K$4</f>
        <v>-2.768360666958241</v>
      </c>
      <c r="I659" s="1"/>
      <c r="J659" s="1"/>
      <c r="K659" s="1"/>
      <c r="L659" s="1"/>
      <c r="M659" s="1"/>
    </row>
    <row r="660" spans="1:13">
      <c r="A660" s="1">
        <v>-15.436330946971335</v>
      </c>
      <c r="B660" s="1">
        <v>8.4141882263266403</v>
      </c>
      <c r="C660" s="1">
        <v>55.465233053971602</v>
      </c>
      <c r="D660" s="24">
        <f>Data__2[[#This Row],[Project_1]]/J$4</f>
        <v>-0.1029088729798089</v>
      </c>
      <c r="E660" s="24">
        <f>Data__2[[#This Row],[Project_2]]/K$4</f>
        <v>5.6094588175510933E-2</v>
      </c>
      <c r="F660" s="24">
        <f>Data__2[[#This Row],[Market]]/L$4</f>
        <v>5.5465233053971601E-2</v>
      </c>
      <c r="G660" s="1">
        <f>L$24*Data__2[[#This Row],[Return Market]]*J$4</f>
        <v>3.081401836331759</v>
      </c>
      <c r="H660" s="1">
        <f>M$24*Data__2[[#This Row],[Return Market]]*K$4</f>
        <v>3.2354719281483479</v>
      </c>
      <c r="I660" s="1"/>
      <c r="J660" s="1"/>
      <c r="K660" s="1"/>
      <c r="L660" s="1"/>
      <c r="M660" s="1"/>
    </row>
    <row r="661" spans="1:13">
      <c r="A661" s="1">
        <v>30.493268658566976</v>
      </c>
      <c r="B661" s="1">
        <v>11.072255778291684</v>
      </c>
      <c r="C661" s="1">
        <v>98.047816295742678</v>
      </c>
      <c r="D661" s="24">
        <f>Data__2[[#This Row],[Project_1]]/J$4</f>
        <v>0.20328845772377985</v>
      </c>
      <c r="E661" s="24">
        <f>Data__2[[#This Row],[Project_2]]/K$4</f>
        <v>7.3815038521944557E-2</v>
      </c>
      <c r="F661" s="24">
        <f>Data__2[[#This Row],[Market]]/L$4</f>
        <v>9.8047816295742676E-2</v>
      </c>
      <c r="G661" s="1">
        <f>L$24*Data__2[[#This Row],[Return Market]]*J$4</f>
        <v>5.4471009053190436</v>
      </c>
      <c r="H661" s="1">
        <f>M$24*Data__2[[#This Row],[Return Market]]*K$4</f>
        <v>5.7194559505849965</v>
      </c>
      <c r="I661" s="1"/>
      <c r="J661" s="1"/>
      <c r="K661" s="1"/>
      <c r="L661" s="1"/>
      <c r="M661" s="1"/>
    </row>
    <row r="662" spans="1:13">
      <c r="A662" s="1">
        <v>3.7512917108669388</v>
      </c>
      <c r="B662" s="1">
        <v>2.5196416929080687</v>
      </c>
      <c r="C662" s="1">
        <v>-64.13002979815721</v>
      </c>
      <c r="D662" s="24">
        <f>Data__2[[#This Row],[Project_1]]/J$4</f>
        <v>2.5008611405779591E-2</v>
      </c>
      <c r="E662" s="24">
        <f>Data__2[[#This Row],[Project_2]]/K$4</f>
        <v>1.6797611286053792E-2</v>
      </c>
      <c r="F662" s="24">
        <f>Data__2[[#This Row],[Market]]/L$4</f>
        <v>-6.4130029798157212E-2</v>
      </c>
      <c r="G662" s="1">
        <f>L$24*Data__2[[#This Row],[Return Market]]*J$4</f>
        <v>-3.5627794332309604</v>
      </c>
      <c r="H662" s="1">
        <f>M$24*Data__2[[#This Row],[Return Market]]*K$4</f>
        <v>-3.740918404892509</v>
      </c>
      <c r="I662" s="1"/>
      <c r="J662" s="1"/>
      <c r="K662" s="1"/>
      <c r="L662" s="1"/>
      <c r="M662" s="1"/>
    </row>
    <row r="663" spans="1:13">
      <c r="A663" s="1">
        <v>40.957662049382677</v>
      </c>
      <c r="B663" s="1">
        <v>6.3127420879062495</v>
      </c>
      <c r="C663" s="1">
        <v>224.97682409772159</v>
      </c>
      <c r="D663" s="24">
        <f>Data__2[[#This Row],[Project_1]]/J$4</f>
        <v>0.27305108032921782</v>
      </c>
      <c r="E663" s="24">
        <f>Data__2[[#This Row],[Project_2]]/K$4</f>
        <v>4.2084947252708331E-2</v>
      </c>
      <c r="F663" s="24">
        <f>Data__2[[#This Row],[Market]]/L$4</f>
        <v>0.2249768240977216</v>
      </c>
      <c r="G663" s="1">
        <f>L$24*Data__2[[#This Row],[Return Market]]*J$4</f>
        <v>12.498712449873437</v>
      </c>
      <c r="H663" s="1">
        <f>M$24*Data__2[[#This Row],[Return Market]]*K$4</f>
        <v>13.123648072367111</v>
      </c>
      <c r="I663" s="1"/>
      <c r="J663" s="1"/>
      <c r="K663" s="1"/>
      <c r="L663" s="1"/>
      <c r="M663" s="1"/>
    </row>
    <row r="664" spans="1:13">
      <c r="A664" s="1">
        <v>6.1932987734419171</v>
      </c>
      <c r="B664" s="1">
        <v>7.3479337883634264</v>
      </c>
      <c r="C664" s="1">
        <v>86.875516423679983</v>
      </c>
      <c r="D664" s="24">
        <f>Data__2[[#This Row],[Project_1]]/J$4</f>
        <v>4.128865848961278E-2</v>
      </c>
      <c r="E664" s="24">
        <f>Data__2[[#This Row],[Project_2]]/K$4</f>
        <v>4.8986225255756174E-2</v>
      </c>
      <c r="F664" s="24">
        <f>Data__2[[#This Row],[Market]]/L$4</f>
        <v>8.687551642367998E-2</v>
      </c>
      <c r="G664" s="1">
        <f>L$24*Data__2[[#This Row],[Return Market]]*J$4</f>
        <v>4.8264175790933379</v>
      </c>
      <c r="H664" s="1">
        <f>M$24*Data__2[[#This Row],[Return Market]]*K$4</f>
        <v>5.0677384580480052</v>
      </c>
      <c r="I664" s="1"/>
      <c r="J664" s="1"/>
      <c r="K664" s="1"/>
      <c r="L664" s="1"/>
      <c r="M664" s="1"/>
    </row>
    <row r="665" spans="1:13">
      <c r="A665" s="1">
        <v>-23.327286046155862</v>
      </c>
      <c r="B665" s="1">
        <v>7.3117293196863926</v>
      </c>
      <c r="C665" s="1">
        <v>-223.83374487127628</v>
      </c>
      <c r="D665" s="24">
        <f>Data__2[[#This Row],[Project_1]]/J$4</f>
        <v>-0.15551524030770575</v>
      </c>
      <c r="E665" s="24">
        <f>Data__2[[#This Row],[Project_2]]/K$4</f>
        <v>4.8744862131242621E-2</v>
      </c>
      <c r="F665" s="24">
        <f>Data__2[[#This Row],[Market]]/L$4</f>
        <v>-0.22383374487127627</v>
      </c>
      <c r="G665" s="1">
        <f>L$24*Data__2[[#This Row],[Return Market]]*J$4</f>
        <v>-12.435208048404252</v>
      </c>
      <c r="H665" s="1">
        <f>M$24*Data__2[[#This Row],[Return Market]]*K$4</f>
        <v>-13.056968450824467</v>
      </c>
      <c r="I665" s="1"/>
      <c r="J665" s="1"/>
      <c r="K665" s="1"/>
      <c r="L665" s="1"/>
      <c r="M665" s="1"/>
    </row>
    <row r="666" spans="1:13">
      <c r="A666" s="1">
        <v>21.813610147364237</v>
      </c>
      <c r="B666" s="1">
        <v>20.065979053960628</v>
      </c>
      <c r="C666" s="1">
        <v>324.66428482935487</v>
      </c>
      <c r="D666" s="24">
        <f>Data__2[[#This Row],[Project_1]]/J$4</f>
        <v>0.14542406764909491</v>
      </c>
      <c r="E666" s="24">
        <f>Data__2[[#This Row],[Project_2]]/K$4</f>
        <v>0.13377319369307086</v>
      </c>
      <c r="F666" s="24">
        <f>Data__2[[#This Row],[Market]]/L$4</f>
        <v>0.32466428482935489</v>
      </c>
      <c r="G666" s="1">
        <f>L$24*Data__2[[#This Row],[Return Market]]*J$4</f>
        <v>18.036904712741958</v>
      </c>
      <c r="H666" s="1">
        <f>M$24*Data__2[[#This Row],[Return Market]]*K$4</f>
        <v>18.938749948379058</v>
      </c>
      <c r="I666" s="1"/>
      <c r="J666" s="1"/>
      <c r="K666" s="1"/>
      <c r="L666" s="1"/>
      <c r="M666" s="1"/>
    </row>
    <row r="667" spans="1:13">
      <c r="A667" s="1">
        <v>8.8597548333575027</v>
      </c>
      <c r="B667" s="1">
        <v>-5.1937567336098773</v>
      </c>
      <c r="C667" s="1">
        <v>-135.83864228983037</v>
      </c>
      <c r="D667" s="24">
        <f>Data__2[[#This Row],[Project_1]]/J$4</f>
        <v>5.9065032222383351E-2</v>
      </c>
      <c r="E667" s="24">
        <f>Data__2[[#This Row],[Project_2]]/K$4</f>
        <v>-3.4625044890732516E-2</v>
      </c>
      <c r="F667" s="24">
        <f>Data__2[[#This Row],[Market]]/L$4</f>
        <v>-0.13583864228983036</v>
      </c>
      <c r="G667" s="1">
        <f>L$24*Data__2[[#This Row],[Return Market]]*J$4</f>
        <v>-7.5465912383239182</v>
      </c>
      <c r="H667" s="1">
        <f>M$24*Data__2[[#This Row],[Return Market]]*K$4</f>
        <v>-7.923920800240114</v>
      </c>
      <c r="I667" s="1"/>
      <c r="J667" s="1"/>
      <c r="K667" s="1"/>
      <c r="L667" s="1"/>
      <c r="M667" s="1"/>
    </row>
    <row r="668" spans="1:13">
      <c r="A668" s="1">
        <v>-2.0602680136857856</v>
      </c>
      <c r="B668" s="1">
        <v>-4.1700395922312996</v>
      </c>
      <c r="C668" s="1">
        <v>-339.79479079629061</v>
      </c>
      <c r="D668" s="24">
        <f>Data__2[[#This Row],[Project_1]]/J$4</f>
        <v>-1.373512009123857E-2</v>
      </c>
      <c r="E668" s="24">
        <f>Data__2[[#This Row],[Project_2]]/K$4</f>
        <v>-2.7800263948208663E-2</v>
      </c>
      <c r="F668" s="24">
        <f>Data__2[[#This Row],[Market]]/L$4</f>
        <v>-0.3397947907962906</v>
      </c>
      <c r="G668" s="1">
        <f>L$24*Data__2[[#This Row],[Return Market]]*J$4</f>
        <v>-18.877488377571719</v>
      </c>
      <c r="H668" s="1">
        <f>M$24*Data__2[[#This Row],[Return Market]]*K$4</f>
        <v>-19.821362796450313</v>
      </c>
      <c r="I668" s="1"/>
      <c r="J668" s="1"/>
      <c r="K668" s="1"/>
      <c r="L668" s="1"/>
      <c r="M668" s="1"/>
    </row>
    <row r="669" spans="1:13">
      <c r="A669" s="1">
        <v>1.2854261873110264</v>
      </c>
      <c r="B669" s="1">
        <v>21.807121510813889</v>
      </c>
      <c r="C669" s="1">
        <v>12.20091604073329</v>
      </c>
      <c r="D669" s="24">
        <f>Data__2[[#This Row],[Project_1]]/J$4</f>
        <v>8.5695079154068429E-3</v>
      </c>
      <c r="E669" s="24">
        <f>Data__2[[#This Row],[Project_2]]/K$4</f>
        <v>0.14538081007209261</v>
      </c>
      <c r="F669" s="24">
        <f>Data__2[[#This Row],[Market]]/L$4</f>
        <v>1.2200916040733289E-2</v>
      </c>
      <c r="G669" s="1">
        <f>L$24*Data__2[[#This Row],[Return Market]]*J$4</f>
        <v>0.6778286689296279</v>
      </c>
      <c r="H669" s="1">
        <f>M$24*Data__2[[#This Row],[Return Market]]*K$4</f>
        <v>0.7117201023761095</v>
      </c>
      <c r="I669" s="1"/>
      <c r="J669" s="1"/>
      <c r="K669" s="1"/>
      <c r="L669" s="1"/>
      <c r="M669" s="1"/>
    </row>
    <row r="670" spans="1:13">
      <c r="A670" s="1">
        <v>9.1542079141318649</v>
      </c>
      <c r="B670" s="1">
        <v>5.0865860320748491</v>
      </c>
      <c r="C670" s="1">
        <v>-16.112665394225488</v>
      </c>
      <c r="D670" s="24">
        <f>Data__2[[#This Row],[Project_1]]/J$4</f>
        <v>6.1028052760879102E-2</v>
      </c>
      <c r="E670" s="24">
        <f>Data__2[[#This Row],[Project_2]]/K$4</f>
        <v>3.3910573547165659E-2</v>
      </c>
      <c r="F670" s="24">
        <f>Data__2[[#This Row],[Market]]/L$4</f>
        <v>-1.6112665394225487E-2</v>
      </c>
      <c r="G670" s="1">
        <f>L$24*Data__2[[#This Row],[Return Market]]*J$4</f>
        <v>-0.89514807745697256</v>
      </c>
      <c r="H670" s="1">
        <f>M$24*Data__2[[#This Row],[Return Market]]*K$4</f>
        <v>-0.93990548132982121</v>
      </c>
      <c r="I670" s="1"/>
      <c r="J670" s="1"/>
      <c r="K670" s="1"/>
      <c r="L670" s="1"/>
      <c r="M670" s="1"/>
    </row>
    <row r="671" spans="1:13">
      <c r="A671" s="1">
        <v>8.4538894318448072</v>
      </c>
      <c r="B671" s="1">
        <v>-6.3395073544249527</v>
      </c>
      <c r="C671" s="1">
        <v>-136.65211026522084</v>
      </c>
      <c r="D671" s="24">
        <f>Data__2[[#This Row],[Project_1]]/J$4</f>
        <v>5.635926287896538E-2</v>
      </c>
      <c r="E671" s="24">
        <f>Data__2[[#This Row],[Project_2]]/K$4</f>
        <v>-4.2263382362833016E-2</v>
      </c>
      <c r="F671" s="24">
        <f>Data__2[[#This Row],[Market]]/L$4</f>
        <v>-0.13665211026522084</v>
      </c>
      <c r="G671" s="1">
        <f>L$24*Data__2[[#This Row],[Return Market]]*J$4</f>
        <v>-7.591783903623389</v>
      </c>
      <c r="H671" s="1">
        <f>M$24*Data__2[[#This Row],[Return Market]]*K$4</f>
        <v>-7.9713730988045599</v>
      </c>
      <c r="I671" s="1"/>
      <c r="J671" s="1"/>
      <c r="K671" s="1"/>
      <c r="L671" s="1"/>
      <c r="M671" s="1"/>
    </row>
    <row r="672" spans="1:13">
      <c r="A672" s="1">
        <v>26.58454528289861</v>
      </c>
      <c r="B672" s="1">
        <v>25.009116122760027</v>
      </c>
      <c r="C672" s="1">
        <v>127.97785343121009</v>
      </c>
      <c r="D672" s="24">
        <f>Data__2[[#This Row],[Project_1]]/J$4</f>
        <v>0.17723030188599073</v>
      </c>
      <c r="E672" s="24">
        <f>Data__2[[#This Row],[Project_2]]/K$4</f>
        <v>0.16672744081840019</v>
      </c>
      <c r="F672" s="24">
        <f>Data__2[[#This Row],[Market]]/L$4</f>
        <v>0.1279778534312101</v>
      </c>
      <c r="G672" s="1">
        <f>L$24*Data__2[[#This Row],[Return Market]]*J$4</f>
        <v>7.1098807461783462</v>
      </c>
      <c r="H672" s="1">
        <f>M$24*Data__2[[#This Row],[Return Market]]*K$4</f>
        <v>7.4653747834872659</v>
      </c>
      <c r="I672" s="1"/>
      <c r="J672" s="1"/>
      <c r="K672" s="1"/>
      <c r="L672" s="1"/>
      <c r="M672" s="1"/>
    </row>
    <row r="673" spans="1:13">
      <c r="A673" s="1">
        <v>5.8074149427229091</v>
      </c>
      <c r="B673" s="1">
        <v>2.6929913741716272</v>
      </c>
      <c r="C673" s="1">
        <v>213.08371558613928</v>
      </c>
      <c r="D673" s="24">
        <f>Data__2[[#This Row],[Project_1]]/J$4</f>
        <v>3.8716099618152727E-2</v>
      </c>
      <c r="E673" s="24">
        <f>Data__2[[#This Row],[Project_2]]/K$4</f>
        <v>1.7953275827810849E-2</v>
      </c>
      <c r="F673" s="24">
        <f>Data__2[[#This Row],[Market]]/L$4</f>
        <v>0.21308371558613928</v>
      </c>
      <c r="G673" s="1">
        <f>L$24*Data__2[[#This Row],[Return Market]]*J$4</f>
        <v>11.837984199229973</v>
      </c>
      <c r="H673" s="1">
        <f>M$24*Data__2[[#This Row],[Return Market]]*K$4</f>
        <v>12.429883409191474</v>
      </c>
      <c r="I673" s="1"/>
      <c r="J673" s="1"/>
      <c r="K673" s="1"/>
      <c r="L673" s="1"/>
      <c r="M673" s="1"/>
    </row>
    <row r="674" spans="1:13">
      <c r="A674" s="1">
        <v>-7.3698433714012914</v>
      </c>
      <c r="B674" s="1">
        <v>-1.287419828155274</v>
      </c>
      <c r="C674" s="1">
        <v>-44.766913105252371</v>
      </c>
      <c r="D674" s="24">
        <f>Data__2[[#This Row],[Project_1]]/J$4</f>
        <v>-4.9132289142675277E-2</v>
      </c>
      <c r="E674" s="24">
        <f>Data__2[[#This Row],[Project_2]]/K$4</f>
        <v>-8.5827988543684935E-3</v>
      </c>
      <c r="F674" s="24">
        <f>Data__2[[#This Row],[Market]]/L$4</f>
        <v>-4.4766913105252368E-2</v>
      </c>
      <c r="G674" s="1">
        <f>L$24*Data__2[[#This Row],[Return Market]]*J$4</f>
        <v>-2.4870507280695788</v>
      </c>
      <c r="H674" s="1">
        <f>M$24*Data__2[[#This Row],[Return Market]]*K$4</f>
        <v>-2.6114032644730583</v>
      </c>
      <c r="I674" s="1"/>
      <c r="J674" s="1"/>
      <c r="K674" s="1"/>
      <c r="L674" s="1"/>
      <c r="M674" s="1"/>
    </row>
    <row r="675" spans="1:13">
      <c r="A675" s="1">
        <v>11.286913584697079</v>
      </c>
      <c r="B675" s="1">
        <v>8.9769328797161414</v>
      </c>
      <c r="C675" s="1">
        <v>119.26158318076305</v>
      </c>
      <c r="D675" s="24">
        <f>Data__2[[#This Row],[Project_1]]/J$4</f>
        <v>7.5246090564647192E-2</v>
      </c>
      <c r="E675" s="24">
        <f>Data__2[[#This Row],[Project_2]]/K$4</f>
        <v>5.9846219198107613E-2</v>
      </c>
      <c r="F675" s="24">
        <f>Data__2[[#This Row],[Market]]/L$4</f>
        <v>0.11926158318076305</v>
      </c>
      <c r="G675" s="1">
        <f>L$24*Data__2[[#This Row],[Return Market]]*J$4</f>
        <v>6.6256435100423987</v>
      </c>
      <c r="H675" s="1">
        <f>M$24*Data__2[[#This Row],[Return Market]]*K$4</f>
        <v>6.9569256855445198</v>
      </c>
      <c r="I675" s="1"/>
      <c r="J675" s="1"/>
      <c r="K675" s="1"/>
      <c r="L675" s="1"/>
      <c r="M675" s="1"/>
    </row>
    <row r="676" spans="1:13">
      <c r="A676" s="1">
        <v>-11.787156884487462</v>
      </c>
      <c r="B676" s="1">
        <v>-2.1807413613735545</v>
      </c>
      <c r="C676" s="1">
        <v>-46.1081482062296</v>
      </c>
      <c r="D676" s="24">
        <f>Data__2[[#This Row],[Project_1]]/J$4</f>
        <v>-7.8581045896583088E-2</v>
      </c>
      <c r="E676" s="24">
        <f>Data__2[[#This Row],[Project_2]]/K$4</f>
        <v>-1.4538275742490362E-2</v>
      </c>
      <c r="F676" s="24">
        <f>Data__2[[#This Row],[Market]]/L$4</f>
        <v>-4.6108148206229597E-2</v>
      </c>
      <c r="G676" s="1">
        <f>L$24*Data__2[[#This Row],[Return Market]]*J$4</f>
        <v>-2.5615637892349805</v>
      </c>
      <c r="H676" s="1">
        <f>M$24*Data__2[[#This Row],[Return Market]]*K$4</f>
        <v>-2.6896419786967298</v>
      </c>
      <c r="I676" s="1"/>
      <c r="J676" s="1"/>
      <c r="K676" s="1"/>
      <c r="L676" s="1"/>
      <c r="M676" s="1"/>
    </row>
    <row r="677" spans="1:13">
      <c r="A677" s="1">
        <v>-21.313678102893498</v>
      </c>
      <c r="B677" s="1">
        <v>18.740771662043958</v>
      </c>
      <c r="C677" s="1">
        <v>-49.593953021210979</v>
      </c>
      <c r="D677" s="24">
        <f>Data__2[[#This Row],[Project_1]]/J$4</f>
        <v>-0.14209118735262333</v>
      </c>
      <c r="E677" s="24">
        <f>Data__2[[#This Row],[Project_2]]/K$4</f>
        <v>0.12493847774695972</v>
      </c>
      <c r="F677" s="24">
        <f>Data__2[[#This Row],[Market]]/L$4</f>
        <v>-4.9593953021210981E-2</v>
      </c>
      <c r="G677" s="1">
        <f>L$24*Data__2[[#This Row],[Return Market]]*J$4</f>
        <v>-2.7552196122895021</v>
      </c>
      <c r="H677" s="1">
        <f>M$24*Data__2[[#This Row],[Return Market]]*K$4</f>
        <v>-2.8929805929039776</v>
      </c>
      <c r="I677" s="1"/>
      <c r="J677" s="1"/>
      <c r="K677" s="1"/>
      <c r="L677" s="1"/>
      <c r="M677" s="1"/>
    </row>
    <row r="678" spans="1:13">
      <c r="A678" s="1">
        <v>18.648605733974549</v>
      </c>
      <c r="B678" s="1">
        <v>4.6066486974771816</v>
      </c>
      <c r="C678" s="1">
        <v>54.021916209046218</v>
      </c>
      <c r="D678" s="24">
        <f>Data__2[[#This Row],[Project_1]]/J$4</f>
        <v>0.12432403822649699</v>
      </c>
      <c r="E678" s="24">
        <f>Data__2[[#This Row],[Project_2]]/K$4</f>
        <v>3.0710991316514544E-2</v>
      </c>
      <c r="F678" s="24">
        <f>Data__2[[#This Row],[Market]]/L$4</f>
        <v>5.4021916209046221E-2</v>
      </c>
      <c r="G678" s="1">
        <f>L$24*Data__2[[#This Row],[Return Market]]*J$4</f>
        <v>3.0012175671692378</v>
      </c>
      <c r="H678" s="1">
        <f>M$24*Data__2[[#This Row],[Return Market]]*K$4</f>
        <v>3.1512784455277005</v>
      </c>
      <c r="I678" s="1"/>
      <c r="J678" s="1"/>
      <c r="K678" s="1"/>
      <c r="L678" s="1"/>
      <c r="M678" s="1"/>
    </row>
    <row r="679" spans="1:13">
      <c r="A679" s="1">
        <v>24.359676606164307</v>
      </c>
      <c r="B679" s="1">
        <v>27.742394991190345</v>
      </c>
      <c r="C679" s="1">
        <v>241.80507500786396</v>
      </c>
      <c r="D679" s="24">
        <f>Data__2[[#This Row],[Project_1]]/J$4</f>
        <v>0.16239784404109539</v>
      </c>
      <c r="E679" s="24">
        <f>Data__2[[#This Row],[Project_2]]/K$4</f>
        <v>0.18494929994126896</v>
      </c>
      <c r="F679" s="24">
        <f>Data__2[[#This Row],[Market]]/L$4</f>
        <v>0.24180507500786397</v>
      </c>
      <c r="G679" s="1">
        <f>L$24*Data__2[[#This Row],[Return Market]]*J$4</f>
        <v>13.433615278214679</v>
      </c>
      <c r="H679" s="1">
        <f>M$24*Data__2[[#This Row],[Return Market]]*K$4</f>
        <v>14.105296042125415</v>
      </c>
      <c r="I679" s="1"/>
      <c r="J679" s="1"/>
      <c r="K679" s="1"/>
      <c r="L679" s="1"/>
      <c r="M679" s="1"/>
    </row>
    <row r="680" spans="1:13">
      <c r="A680" s="1">
        <v>-31.379408642466124</v>
      </c>
      <c r="B680" s="1">
        <v>-11.47362005124166</v>
      </c>
      <c r="C680" s="1">
        <v>124.97394941144435</v>
      </c>
      <c r="D680" s="24">
        <f>Data__2[[#This Row],[Project_1]]/J$4</f>
        <v>-0.20919605761644083</v>
      </c>
      <c r="E680" s="24">
        <f>Data__2[[#This Row],[Project_2]]/K$4</f>
        <v>-7.649080034161107E-2</v>
      </c>
      <c r="F680" s="24">
        <f>Data__2[[#This Row],[Market]]/L$4</f>
        <v>0.12497394941144435</v>
      </c>
      <c r="G680" s="1">
        <f>L$24*Data__2[[#This Row],[Return Market]]*J$4</f>
        <v>6.9429971895246938</v>
      </c>
      <c r="H680" s="1">
        <f>M$24*Data__2[[#This Row],[Return Market]]*K$4</f>
        <v>7.2901470490009297</v>
      </c>
      <c r="I680" s="1"/>
      <c r="J680" s="1"/>
      <c r="K680" s="1"/>
      <c r="L680" s="1"/>
      <c r="M680" s="1"/>
    </row>
    <row r="681" spans="1:13">
      <c r="A681" s="1">
        <v>-23.647946628238714</v>
      </c>
      <c r="B681" s="1">
        <v>-1.1119712314278729</v>
      </c>
      <c r="C681" s="1">
        <v>22.777391492062264</v>
      </c>
      <c r="D681" s="24">
        <f>Data__2[[#This Row],[Project_1]]/J$4</f>
        <v>-0.15765297752159144</v>
      </c>
      <c r="E681" s="24">
        <f>Data__2[[#This Row],[Project_2]]/K$4</f>
        <v>-7.4131415428524859E-3</v>
      </c>
      <c r="F681" s="24">
        <f>Data__2[[#This Row],[Market]]/L$4</f>
        <v>2.2777391492062263E-2</v>
      </c>
      <c r="G681" s="1">
        <f>L$24*Data__2[[#This Row],[Return Market]]*J$4</f>
        <v>1.2654106384479049</v>
      </c>
      <c r="H681" s="1">
        <f>M$24*Data__2[[#This Row],[Return Market]]*K$4</f>
        <v>1.3286811703703005</v>
      </c>
      <c r="I681" s="1"/>
      <c r="J681" s="1"/>
      <c r="K681" s="1"/>
      <c r="L681" s="1"/>
      <c r="M681" s="1"/>
    </row>
    <row r="682" spans="1:13">
      <c r="A682" s="1">
        <v>18.956150855791918</v>
      </c>
      <c r="B682" s="1">
        <v>4.7340404368503037</v>
      </c>
      <c r="C682" s="1">
        <v>69.879088739540407</v>
      </c>
      <c r="D682" s="24">
        <f>Data__2[[#This Row],[Project_1]]/J$4</f>
        <v>0.12637433903861278</v>
      </c>
      <c r="E682" s="24">
        <f>Data__2[[#This Row],[Project_2]]/K$4</f>
        <v>3.1560269579002022E-2</v>
      </c>
      <c r="F682" s="24">
        <f>Data__2[[#This Row],[Market]]/L$4</f>
        <v>6.9879088739540407E-2</v>
      </c>
      <c r="G682" s="1">
        <f>L$24*Data__2[[#This Row],[Return Market]]*J$4</f>
        <v>3.8821715966411383</v>
      </c>
      <c r="H682" s="1">
        <f>M$24*Data__2[[#This Row],[Return Market]]*K$4</f>
        <v>4.0762801764731957</v>
      </c>
      <c r="I682" s="1"/>
      <c r="J682" s="1"/>
      <c r="K682" s="1"/>
      <c r="L682" s="1"/>
      <c r="M682" s="1"/>
    </row>
    <row r="683" spans="1:13">
      <c r="A683" s="1">
        <v>16.316689977253706</v>
      </c>
      <c r="B683" s="1">
        <v>25.375563131640309</v>
      </c>
      <c r="C683" s="1">
        <v>-59.291017625624477</v>
      </c>
      <c r="D683" s="24">
        <f>Data__2[[#This Row],[Project_1]]/J$4</f>
        <v>0.10877793318169138</v>
      </c>
      <c r="E683" s="24">
        <f>Data__2[[#This Row],[Project_2]]/K$4</f>
        <v>0.16917042087760206</v>
      </c>
      <c r="F683" s="24">
        <f>Data__2[[#This Row],[Market]]/L$4</f>
        <v>-5.9291017625624477E-2</v>
      </c>
      <c r="G683" s="1">
        <f>L$24*Data__2[[#This Row],[Return Market]]*J$4</f>
        <v>-3.2939454236458077</v>
      </c>
      <c r="H683" s="1">
        <f>M$24*Data__2[[#This Row],[Return Market]]*K$4</f>
        <v>-3.4586426948280988</v>
      </c>
      <c r="I683" s="1"/>
      <c r="J683" s="1"/>
      <c r="K683" s="1"/>
      <c r="L683" s="1"/>
      <c r="M683" s="1"/>
    </row>
    <row r="684" spans="1:13">
      <c r="A684" s="1">
        <v>-18.909832216731814</v>
      </c>
      <c r="B684" s="1">
        <v>5.0318429493890005</v>
      </c>
      <c r="C684" s="1">
        <v>149.28018661154934</v>
      </c>
      <c r="D684" s="24">
        <f>Data__2[[#This Row],[Project_1]]/J$4</f>
        <v>-0.12606554811154544</v>
      </c>
      <c r="E684" s="24">
        <f>Data__2[[#This Row],[Project_2]]/K$4</f>
        <v>3.3545619662593333E-2</v>
      </c>
      <c r="F684" s="24">
        <f>Data__2[[#This Row],[Market]]/L$4</f>
        <v>0.14928018661154935</v>
      </c>
      <c r="G684" s="1">
        <f>L$24*Data__2[[#This Row],[Return Market]]*J$4</f>
        <v>8.2933437006416391</v>
      </c>
      <c r="H684" s="1">
        <f>M$24*Data__2[[#This Row],[Return Market]]*K$4</f>
        <v>8.7080108856737244</v>
      </c>
      <c r="I684" s="1"/>
      <c r="J684" s="1"/>
      <c r="K684" s="1"/>
      <c r="L684" s="1"/>
      <c r="M684" s="1"/>
    </row>
    <row r="685" spans="1:13">
      <c r="A685" s="1">
        <v>20.817028188631433</v>
      </c>
      <c r="B685" s="1">
        <v>5.073526653876641</v>
      </c>
      <c r="C685" s="1">
        <v>83.256341133755853</v>
      </c>
      <c r="D685" s="24">
        <f>Data__2[[#This Row],[Project_1]]/J$4</f>
        <v>0.13878018792420954</v>
      </c>
      <c r="E685" s="24">
        <f>Data__2[[#This Row],[Project_2]]/K$4</f>
        <v>3.3823511025844272E-2</v>
      </c>
      <c r="F685" s="24">
        <f>Data__2[[#This Row],[Market]]/L$4</f>
        <v>8.3256341133755851E-2</v>
      </c>
      <c r="G685" s="1">
        <f>L$24*Data__2[[#This Row],[Return Market]]*J$4</f>
        <v>4.6253522852086633</v>
      </c>
      <c r="H685" s="1">
        <f>M$24*Data__2[[#This Row],[Return Market]]*K$4</f>
        <v>4.8566198994690977</v>
      </c>
      <c r="I685" s="1"/>
      <c r="J685" s="1"/>
      <c r="K685" s="1"/>
      <c r="L685" s="1"/>
      <c r="M685" s="1"/>
    </row>
    <row r="686" spans="1:13">
      <c r="A686" s="1">
        <v>-18.96320531269614</v>
      </c>
      <c r="B686" s="1">
        <v>-8.3646875578041673</v>
      </c>
      <c r="C686" s="1">
        <v>-175.36079763466137</v>
      </c>
      <c r="D686" s="24">
        <f>Data__2[[#This Row],[Project_1]]/J$4</f>
        <v>-0.12642136875130761</v>
      </c>
      <c r="E686" s="24">
        <f>Data__2[[#This Row],[Project_2]]/K$4</f>
        <v>-5.5764583718694451E-2</v>
      </c>
      <c r="F686" s="24">
        <f>Data__2[[#This Row],[Market]]/L$4</f>
        <v>-0.17536079763466136</v>
      </c>
      <c r="G686" s="1">
        <f>L$24*Data__2[[#This Row],[Return Market]]*J$4</f>
        <v>-9.7422665352589757</v>
      </c>
      <c r="H686" s="1">
        <f>M$24*Data__2[[#This Row],[Return Market]]*K$4</f>
        <v>-10.229379862021926</v>
      </c>
      <c r="I686" s="1"/>
      <c r="J686" s="1"/>
      <c r="K686" s="1"/>
      <c r="L686" s="1"/>
      <c r="M686" s="1"/>
    </row>
    <row r="687" spans="1:13">
      <c r="A687" s="1">
        <v>35.766065155051862</v>
      </c>
      <c r="B687" s="1">
        <v>29.771455113019158</v>
      </c>
      <c r="C687" s="1">
        <v>541.90812127900847</v>
      </c>
      <c r="D687" s="24">
        <f>Data__2[[#This Row],[Project_1]]/J$4</f>
        <v>0.23844043436701243</v>
      </c>
      <c r="E687" s="24">
        <f>Data__2[[#This Row],[Project_2]]/K$4</f>
        <v>0.19847636742012773</v>
      </c>
      <c r="F687" s="24">
        <f>Data__2[[#This Row],[Market]]/L$4</f>
        <v>0.54190812127900845</v>
      </c>
      <c r="G687" s="1">
        <f>L$24*Data__2[[#This Row],[Return Market]]*J$4</f>
        <v>30.106006737722726</v>
      </c>
      <c r="H687" s="1">
        <f>M$24*Data__2[[#This Row],[Return Market]]*K$4</f>
        <v>31.611307074608867</v>
      </c>
      <c r="I687" s="1"/>
      <c r="J687" s="1"/>
      <c r="K687" s="1"/>
      <c r="L687" s="1"/>
      <c r="M687" s="1"/>
    </row>
    <row r="688" spans="1:13">
      <c r="A688" s="1">
        <v>24.465340045989898</v>
      </c>
      <c r="B688" s="1">
        <v>16.493580375298876</v>
      </c>
      <c r="C688" s="1">
        <v>193.65899182349369</v>
      </c>
      <c r="D688" s="24">
        <f>Data__2[[#This Row],[Project_1]]/J$4</f>
        <v>0.16310226697326599</v>
      </c>
      <c r="E688" s="24">
        <f>Data__2[[#This Row],[Project_2]]/K$4</f>
        <v>0.10995720250199251</v>
      </c>
      <c r="F688" s="24">
        <f>Data__2[[#This Row],[Market]]/L$4</f>
        <v>0.19365899182349369</v>
      </c>
      <c r="G688" s="1">
        <f>L$24*Data__2[[#This Row],[Return Market]]*J$4</f>
        <v>10.758832879082997</v>
      </c>
      <c r="H688" s="1">
        <f>M$24*Data__2[[#This Row],[Return Market]]*K$4</f>
        <v>11.296774523037147</v>
      </c>
      <c r="I688" s="1"/>
      <c r="J688" s="1"/>
      <c r="K688" s="1"/>
      <c r="L688" s="1"/>
      <c r="M688" s="1"/>
    </row>
    <row r="689" spans="1:13">
      <c r="A689" s="1">
        <v>34.314420764054496</v>
      </c>
      <c r="B689" s="1">
        <v>19.75625099862107</v>
      </c>
      <c r="C689" s="1">
        <v>171.71092755496989</v>
      </c>
      <c r="D689" s="24">
        <f>Data__2[[#This Row],[Project_1]]/J$4</f>
        <v>0.22876280509369665</v>
      </c>
      <c r="E689" s="24">
        <f>Data__2[[#This Row],[Project_2]]/K$4</f>
        <v>0.13170833999080714</v>
      </c>
      <c r="F689" s="24">
        <f>Data__2[[#This Row],[Market]]/L$4</f>
        <v>0.17171092755496989</v>
      </c>
      <c r="G689" s="1">
        <f>L$24*Data__2[[#This Row],[Return Market]]*J$4</f>
        <v>9.5394959752761164</v>
      </c>
      <c r="H689" s="1">
        <f>M$24*Data__2[[#This Row],[Return Market]]*K$4</f>
        <v>10.016470774039922</v>
      </c>
      <c r="I689" s="1"/>
      <c r="J689" s="1"/>
      <c r="K689" s="1"/>
      <c r="L689" s="1"/>
      <c r="M689" s="1"/>
    </row>
    <row r="690" spans="1:13">
      <c r="A690" s="1">
        <v>8.8796177019770379</v>
      </c>
      <c r="B690" s="1">
        <v>-3.5260321509283798</v>
      </c>
      <c r="C690" s="1">
        <v>-50.09748683869293</v>
      </c>
      <c r="D690" s="24">
        <f>Data__2[[#This Row],[Project_1]]/J$4</f>
        <v>5.9197451346513587E-2</v>
      </c>
      <c r="E690" s="24">
        <f>Data__2[[#This Row],[Project_2]]/K$4</f>
        <v>-2.3506881006189199E-2</v>
      </c>
      <c r="F690" s="24">
        <f>Data__2[[#This Row],[Market]]/L$4</f>
        <v>-5.0097486838692931E-2</v>
      </c>
      <c r="G690" s="1">
        <f>L$24*Data__2[[#This Row],[Return Market]]*J$4</f>
        <v>-2.7831937132607214</v>
      </c>
      <c r="H690" s="1">
        <f>M$24*Data__2[[#This Row],[Return Market]]*K$4</f>
        <v>-2.9223533989237582</v>
      </c>
      <c r="I690" s="1"/>
      <c r="J690" s="1"/>
      <c r="K690" s="1"/>
      <c r="L690" s="1"/>
      <c r="M690" s="1"/>
    </row>
    <row r="691" spans="1:13">
      <c r="A691" s="1">
        <v>2.3172229425775797</v>
      </c>
      <c r="B691" s="1">
        <v>-8.2362379907681778</v>
      </c>
      <c r="C691" s="1">
        <v>243.12291587397763</v>
      </c>
      <c r="D691" s="24">
        <f>Data__2[[#This Row],[Project_1]]/J$4</f>
        <v>1.5448152950517198E-2</v>
      </c>
      <c r="E691" s="24">
        <f>Data__2[[#This Row],[Project_2]]/K$4</f>
        <v>-5.4908253271787853E-2</v>
      </c>
      <c r="F691" s="24">
        <f>Data__2[[#This Row],[Market]]/L$4</f>
        <v>0.24312291587397764</v>
      </c>
      <c r="G691" s="1">
        <f>L$24*Data__2[[#This Row],[Return Market]]*J$4</f>
        <v>13.506828659665439</v>
      </c>
      <c r="H691" s="1">
        <f>M$24*Data__2[[#This Row],[Return Market]]*K$4</f>
        <v>14.182170092648715</v>
      </c>
      <c r="I691" s="1"/>
      <c r="J691" s="1"/>
      <c r="K691" s="1"/>
      <c r="L691" s="1"/>
      <c r="M691" s="1"/>
    </row>
    <row r="692" spans="1:13">
      <c r="A692" s="1">
        <v>3.068723631775196</v>
      </c>
      <c r="B692" s="1">
        <v>11.775273694427854</v>
      </c>
      <c r="C692" s="1">
        <v>78.816232334923413</v>
      </c>
      <c r="D692" s="24">
        <f>Data__2[[#This Row],[Project_1]]/J$4</f>
        <v>2.0458157545167974E-2</v>
      </c>
      <c r="E692" s="24">
        <f>Data__2[[#This Row],[Project_2]]/K$4</f>
        <v>7.8501824629519032E-2</v>
      </c>
      <c r="F692" s="24">
        <f>Data__2[[#This Row],[Market]]/L$4</f>
        <v>7.8816232334923408E-2</v>
      </c>
      <c r="G692" s="1">
        <f>L$24*Data__2[[#This Row],[Return Market]]*J$4</f>
        <v>4.3786795741624163</v>
      </c>
      <c r="H692" s="1">
        <f>M$24*Data__2[[#This Row],[Return Market]]*K$4</f>
        <v>4.5976135528705386</v>
      </c>
      <c r="I692" s="1"/>
      <c r="J692" s="1"/>
      <c r="K692" s="1"/>
      <c r="L692" s="1"/>
      <c r="M692" s="1"/>
    </row>
    <row r="693" spans="1:13">
      <c r="A693" s="1">
        <v>8.0436124363297505</v>
      </c>
      <c r="B693" s="1">
        <v>13.21530486785128</v>
      </c>
      <c r="C693" s="1">
        <v>-9.8030803417369725</v>
      </c>
      <c r="D693" s="24">
        <f>Data__2[[#This Row],[Project_1]]/J$4</f>
        <v>5.3624082908865001E-2</v>
      </c>
      <c r="E693" s="24">
        <f>Data__2[[#This Row],[Project_2]]/K$4</f>
        <v>8.8102032452341869E-2</v>
      </c>
      <c r="F693" s="24">
        <f>Data__2[[#This Row],[Market]]/L$4</f>
        <v>-9.8030803417369725E-3</v>
      </c>
      <c r="G693" s="1">
        <f>L$24*Data__2[[#This Row],[Return Market]]*J$4</f>
        <v>-0.54461557454094356</v>
      </c>
      <c r="H693" s="1">
        <f>M$24*Data__2[[#This Row],[Return Market]]*K$4</f>
        <v>-0.57184635326799083</v>
      </c>
      <c r="I693" s="1"/>
      <c r="J693" s="1"/>
      <c r="K693" s="1"/>
      <c r="L693" s="1"/>
      <c r="M693" s="1"/>
    </row>
    <row r="694" spans="1:13">
      <c r="A694" s="1">
        <v>-5.0139020459511201</v>
      </c>
      <c r="B694" s="1">
        <v>4.4245612653387525</v>
      </c>
      <c r="C694" s="1">
        <v>-2.3921293143907434</v>
      </c>
      <c r="D694" s="24">
        <f>Data__2[[#This Row],[Project_1]]/J$4</f>
        <v>-3.3426013639674131E-2</v>
      </c>
      <c r="E694" s="24">
        <f>Data__2[[#This Row],[Project_2]]/K$4</f>
        <v>2.9497075102258349E-2</v>
      </c>
      <c r="F694" s="24">
        <f>Data__2[[#This Row],[Market]]/L$4</f>
        <v>-2.3921293143907433E-3</v>
      </c>
      <c r="G694" s="1">
        <f>L$24*Data__2[[#This Row],[Return Market]]*J$4</f>
        <v>-0.13289607302170811</v>
      </c>
      <c r="H694" s="1">
        <f>M$24*Data__2[[#This Row],[Return Market]]*K$4</f>
        <v>-0.13954087667279352</v>
      </c>
      <c r="I694" s="1"/>
      <c r="J694" s="1"/>
      <c r="K694" s="1"/>
      <c r="L694" s="1"/>
      <c r="M694" s="1"/>
    </row>
    <row r="695" spans="1:13">
      <c r="A695" s="1">
        <v>-5.1620375287157252</v>
      </c>
      <c r="B695" s="1">
        <v>8.687920763475395</v>
      </c>
      <c r="C695" s="1">
        <v>106.61896489672296</v>
      </c>
      <c r="D695" s="24">
        <f>Data__2[[#This Row],[Project_1]]/J$4</f>
        <v>-3.4413583524771502E-2</v>
      </c>
      <c r="E695" s="24">
        <f>Data__2[[#This Row],[Project_2]]/K$4</f>
        <v>5.7919471756502632E-2</v>
      </c>
      <c r="F695" s="24">
        <f>Data__2[[#This Row],[Market]]/L$4</f>
        <v>0.10661896489672296</v>
      </c>
      <c r="G695" s="1">
        <f>L$24*Data__2[[#This Row],[Return Market]]*J$4</f>
        <v>5.9232758275957265</v>
      </c>
      <c r="H695" s="1">
        <f>M$24*Data__2[[#This Row],[Return Market]]*K$4</f>
        <v>6.2194396189755139</v>
      </c>
      <c r="I695" s="1"/>
      <c r="J695" s="1"/>
      <c r="K695" s="1"/>
      <c r="L695" s="1"/>
      <c r="M695" s="1"/>
    </row>
    <row r="696" spans="1:13">
      <c r="A696" s="1">
        <v>-21.802745209808137</v>
      </c>
      <c r="B696" s="1">
        <v>0.91800850789400457</v>
      </c>
      <c r="C696" s="1">
        <v>-11.414012681276446</v>
      </c>
      <c r="D696" s="24">
        <f>Data__2[[#This Row],[Project_1]]/J$4</f>
        <v>-0.14535163473205426</v>
      </c>
      <c r="E696" s="24">
        <f>Data__2[[#This Row],[Project_2]]/K$4</f>
        <v>6.120056719293364E-3</v>
      </c>
      <c r="F696" s="24">
        <f>Data__2[[#This Row],[Market]]/L$4</f>
        <v>-1.1414012681276446E-2</v>
      </c>
      <c r="G696" s="1">
        <f>L$24*Data__2[[#This Row],[Return Market]]*J$4</f>
        <v>-0.63411181562647001</v>
      </c>
      <c r="H696" s="1">
        <f>M$24*Data__2[[#This Row],[Return Market]]*K$4</f>
        <v>-0.66581740640779363</v>
      </c>
      <c r="I696" s="1"/>
      <c r="J696" s="1"/>
      <c r="K696" s="1"/>
      <c r="L696" s="1"/>
      <c r="M696" s="1"/>
    </row>
    <row r="697" spans="1:13">
      <c r="A697" s="1">
        <v>25.365579177347904</v>
      </c>
      <c r="B697" s="1">
        <v>11.566973045224392</v>
      </c>
      <c r="C697" s="1">
        <v>164.8050785365493</v>
      </c>
      <c r="D697" s="24">
        <f>Data__2[[#This Row],[Project_1]]/J$4</f>
        <v>0.16910386118231935</v>
      </c>
      <c r="E697" s="24">
        <f>Data__2[[#This Row],[Project_2]]/K$4</f>
        <v>7.7113153634829276E-2</v>
      </c>
      <c r="F697" s="24">
        <f>Data__2[[#This Row],[Market]]/L$4</f>
        <v>0.1648050785365493</v>
      </c>
      <c r="G697" s="1">
        <f>L$24*Data__2[[#This Row],[Return Market]]*J$4</f>
        <v>9.1558376964749719</v>
      </c>
      <c r="H697" s="1">
        <f>M$24*Data__2[[#This Row],[Return Market]]*K$4</f>
        <v>9.6136295812987207</v>
      </c>
      <c r="I697" s="1"/>
      <c r="J697" s="1"/>
      <c r="K697" s="1"/>
      <c r="L697" s="1"/>
      <c r="M697" s="1"/>
    </row>
    <row r="698" spans="1:13">
      <c r="A698" s="1">
        <v>-3.2193844596489178</v>
      </c>
      <c r="B698" s="1">
        <v>0.89604707584076948</v>
      </c>
      <c r="C698" s="1">
        <v>-116.50104045755552</v>
      </c>
      <c r="D698" s="24">
        <f>Data__2[[#This Row],[Project_1]]/J$4</f>
        <v>-2.1462563064326118E-2</v>
      </c>
      <c r="E698" s="24">
        <f>Data__2[[#This Row],[Project_2]]/K$4</f>
        <v>5.9736471722717961E-3</v>
      </c>
      <c r="F698" s="24">
        <f>Data__2[[#This Row],[Market]]/L$4</f>
        <v>-0.11650104045755552</v>
      </c>
      <c r="G698" s="1">
        <f>L$24*Data__2[[#This Row],[Return Market]]*J$4</f>
        <v>-6.4722800254197583</v>
      </c>
      <c r="H698" s="1">
        <f>M$24*Data__2[[#This Row],[Return Market]]*K$4</f>
        <v>-6.795894026690747</v>
      </c>
      <c r="I698" s="1"/>
      <c r="J698" s="1"/>
      <c r="K698" s="1"/>
      <c r="L698" s="1"/>
      <c r="M698" s="1"/>
    </row>
    <row r="699" spans="1:13">
      <c r="A699" s="1">
        <v>21.650350232309528</v>
      </c>
      <c r="B699" s="1">
        <v>12.608881018375156</v>
      </c>
      <c r="C699" s="1">
        <v>201.25334224087896</v>
      </c>
      <c r="D699" s="24">
        <f>Data__2[[#This Row],[Project_1]]/J$4</f>
        <v>0.14433566821539684</v>
      </c>
      <c r="E699" s="24">
        <f>Data__2[[#This Row],[Project_2]]/K$4</f>
        <v>8.4059206789167701E-2</v>
      </c>
      <c r="F699" s="24">
        <f>Data__2[[#This Row],[Market]]/L$4</f>
        <v>0.20125334224087896</v>
      </c>
      <c r="G699" s="1">
        <f>L$24*Data__2[[#This Row],[Return Market]]*J$4</f>
        <v>11.180741235604399</v>
      </c>
      <c r="H699" s="1">
        <f>M$24*Data__2[[#This Row],[Return Market]]*K$4</f>
        <v>11.739778297384621</v>
      </c>
      <c r="I699" s="1"/>
      <c r="J699" s="1"/>
      <c r="K699" s="1"/>
      <c r="L699" s="1"/>
      <c r="M699" s="1"/>
    </row>
    <row r="700" spans="1:13">
      <c r="A700" s="1">
        <v>3.209507262786027</v>
      </c>
      <c r="B700" s="1">
        <v>5.6780135865693513</v>
      </c>
      <c r="C700" s="1">
        <v>155.48603385905096</v>
      </c>
      <c r="D700" s="24">
        <f>Data__2[[#This Row],[Project_1]]/J$4</f>
        <v>2.139671508524018E-2</v>
      </c>
      <c r="E700" s="24">
        <f>Data__2[[#This Row],[Project_2]]/K$4</f>
        <v>3.7853423910462342E-2</v>
      </c>
      <c r="F700" s="24">
        <f>Data__2[[#This Row],[Market]]/L$4</f>
        <v>0.15548603385905096</v>
      </c>
      <c r="G700" s="1">
        <f>L$24*Data__2[[#This Row],[Return Market]]*J$4</f>
        <v>8.638112992169507</v>
      </c>
      <c r="H700" s="1">
        <f>M$24*Data__2[[#This Row],[Return Market]]*K$4</f>
        <v>9.0700186417779847</v>
      </c>
      <c r="I700" s="1"/>
      <c r="J700" s="1"/>
      <c r="K700" s="1"/>
      <c r="L700" s="1"/>
      <c r="M700" s="1"/>
    </row>
    <row r="701" spans="1:13">
      <c r="A701" s="1">
        <v>-3.7921999642696598</v>
      </c>
      <c r="B701" s="1">
        <v>24.017784115084837</v>
      </c>
      <c r="C701" s="1">
        <v>112.31579954137307</v>
      </c>
      <c r="D701" s="24">
        <f>Data__2[[#This Row],[Project_1]]/J$4</f>
        <v>-2.5281333095131066E-2</v>
      </c>
      <c r="E701" s="24">
        <f>Data__2[[#This Row],[Project_2]]/K$4</f>
        <v>0.16011856076723224</v>
      </c>
      <c r="F701" s="24">
        <f>Data__2[[#This Row],[Market]]/L$4</f>
        <v>0.11231579954137307</v>
      </c>
      <c r="G701" s="1">
        <f>L$24*Data__2[[#This Row],[Return Market]]*J$4</f>
        <v>6.2397666411874004</v>
      </c>
      <c r="H701" s="1">
        <f>M$24*Data__2[[#This Row],[Return Market]]*K$4</f>
        <v>6.551754973246771</v>
      </c>
      <c r="I701" s="1"/>
      <c r="J701" s="1"/>
      <c r="K701" s="1"/>
      <c r="L701" s="1"/>
      <c r="M701" s="1"/>
    </row>
    <row r="702" spans="1:13">
      <c r="A702" s="1">
        <v>-14.120518326003168</v>
      </c>
      <c r="B702" s="1">
        <v>22.583199565061122</v>
      </c>
      <c r="C702" s="1">
        <v>199.98819479973187</v>
      </c>
      <c r="D702" s="24">
        <f>Data__2[[#This Row],[Project_1]]/J$4</f>
        <v>-9.4136788840021121E-2</v>
      </c>
      <c r="E702" s="24">
        <f>Data__2[[#This Row],[Project_2]]/K$4</f>
        <v>0.15055466376707416</v>
      </c>
      <c r="F702" s="24">
        <f>Data__2[[#This Row],[Market]]/L$4</f>
        <v>0.19998819479973187</v>
      </c>
      <c r="G702" s="1">
        <f>L$24*Data__2[[#This Row],[Return Market]]*J$4</f>
        <v>11.110455266651785</v>
      </c>
      <c r="H702" s="1">
        <f>M$24*Data__2[[#This Row],[Return Market]]*K$4</f>
        <v>11.665978029984375</v>
      </c>
      <c r="I702" s="1"/>
      <c r="J702" s="1"/>
      <c r="K702" s="1"/>
      <c r="L702" s="1"/>
      <c r="M702" s="1"/>
    </row>
    <row r="703" spans="1:13">
      <c r="A703" s="1">
        <v>10.141825335543663</v>
      </c>
      <c r="B703" s="1">
        <v>9.8587907074478718</v>
      </c>
      <c r="C703" s="1">
        <v>222.06519114433254</v>
      </c>
      <c r="D703" s="24">
        <f>Data__2[[#This Row],[Project_1]]/J$4</f>
        <v>6.7612168903624426E-2</v>
      </c>
      <c r="E703" s="24">
        <f>Data__2[[#This Row],[Project_2]]/K$4</f>
        <v>6.5725271382985812E-2</v>
      </c>
      <c r="F703" s="24">
        <f>Data__2[[#This Row],[Market]]/L$4</f>
        <v>0.22206519114433254</v>
      </c>
      <c r="G703" s="1">
        <f>L$24*Data__2[[#This Row],[Return Market]]*J$4</f>
        <v>12.336955063574043</v>
      </c>
      <c r="H703" s="1">
        <f>M$24*Data__2[[#This Row],[Return Market]]*K$4</f>
        <v>12.953802816752749</v>
      </c>
      <c r="I703" s="1"/>
      <c r="J703" s="1"/>
      <c r="K703" s="1"/>
      <c r="L703" s="1"/>
      <c r="M703" s="1"/>
    </row>
    <row r="704" spans="1:13">
      <c r="A704" s="1">
        <v>21.849471386740873</v>
      </c>
      <c r="B704" s="1">
        <v>36.747808576227555</v>
      </c>
      <c r="C704" s="1">
        <v>321.73968572940123</v>
      </c>
      <c r="D704" s="24">
        <f>Data__2[[#This Row],[Project_1]]/J$4</f>
        <v>0.14566314257827248</v>
      </c>
      <c r="E704" s="24">
        <f>Data__2[[#This Row],[Project_2]]/K$4</f>
        <v>0.24498539050818371</v>
      </c>
      <c r="F704" s="24">
        <f>Data__2[[#This Row],[Market]]/L$4</f>
        <v>0.3217396857294012</v>
      </c>
      <c r="G704" s="1">
        <f>L$24*Data__2[[#This Row],[Return Market]]*J$4</f>
        <v>17.874426984966753</v>
      </c>
      <c r="H704" s="1">
        <f>M$24*Data__2[[#This Row],[Return Market]]*K$4</f>
        <v>18.768148334215095</v>
      </c>
      <c r="I704" s="1"/>
      <c r="J704" s="1"/>
      <c r="K704" s="1"/>
      <c r="L704" s="1"/>
      <c r="M704" s="1"/>
    </row>
    <row r="705" spans="1:13">
      <c r="A705" s="1">
        <v>39.948900638331239</v>
      </c>
      <c r="B705" s="1">
        <v>20.265957582829106</v>
      </c>
      <c r="C705" s="1">
        <v>282.43758901867835</v>
      </c>
      <c r="D705" s="24">
        <f>Data__2[[#This Row],[Project_1]]/J$4</f>
        <v>0.26632600425554159</v>
      </c>
      <c r="E705" s="24">
        <f>Data__2[[#This Row],[Project_2]]/K$4</f>
        <v>0.13510638388552737</v>
      </c>
      <c r="F705" s="24">
        <f>Data__2[[#This Row],[Market]]/L$4</f>
        <v>0.28243758901867833</v>
      </c>
      <c r="G705" s="1">
        <f>L$24*Data__2[[#This Row],[Return Market]]*J$4</f>
        <v>15.69097716770437</v>
      </c>
      <c r="H705" s="1">
        <f>M$24*Data__2[[#This Row],[Return Market]]*K$4</f>
        <v>16.475526026089589</v>
      </c>
      <c r="I705" s="1"/>
      <c r="J705" s="1"/>
      <c r="K705" s="1"/>
      <c r="L705" s="1"/>
      <c r="M705" s="1"/>
    </row>
    <row r="706" spans="1:13">
      <c r="A706" s="1">
        <v>-8.6219232301026203</v>
      </c>
      <c r="B706" s="1">
        <v>2.2688688694340842</v>
      </c>
      <c r="C706" s="1">
        <v>194.56891780392323</v>
      </c>
      <c r="D706" s="24">
        <f>Data__2[[#This Row],[Project_1]]/J$4</f>
        <v>-5.7479488200684138E-2</v>
      </c>
      <c r="E706" s="24">
        <f>Data__2[[#This Row],[Project_2]]/K$4</f>
        <v>1.5125792462893894E-2</v>
      </c>
      <c r="F706" s="24">
        <f>Data__2[[#This Row],[Market]]/L$4</f>
        <v>0.19456891780392321</v>
      </c>
      <c r="G706" s="1">
        <f>L$24*Data__2[[#This Row],[Return Market]]*J$4</f>
        <v>10.809384322440192</v>
      </c>
      <c r="H706" s="1">
        <f>M$24*Data__2[[#This Row],[Return Market]]*K$4</f>
        <v>11.349853538562202</v>
      </c>
      <c r="I706" s="1"/>
      <c r="J706" s="1"/>
      <c r="K706" s="1"/>
      <c r="L706" s="1"/>
      <c r="M706" s="1"/>
    </row>
    <row r="707" spans="1:13">
      <c r="A707" s="1">
        <v>10.490592292878333</v>
      </c>
      <c r="B707" s="1">
        <v>29.513953623334565</v>
      </c>
      <c r="C707" s="1">
        <v>331.5983585800542</v>
      </c>
      <c r="D707" s="24">
        <f>Data__2[[#This Row],[Project_1]]/J$4</f>
        <v>6.9937281952522218E-2</v>
      </c>
      <c r="E707" s="24">
        <f>Data__2[[#This Row],[Project_2]]/K$4</f>
        <v>0.19675969082223044</v>
      </c>
      <c r="F707" s="24">
        <f>Data__2[[#This Row],[Market]]/L$4</f>
        <v>0.33159835858005421</v>
      </c>
      <c r="G707" s="1">
        <f>L$24*Data__2[[#This Row],[Return Market]]*J$4</f>
        <v>18.422131032225256</v>
      </c>
      <c r="H707" s="1">
        <f>M$24*Data__2[[#This Row],[Return Market]]*K$4</f>
        <v>19.343237583836522</v>
      </c>
      <c r="I707" s="1"/>
      <c r="J707" s="1"/>
      <c r="K707" s="1"/>
      <c r="L707" s="1"/>
      <c r="M707" s="1"/>
    </row>
    <row r="708" spans="1:13">
      <c r="A708" s="1">
        <v>36.92990376386151</v>
      </c>
      <c r="B708" s="1">
        <v>15.031084110951213</v>
      </c>
      <c r="C708" s="1">
        <v>332.46138398615813</v>
      </c>
      <c r="D708" s="24">
        <f>Data__2[[#This Row],[Project_1]]/J$4</f>
        <v>0.24619935842574339</v>
      </c>
      <c r="E708" s="24">
        <f>Data__2[[#This Row],[Project_2]]/K$4</f>
        <v>0.10020722740634141</v>
      </c>
      <c r="F708" s="24">
        <f>Data__2[[#This Row],[Market]]/L$4</f>
        <v>0.3324613839861581</v>
      </c>
      <c r="G708" s="1">
        <f>L$24*Data__2[[#This Row],[Return Market]]*J$4</f>
        <v>18.470076888119916</v>
      </c>
      <c r="H708" s="1">
        <f>M$24*Data__2[[#This Row],[Return Market]]*K$4</f>
        <v>19.393580732525912</v>
      </c>
      <c r="I708" s="1"/>
      <c r="J708" s="1"/>
      <c r="K708" s="1"/>
      <c r="L708" s="1"/>
      <c r="M708" s="1"/>
    </row>
    <row r="709" spans="1:13">
      <c r="A709" s="1">
        <v>1.823248656290545</v>
      </c>
      <c r="B709" s="1">
        <v>-0.72156182378108191</v>
      </c>
      <c r="C709" s="1">
        <v>155.88061717542263</v>
      </c>
      <c r="D709" s="24">
        <f>Data__2[[#This Row],[Project_1]]/J$4</f>
        <v>1.2154991041936966E-2</v>
      </c>
      <c r="E709" s="24">
        <f>Data__2[[#This Row],[Project_2]]/K$4</f>
        <v>-4.8104121585405462E-3</v>
      </c>
      <c r="F709" s="24">
        <f>Data__2[[#This Row],[Market]]/L$4</f>
        <v>0.15588061717542262</v>
      </c>
      <c r="G709" s="1">
        <f>L$24*Data__2[[#This Row],[Return Market]]*J$4</f>
        <v>8.660034287523489</v>
      </c>
      <c r="H709" s="1">
        <f>M$24*Data__2[[#This Row],[Return Market]]*K$4</f>
        <v>9.0930360018996641</v>
      </c>
      <c r="I709" s="1"/>
      <c r="J709" s="1"/>
      <c r="K709" s="1"/>
      <c r="L709" s="1"/>
      <c r="M709" s="1"/>
    </row>
    <row r="710" spans="1:13">
      <c r="A710" s="1">
        <v>11.697701006508575</v>
      </c>
      <c r="B710" s="1">
        <v>-32.379615543495461</v>
      </c>
      <c r="C710" s="1">
        <v>-170.35869234568173</v>
      </c>
      <c r="D710" s="24">
        <f>Data__2[[#This Row],[Project_1]]/J$4</f>
        <v>7.7984673376723837E-2</v>
      </c>
      <c r="E710" s="24">
        <f>Data__2[[#This Row],[Project_2]]/K$4</f>
        <v>-0.21586410362330308</v>
      </c>
      <c r="F710" s="24">
        <f>Data__2[[#This Row],[Market]]/L$4</f>
        <v>-0.17035869234568174</v>
      </c>
      <c r="G710" s="1">
        <f>L$24*Data__2[[#This Row],[Return Market]]*J$4</f>
        <v>-9.4643717969823289</v>
      </c>
      <c r="H710" s="1">
        <f>M$24*Data__2[[#This Row],[Return Market]]*K$4</f>
        <v>-9.937590386831447</v>
      </c>
      <c r="I710" s="1"/>
      <c r="J710" s="1"/>
      <c r="K710" s="1"/>
      <c r="L710" s="1"/>
      <c r="M710" s="1"/>
    </row>
    <row r="711" spans="1:13">
      <c r="A711" s="1">
        <v>10.974457213424238</v>
      </c>
      <c r="B711" s="1">
        <v>4.3622018600860457</v>
      </c>
      <c r="C711" s="1">
        <v>18.343098629430656</v>
      </c>
      <c r="D711" s="24">
        <f>Data__2[[#This Row],[Project_1]]/J$4</f>
        <v>7.316304808949492E-2</v>
      </c>
      <c r="E711" s="24">
        <f>Data__2[[#This Row],[Project_2]]/K$4</f>
        <v>2.9081345733906971E-2</v>
      </c>
      <c r="F711" s="24">
        <f>Data__2[[#This Row],[Market]]/L$4</f>
        <v>1.8343098629430656E-2</v>
      </c>
      <c r="G711" s="1">
        <f>L$24*Data__2[[#This Row],[Return Market]]*J$4</f>
        <v>1.0190610349683709</v>
      </c>
      <c r="H711" s="1">
        <f>M$24*Data__2[[#This Row],[Return Market]]*K$4</f>
        <v>1.0700140867167898</v>
      </c>
      <c r="I711" s="1"/>
      <c r="J711" s="1"/>
      <c r="K711" s="1"/>
      <c r="L711" s="1"/>
      <c r="M711" s="1"/>
    </row>
    <row r="712" spans="1:13">
      <c r="A712" s="1">
        <v>20.461785268411102</v>
      </c>
      <c r="B712" s="1">
        <v>28.170946287940168</v>
      </c>
      <c r="C712" s="1">
        <v>194.17377227394138</v>
      </c>
      <c r="D712" s="24">
        <f>Data__2[[#This Row],[Project_1]]/J$4</f>
        <v>0.13641190178940735</v>
      </c>
      <c r="E712" s="24">
        <f>Data__2[[#This Row],[Project_2]]/K$4</f>
        <v>0.18780630858626779</v>
      </c>
      <c r="F712" s="24">
        <f>Data__2[[#This Row],[Market]]/L$4</f>
        <v>0.19417377227394139</v>
      </c>
      <c r="G712" s="1">
        <f>L$24*Data__2[[#This Row],[Return Market]]*J$4</f>
        <v>10.787431792996758</v>
      </c>
      <c r="H712" s="1">
        <f>M$24*Data__2[[#This Row],[Return Market]]*K$4</f>
        <v>11.326803382646595</v>
      </c>
      <c r="I712" s="1"/>
      <c r="J712" s="1"/>
      <c r="K712" s="1"/>
      <c r="L712" s="1"/>
      <c r="M712" s="1"/>
    </row>
    <row r="713" spans="1:13">
      <c r="A713" s="1">
        <v>-1.9274573927973115</v>
      </c>
      <c r="B713" s="1">
        <v>7.3056627951695976</v>
      </c>
      <c r="C713" s="1">
        <v>28.020880313910126</v>
      </c>
      <c r="D713" s="24">
        <f>Data__2[[#This Row],[Project_1]]/J$4</f>
        <v>-1.2849715951982078E-2</v>
      </c>
      <c r="E713" s="24">
        <f>Data__2[[#This Row],[Project_2]]/K$4</f>
        <v>4.8704418634463981E-2</v>
      </c>
      <c r="F713" s="24">
        <f>Data__2[[#This Row],[Market]]/L$4</f>
        <v>2.8020880313910125E-2</v>
      </c>
      <c r="G713" s="1">
        <f>L$24*Data__2[[#This Row],[Return Market]]*J$4</f>
        <v>1.5567155729950086</v>
      </c>
      <c r="H713" s="1">
        <f>M$24*Data__2[[#This Row],[Return Market]]*K$4</f>
        <v>1.6345513516447594</v>
      </c>
      <c r="I713" s="1"/>
      <c r="J713" s="1"/>
      <c r="K713" s="1"/>
      <c r="L713" s="1"/>
      <c r="M713" s="1"/>
    </row>
    <row r="714" spans="1:13">
      <c r="A714" s="1">
        <v>-9.6813089076781438</v>
      </c>
      <c r="B714" s="1">
        <v>-6.3087915109962225</v>
      </c>
      <c r="C714" s="1">
        <v>64.307323198166671</v>
      </c>
      <c r="D714" s="24">
        <f>Data__2[[#This Row],[Project_1]]/J$4</f>
        <v>-6.4542059384520956E-2</v>
      </c>
      <c r="E714" s="24">
        <f>Data__2[[#This Row],[Project_2]]/K$4</f>
        <v>-4.2058610073308147E-2</v>
      </c>
      <c r="F714" s="24">
        <f>Data__2[[#This Row],[Market]]/L$4</f>
        <v>6.4307323198166677E-2</v>
      </c>
      <c r="G714" s="1">
        <f>L$24*Data__2[[#This Row],[Return Market]]*J$4</f>
        <v>3.5726290665648195</v>
      </c>
      <c r="H714" s="1">
        <f>M$24*Data__2[[#This Row],[Return Market]]*K$4</f>
        <v>3.7512605198930609</v>
      </c>
      <c r="I714" s="1"/>
      <c r="J714" s="1"/>
      <c r="K714" s="1"/>
      <c r="L714" s="1"/>
      <c r="M714" s="1"/>
    </row>
    <row r="715" spans="1:13">
      <c r="A715" s="1">
        <v>-7.3629175195834264</v>
      </c>
      <c r="B715" s="1">
        <v>6.8379597570646613</v>
      </c>
      <c r="C715" s="1">
        <v>102.96901746440091</v>
      </c>
      <c r="D715" s="24">
        <f>Data__2[[#This Row],[Project_1]]/J$4</f>
        <v>-4.9086116797222842E-2</v>
      </c>
      <c r="E715" s="24">
        <f>Data__2[[#This Row],[Project_2]]/K$4</f>
        <v>4.5586398380431076E-2</v>
      </c>
      <c r="F715" s="24">
        <f>Data__2[[#This Row],[Market]]/L$4</f>
        <v>0.1029690174644009</v>
      </c>
      <c r="G715" s="1">
        <f>L$24*Data__2[[#This Row],[Return Market]]*J$4</f>
        <v>5.7205009702445011</v>
      </c>
      <c r="H715" s="1">
        <f>M$24*Data__2[[#This Row],[Return Market]]*K$4</f>
        <v>6.0065260187567269</v>
      </c>
      <c r="I715" s="1"/>
      <c r="J715" s="1"/>
      <c r="K715" s="1"/>
      <c r="L715" s="1"/>
      <c r="M715" s="1"/>
    </row>
    <row r="716" spans="1:13">
      <c r="A716" s="1">
        <v>18.054415830149559</v>
      </c>
      <c r="B716" s="1">
        <v>11.709862774746954</v>
      </c>
      <c r="C716" s="1">
        <v>116.78511002336607</v>
      </c>
      <c r="D716" s="24">
        <f>Data__2[[#This Row],[Project_1]]/J$4</f>
        <v>0.12036277220099706</v>
      </c>
      <c r="E716" s="24">
        <f>Data__2[[#This Row],[Project_2]]/K$4</f>
        <v>7.8065751831646366E-2</v>
      </c>
      <c r="F716" s="24">
        <f>Data__2[[#This Row],[Market]]/L$4</f>
        <v>0.11678511002336607</v>
      </c>
      <c r="G716" s="1">
        <f>L$24*Data__2[[#This Row],[Return Market]]*J$4</f>
        <v>6.4880616679647893</v>
      </c>
      <c r="H716" s="1">
        <f>M$24*Data__2[[#This Row],[Return Market]]*K$4</f>
        <v>6.8124647513630299</v>
      </c>
      <c r="I716" s="1"/>
      <c r="J716" s="1"/>
      <c r="K716" s="1"/>
      <c r="L716" s="1"/>
      <c r="M716" s="1"/>
    </row>
    <row r="717" spans="1:13">
      <c r="A717" s="1">
        <v>8.3672241384941088</v>
      </c>
      <c r="B717" s="1">
        <v>4.675421305066302</v>
      </c>
      <c r="C717" s="1">
        <v>90.090127068293455</v>
      </c>
      <c r="D717" s="24">
        <f>Data__2[[#This Row],[Project_1]]/J$4</f>
        <v>5.5781494256627394E-2</v>
      </c>
      <c r="E717" s="24">
        <f>Data__2[[#This Row],[Project_2]]/K$4</f>
        <v>3.1169475367108679E-2</v>
      </c>
      <c r="F717" s="24">
        <f>Data__2[[#This Row],[Market]]/L$4</f>
        <v>9.009012706829346E-2</v>
      </c>
      <c r="G717" s="1">
        <f>L$24*Data__2[[#This Row],[Return Market]]*J$4</f>
        <v>5.0050070593496425</v>
      </c>
      <c r="H717" s="1">
        <f>M$24*Data__2[[#This Row],[Return Market]]*K$4</f>
        <v>5.2552574123171256</v>
      </c>
      <c r="I717" s="1"/>
      <c r="J717" s="1"/>
      <c r="K717" s="1"/>
      <c r="L717" s="1"/>
      <c r="M717" s="1"/>
    </row>
    <row r="718" spans="1:13">
      <c r="A718" s="1">
        <v>1.9852547645934102</v>
      </c>
      <c r="B718" s="1">
        <v>13.030226944258164</v>
      </c>
      <c r="C718" s="1">
        <v>169.67809927114027</v>
      </c>
      <c r="D718" s="24">
        <f>Data__2[[#This Row],[Project_1]]/J$4</f>
        <v>1.3235031763956068E-2</v>
      </c>
      <c r="E718" s="24">
        <f>Data__2[[#This Row],[Project_2]]/K$4</f>
        <v>8.6868179628387762E-2</v>
      </c>
      <c r="F718" s="24">
        <f>Data__2[[#This Row],[Market]]/L$4</f>
        <v>0.16967809927114028</v>
      </c>
      <c r="G718" s="1">
        <f>L$24*Data__2[[#This Row],[Return Market]]*J$4</f>
        <v>9.4265610706189147</v>
      </c>
      <c r="H718" s="1">
        <f>M$24*Data__2[[#This Row],[Return Market]]*K$4</f>
        <v>9.897889124149863</v>
      </c>
      <c r="I718" s="1"/>
      <c r="J718" s="1"/>
      <c r="K718" s="1"/>
      <c r="L718" s="1"/>
      <c r="M718" s="1"/>
    </row>
    <row r="719" spans="1:13">
      <c r="A719" s="1">
        <v>22.45285108084289</v>
      </c>
      <c r="B719" s="1">
        <v>21.193512238969127</v>
      </c>
      <c r="C719" s="1">
        <v>200.96671374086841</v>
      </c>
      <c r="D719" s="24">
        <f>Data__2[[#This Row],[Project_1]]/J$4</f>
        <v>0.14968567387228593</v>
      </c>
      <c r="E719" s="24">
        <f>Data__2[[#This Row],[Project_2]]/K$4</f>
        <v>0.1412900815931275</v>
      </c>
      <c r="F719" s="24">
        <f>Data__2[[#This Row],[Market]]/L$4</f>
        <v>0.20096671374086841</v>
      </c>
      <c r="G719" s="1">
        <f>L$24*Data__2[[#This Row],[Return Market]]*J$4</f>
        <v>11.164817430048259</v>
      </c>
      <c r="H719" s="1">
        <f>M$24*Data__2[[#This Row],[Return Market]]*K$4</f>
        <v>11.723058301550674</v>
      </c>
      <c r="I719" s="1"/>
      <c r="J719" s="1"/>
      <c r="K719" s="1"/>
      <c r="L719" s="1"/>
      <c r="M719" s="1"/>
    </row>
    <row r="720" spans="1:13">
      <c r="A720" s="1">
        <v>5.0563304604423776</v>
      </c>
      <c r="B720" s="1">
        <v>12.475107388174703</v>
      </c>
      <c r="C720" s="1">
        <v>-5.9519483033021601</v>
      </c>
      <c r="D720" s="24">
        <f>Data__2[[#This Row],[Project_1]]/J$4</f>
        <v>3.3708869736282517E-2</v>
      </c>
      <c r="E720" s="24">
        <f>Data__2[[#This Row],[Project_2]]/K$4</f>
        <v>8.3167382587831351E-2</v>
      </c>
      <c r="F720" s="24">
        <f>Data__2[[#This Row],[Market]]/L$4</f>
        <v>-5.9519483033021597E-3</v>
      </c>
      <c r="G720" s="1">
        <f>L$24*Data__2[[#This Row],[Return Market]]*J$4</f>
        <v>-0.33066379462789819</v>
      </c>
      <c r="H720" s="1">
        <f>M$24*Data__2[[#This Row],[Return Market]]*K$4</f>
        <v>-0.34719698435929314</v>
      </c>
      <c r="I720" s="1"/>
      <c r="J720" s="1"/>
      <c r="K720" s="1"/>
      <c r="L720" s="1"/>
      <c r="M720" s="1"/>
    </row>
    <row r="721" spans="1:13">
      <c r="A721" s="1">
        <v>4.6721746450739188</v>
      </c>
      <c r="B721" s="1">
        <v>12.974820189802486</v>
      </c>
      <c r="C721" s="1">
        <v>-10.635846613458781</v>
      </c>
      <c r="D721" s="24">
        <f>Data__2[[#This Row],[Project_1]]/J$4</f>
        <v>3.1147830967159458E-2</v>
      </c>
      <c r="E721" s="24">
        <f>Data__2[[#This Row],[Project_2]]/K$4</f>
        <v>8.6498801265349909E-2</v>
      </c>
      <c r="F721" s="24">
        <f>Data__2[[#This Row],[Market]]/L$4</f>
        <v>-1.0635846613458781E-2</v>
      </c>
      <c r="G721" s="1">
        <f>L$24*Data__2[[#This Row],[Return Market]]*J$4</f>
        <v>-0.59088036741437733</v>
      </c>
      <c r="H721" s="1">
        <f>M$24*Data__2[[#This Row],[Return Market]]*K$4</f>
        <v>-0.6204243857850964</v>
      </c>
      <c r="I721" s="1"/>
      <c r="J721" s="1"/>
      <c r="K721" s="1"/>
      <c r="L721" s="1"/>
      <c r="M721" s="1"/>
    </row>
    <row r="722" spans="1:13">
      <c r="A722" s="1">
        <v>12.734633227086059</v>
      </c>
      <c r="B722" s="1">
        <v>25.024557455265931</v>
      </c>
      <c r="C722" s="1">
        <v>300.45536202818812</v>
      </c>
      <c r="D722" s="24">
        <f>Data__2[[#This Row],[Project_1]]/J$4</f>
        <v>8.4897554847240389E-2</v>
      </c>
      <c r="E722" s="24">
        <f>Data__2[[#This Row],[Project_2]]/K$4</f>
        <v>0.16683038303510622</v>
      </c>
      <c r="F722" s="24">
        <f>Data__2[[#This Row],[Market]]/L$4</f>
        <v>0.30045536202818812</v>
      </c>
      <c r="G722" s="1">
        <f>L$24*Data__2[[#This Row],[Return Market]]*J$4</f>
        <v>16.69196455712158</v>
      </c>
      <c r="H722" s="1">
        <f>M$24*Data__2[[#This Row],[Return Market]]*K$4</f>
        <v>17.526562784977664</v>
      </c>
      <c r="I722" s="1"/>
      <c r="J722" s="1"/>
      <c r="K722" s="1"/>
      <c r="L722" s="1"/>
      <c r="M722" s="1"/>
    </row>
    <row r="723" spans="1:13">
      <c r="A723" s="1">
        <v>56.330264807563495</v>
      </c>
      <c r="B723" s="1">
        <v>17.818461081166927</v>
      </c>
      <c r="C723" s="1">
        <v>266.94813370506955</v>
      </c>
      <c r="D723" s="24">
        <f>Data__2[[#This Row],[Project_1]]/J$4</f>
        <v>0.37553509871708995</v>
      </c>
      <c r="E723" s="24">
        <f>Data__2[[#This Row],[Project_2]]/K$4</f>
        <v>0.11878974054111284</v>
      </c>
      <c r="F723" s="24">
        <f>Data__2[[#This Row],[Market]]/L$4</f>
        <v>0.26694813370506953</v>
      </c>
      <c r="G723" s="1">
        <f>L$24*Data__2[[#This Row],[Return Market]]*J$4</f>
        <v>14.830451872503881</v>
      </c>
      <c r="H723" s="1">
        <f>M$24*Data__2[[#This Row],[Return Market]]*K$4</f>
        <v>15.571974466129078</v>
      </c>
      <c r="I723" s="1"/>
      <c r="J723" s="1"/>
      <c r="K723" s="1"/>
      <c r="L723" s="1"/>
      <c r="M723" s="1"/>
    </row>
    <row r="724" spans="1:13">
      <c r="A724" s="1">
        <v>-12.741398000762452</v>
      </c>
      <c r="B724" s="1">
        <v>-8.9724823883239502</v>
      </c>
      <c r="C724" s="1">
        <v>151.52464339107473</v>
      </c>
      <c r="D724" s="24">
        <f>Data__2[[#This Row],[Project_1]]/J$4</f>
        <v>-8.4942653338416343E-2</v>
      </c>
      <c r="E724" s="24">
        <f>Data__2[[#This Row],[Project_2]]/K$4</f>
        <v>-5.9816549255492998E-2</v>
      </c>
      <c r="F724" s="24">
        <f>Data__2[[#This Row],[Market]]/L$4</f>
        <v>0.15152464339107474</v>
      </c>
      <c r="G724" s="1">
        <f>L$24*Data__2[[#This Row],[Return Market]]*J$4</f>
        <v>8.4180357439486073</v>
      </c>
      <c r="H724" s="1">
        <f>M$24*Data__2[[#This Row],[Return Market]]*K$4</f>
        <v>8.838937531146037</v>
      </c>
      <c r="I724" s="1"/>
      <c r="J724" s="1"/>
      <c r="K724" s="1"/>
      <c r="L724" s="1"/>
      <c r="M724" s="1"/>
    </row>
    <row r="725" spans="1:13">
      <c r="A725" s="1">
        <v>23.821857616517974</v>
      </c>
      <c r="B725" s="1">
        <v>17.992667937933152</v>
      </c>
      <c r="C725" s="1">
        <v>231.01064747385428</v>
      </c>
      <c r="D725" s="24">
        <f>Data__2[[#This Row],[Project_1]]/J$4</f>
        <v>0.15881238411011983</v>
      </c>
      <c r="E725" s="24">
        <f>Data__2[[#This Row],[Project_2]]/K$4</f>
        <v>0.11995111958622101</v>
      </c>
      <c r="F725" s="24">
        <f>Data__2[[#This Row],[Market]]/L$4</f>
        <v>0.23101064747385427</v>
      </c>
      <c r="G725" s="1">
        <f>L$24*Data__2[[#This Row],[Return Market]]*J$4</f>
        <v>12.833924859658586</v>
      </c>
      <c r="H725" s="1">
        <f>M$24*Data__2[[#This Row],[Return Market]]*K$4</f>
        <v>13.475621102641517</v>
      </c>
      <c r="I725" s="1"/>
      <c r="J725" s="1"/>
      <c r="K725" s="1"/>
      <c r="L725" s="1"/>
      <c r="M725" s="1"/>
    </row>
    <row r="726" spans="1:13">
      <c r="A726" s="1">
        <v>18.09571897540301</v>
      </c>
      <c r="B726" s="1">
        <v>12.565803106065282</v>
      </c>
      <c r="C726" s="1">
        <v>76.492816352646699</v>
      </c>
      <c r="D726" s="24">
        <f>Data__2[[#This Row],[Project_1]]/J$4</f>
        <v>0.12063812650268674</v>
      </c>
      <c r="E726" s="24">
        <f>Data__2[[#This Row],[Project_2]]/K$4</f>
        <v>8.377202070710188E-2</v>
      </c>
      <c r="F726" s="24">
        <f>Data__2[[#This Row],[Market]]/L$4</f>
        <v>7.6492816352646695E-2</v>
      </c>
      <c r="G726" s="1">
        <f>L$24*Data__2[[#This Row],[Return Market]]*J$4</f>
        <v>4.2496009084803772</v>
      </c>
      <c r="H726" s="1">
        <f>M$24*Data__2[[#This Row],[Return Market]]*K$4</f>
        <v>4.4620809539043966</v>
      </c>
      <c r="I726" s="1"/>
      <c r="J726" s="1"/>
      <c r="K726" s="1"/>
      <c r="L726" s="1"/>
      <c r="M726" s="1"/>
    </row>
    <row r="727" spans="1:13">
      <c r="A727" s="1">
        <v>-14.471059056571242</v>
      </c>
      <c r="B727" s="1">
        <v>-3.0714951641852739</v>
      </c>
      <c r="C727" s="1">
        <v>25.477408968375187</v>
      </c>
      <c r="D727" s="24">
        <f>Data__2[[#This Row],[Project_1]]/J$4</f>
        <v>-9.6473727043808286E-2</v>
      </c>
      <c r="E727" s="24">
        <f>Data__2[[#This Row],[Project_2]]/K$4</f>
        <v>-2.0476634427901826E-2</v>
      </c>
      <c r="F727" s="24">
        <f>Data__2[[#This Row],[Market]]/L$4</f>
        <v>2.5477408968375186E-2</v>
      </c>
      <c r="G727" s="1">
        <f>L$24*Data__2[[#This Row],[Return Market]]*J$4</f>
        <v>1.4154116093541784</v>
      </c>
      <c r="H727" s="1">
        <f>M$24*Data__2[[#This Row],[Return Market]]*K$4</f>
        <v>1.4861821898218877</v>
      </c>
      <c r="I727" s="1"/>
      <c r="J727" s="1"/>
      <c r="K727" s="1"/>
      <c r="L727" s="1"/>
      <c r="M727" s="1"/>
    </row>
    <row r="728" spans="1:13">
      <c r="A728" s="1">
        <v>24.389260822500447</v>
      </c>
      <c r="B728" s="1">
        <v>20.692547069098751</v>
      </c>
      <c r="C728" s="1">
        <v>114.79301459836142</v>
      </c>
      <c r="D728" s="24">
        <f>Data__2[[#This Row],[Project_1]]/J$4</f>
        <v>0.16259507215000299</v>
      </c>
      <c r="E728" s="24">
        <f>Data__2[[#This Row],[Project_2]]/K$4</f>
        <v>0.13795031379399167</v>
      </c>
      <c r="F728" s="24">
        <f>Data__2[[#This Row],[Market]]/L$4</f>
        <v>0.11479301459836143</v>
      </c>
      <c r="G728" s="1">
        <f>L$24*Data__2[[#This Row],[Return Market]]*J$4</f>
        <v>6.3773896999089761</v>
      </c>
      <c r="H728" s="1">
        <f>M$24*Data__2[[#This Row],[Return Market]]*K$4</f>
        <v>6.6962591849044246</v>
      </c>
      <c r="I728" s="1"/>
      <c r="J728" s="1"/>
      <c r="K728" s="1"/>
      <c r="L728" s="1"/>
      <c r="M728" s="1"/>
    </row>
    <row r="729" spans="1:13">
      <c r="A729" s="1">
        <v>-12.502006953016163</v>
      </c>
      <c r="B729" s="1">
        <v>-2.9877598700701871</v>
      </c>
      <c r="C729" s="1">
        <v>-73.208018820355051</v>
      </c>
      <c r="D729" s="24">
        <f>Data__2[[#This Row],[Project_1]]/J$4</f>
        <v>-8.3346713020107752E-2</v>
      </c>
      <c r="E729" s="24">
        <f>Data__2[[#This Row],[Project_2]]/K$4</f>
        <v>-1.9918399133801248E-2</v>
      </c>
      <c r="F729" s="24">
        <f>Data__2[[#This Row],[Market]]/L$4</f>
        <v>-7.3208018820355047E-2</v>
      </c>
      <c r="G729" s="1">
        <f>L$24*Data__2[[#This Row],[Return Market]]*J$4</f>
        <v>-4.0671121566863961</v>
      </c>
      <c r="H729" s="1">
        <f>M$24*Data__2[[#This Row],[Return Market]]*K$4</f>
        <v>-4.270467764520717</v>
      </c>
      <c r="I729" s="1"/>
      <c r="J729" s="1"/>
      <c r="K729" s="1"/>
      <c r="L729" s="1"/>
      <c r="M729" s="1"/>
    </row>
    <row r="730" spans="1:13">
      <c r="A730" s="1">
        <v>-10.592047154551189</v>
      </c>
      <c r="B730" s="1">
        <v>8.7748456466296005</v>
      </c>
      <c r="C730" s="1">
        <v>69.186630042150128</v>
      </c>
      <c r="D730" s="24">
        <f>Data__2[[#This Row],[Project_1]]/J$4</f>
        <v>-7.0613647697007925E-2</v>
      </c>
      <c r="E730" s="24">
        <f>Data__2[[#This Row],[Project_2]]/K$4</f>
        <v>5.8498970977530672E-2</v>
      </c>
      <c r="F730" s="24">
        <f>Data__2[[#This Row],[Market]]/L$4</f>
        <v>6.918663004215013E-2</v>
      </c>
      <c r="G730" s="1">
        <f>L$24*Data__2[[#This Row],[Return Market]]*J$4</f>
        <v>3.843701669008345</v>
      </c>
      <c r="H730" s="1">
        <f>M$24*Data__2[[#This Row],[Return Market]]*K$4</f>
        <v>4.0358867524587634</v>
      </c>
      <c r="I730" s="1"/>
      <c r="J730" s="1"/>
      <c r="K730" s="1"/>
      <c r="L730" s="1"/>
      <c r="M730" s="1"/>
    </row>
    <row r="731" spans="1:13">
      <c r="A731" s="1">
        <v>36.503904611522898</v>
      </c>
      <c r="B731" s="1">
        <v>28.510505758392593</v>
      </c>
      <c r="C731" s="1">
        <v>300.20792480960489</v>
      </c>
      <c r="D731" s="24">
        <f>Data__2[[#This Row],[Project_1]]/J$4</f>
        <v>0.24335936407681932</v>
      </c>
      <c r="E731" s="24">
        <f>Data__2[[#This Row],[Project_2]]/K$4</f>
        <v>0.19007003838928396</v>
      </c>
      <c r="F731" s="24">
        <f>Data__2[[#This Row],[Market]]/L$4</f>
        <v>0.3002079248096049</v>
      </c>
      <c r="G731" s="1">
        <f>L$24*Data__2[[#This Row],[Return Market]]*J$4</f>
        <v>16.67821804497807</v>
      </c>
      <c r="H731" s="1">
        <f>M$24*Data__2[[#This Row],[Return Market]]*K$4</f>
        <v>17.512128947226977</v>
      </c>
      <c r="I731" s="1"/>
      <c r="J731" s="1"/>
      <c r="K731" s="1"/>
      <c r="L731" s="1"/>
      <c r="M731" s="1"/>
    </row>
    <row r="732" spans="1:13">
      <c r="A732" s="1">
        <v>-22.434020033052207</v>
      </c>
      <c r="B732" s="1">
        <v>-15.427464937945572</v>
      </c>
      <c r="C732" s="1">
        <v>-111.77135342471132</v>
      </c>
      <c r="D732" s="24">
        <f>Data__2[[#This Row],[Project_1]]/J$4</f>
        <v>-0.14956013355368139</v>
      </c>
      <c r="E732" s="24">
        <f>Data__2[[#This Row],[Project_2]]/K$4</f>
        <v>-0.10284976625297049</v>
      </c>
      <c r="F732" s="24">
        <f>Data__2[[#This Row],[Market]]/L$4</f>
        <v>-0.11177135342471133</v>
      </c>
      <c r="G732" s="1">
        <f>L$24*Data__2[[#This Row],[Return Market]]*J$4</f>
        <v>-6.2095196347061918</v>
      </c>
      <c r="H732" s="1">
        <f>M$24*Data__2[[#This Row],[Return Market]]*K$4</f>
        <v>-6.5199956164415029</v>
      </c>
      <c r="I732" s="1"/>
      <c r="J732" s="1"/>
      <c r="K732" s="1"/>
      <c r="L732" s="1"/>
      <c r="M732" s="1"/>
    </row>
    <row r="733" spans="1:13">
      <c r="A733" s="1">
        <v>-1.5538036792444014</v>
      </c>
      <c r="B733" s="1">
        <v>-3.1100233708064025</v>
      </c>
      <c r="C733" s="1">
        <v>108.51804386125443</v>
      </c>
      <c r="D733" s="24">
        <f>Data__2[[#This Row],[Project_1]]/J$4</f>
        <v>-1.0358691194962676E-2</v>
      </c>
      <c r="E733" s="24">
        <f>Data__2[[#This Row],[Project_2]]/K$4</f>
        <v>-2.073348913870935E-2</v>
      </c>
      <c r="F733" s="24">
        <f>Data__2[[#This Row],[Market]]/L$4</f>
        <v>0.10851804386125442</v>
      </c>
      <c r="G733" s="1">
        <f>L$24*Data__2[[#This Row],[Return Market]]*J$4</f>
        <v>6.0287802145141418</v>
      </c>
      <c r="H733" s="1">
        <f>M$24*Data__2[[#This Row],[Return Market]]*K$4</f>
        <v>6.3302192252398495</v>
      </c>
      <c r="I733" s="1"/>
      <c r="J733" s="1"/>
      <c r="K733" s="1"/>
      <c r="L733" s="1"/>
      <c r="M733" s="1"/>
    </row>
    <row r="734" spans="1:13">
      <c r="A734" s="1">
        <v>-9.8604519010420226</v>
      </c>
      <c r="B734" s="1">
        <v>1.0661247249881818</v>
      </c>
      <c r="C734" s="1">
        <v>-13.150236232608108</v>
      </c>
      <c r="D734" s="24">
        <f>Data__2[[#This Row],[Project_1]]/J$4</f>
        <v>-6.5736346006946819E-2</v>
      </c>
      <c r="E734" s="24">
        <f>Data__2[[#This Row],[Project_2]]/K$4</f>
        <v>7.1074981665878783E-3</v>
      </c>
      <c r="F734" s="24">
        <f>Data__2[[#This Row],[Market]]/L$4</f>
        <v>-1.3150236232608109E-2</v>
      </c>
      <c r="G734" s="1">
        <f>L$24*Data__2[[#This Row],[Return Market]]*J$4</f>
        <v>-0.73056867958934024</v>
      </c>
      <c r="H734" s="1">
        <f>M$24*Data__2[[#This Row],[Return Market]]*K$4</f>
        <v>-0.76709711356880728</v>
      </c>
      <c r="I734" s="1"/>
      <c r="J734" s="1"/>
      <c r="K734" s="1"/>
      <c r="L734" s="1"/>
      <c r="M734" s="1"/>
    </row>
    <row r="735" spans="1:13">
      <c r="A735" s="1">
        <v>36.211613105283561</v>
      </c>
      <c r="B735" s="1">
        <v>26.011722236615686</v>
      </c>
      <c r="C735" s="1">
        <v>369.49761317072716</v>
      </c>
      <c r="D735" s="24">
        <f>Data__2[[#This Row],[Project_1]]/J$4</f>
        <v>0.24141075403522375</v>
      </c>
      <c r="E735" s="24">
        <f>Data__2[[#This Row],[Project_2]]/K$4</f>
        <v>0.17341148157743791</v>
      </c>
      <c r="F735" s="24">
        <f>Data__2[[#This Row],[Market]]/L$4</f>
        <v>0.36949761317072716</v>
      </c>
      <c r="G735" s="1">
        <f>L$24*Data__2[[#This Row],[Return Market]]*J$4</f>
        <v>20.527645176151534</v>
      </c>
      <c r="H735" s="1">
        <f>M$24*Data__2[[#This Row],[Return Market]]*K$4</f>
        <v>21.554027434959114</v>
      </c>
      <c r="I735" s="1"/>
      <c r="J735" s="1"/>
      <c r="K735" s="1"/>
      <c r="L735" s="1"/>
      <c r="M735" s="1"/>
    </row>
    <row r="736" spans="1:13">
      <c r="A736" s="1">
        <v>35.395309967216107</v>
      </c>
      <c r="B736" s="1">
        <v>9.2161013301572599</v>
      </c>
      <c r="C736" s="1">
        <v>192.4675033043336</v>
      </c>
      <c r="D736" s="24">
        <f>Data__2[[#This Row],[Project_1]]/J$4</f>
        <v>0.23596873311477404</v>
      </c>
      <c r="E736" s="24">
        <f>Data__2[[#This Row],[Project_2]]/K$4</f>
        <v>6.1440675534381733E-2</v>
      </c>
      <c r="F736" s="24">
        <f>Data__2[[#This Row],[Market]]/L$4</f>
        <v>0.1924675033043336</v>
      </c>
      <c r="G736" s="1">
        <f>L$24*Data__2[[#This Row],[Return Market]]*J$4</f>
        <v>10.69263907246299</v>
      </c>
      <c r="H736" s="1">
        <f>M$24*Data__2[[#This Row],[Return Market]]*K$4</f>
        <v>11.227271026086141</v>
      </c>
      <c r="I736" s="1"/>
      <c r="J736" s="1"/>
      <c r="K736" s="1"/>
      <c r="L736" s="1"/>
      <c r="M736" s="1"/>
    </row>
    <row r="737" spans="1:13">
      <c r="A737" s="1">
        <v>11.227236460306209</v>
      </c>
      <c r="B737" s="1">
        <v>10.049246424740019</v>
      </c>
      <c r="C737" s="1">
        <v>249.568359202153</v>
      </c>
      <c r="D737" s="24">
        <f>Data__2[[#This Row],[Project_1]]/J$4</f>
        <v>7.4848243068708062E-2</v>
      </c>
      <c r="E737" s="24">
        <f>Data__2[[#This Row],[Project_2]]/K$4</f>
        <v>6.6994976164933467E-2</v>
      </c>
      <c r="F737" s="24">
        <f>Data__2[[#This Row],[Market]]/L$4</f>
        <v>0.24956835920215301</v>
      </c>
      <c r="G737" s="1">
        <f>L$24*Data__2[[#This Row],[Return Market]]*J$4</f>
        <v>13.864908844564072</v>
      </c>
      <c r="H737" s="1">
        <f>M$24*Data__2[[#This Row],[Return Market]]*K$4</f>
        <v>14.558154286792279</v>
      </c>
      <c r="I737" s="1"/>
      <c r="J737" s="1"/>
      <c r="K737" s="1"/>
      <c r="L737" s="1"/>
      <c r="M737" s="1"/>
    </row>
    <row r="738" spans="1:13">
      <c r="A738" s="1">
        <v>-14.927933827617895</v>
      </c>
      <c r="B738" s="1">
        <v>7.5525858483461343</v>
      </c>
      <c r="C738" s="1">
        <v>64.345505301274798</v>
      </c>
      <c r="D738" s="24">
        <f>Data__2[[#This Row],[Project_1]]/J$4</f>
        <v>-9.9519558850785964E-2</v>
      </c>
      <c r="E738" s="24">
        <f>Data__2[[#This Row],[Project_2]]/K$4</f>
        <v>5.0350572322307559E-2</v>
      </c>
      <c r="F738" s="24">
        <f>Data__2[[#This Row],[Market]]/L$4</f>
        <v>6.4345505301274794E-2</v>
      </c>
      <c r="G738" s="1">
        <f>L$24*Data__2[[#This Row],[Return Market]]*J$4</f>
        <v>3.5747502945152707</v>
      </c>
      <c r="H738" s="1">
        <f>M$24*Data__2[[#This Row],[Return Market]]*K$4</f>
        <v>3.7534878092410344</v>
      </c>
      <c r="I738" s="1"/>
      <c r="J738" s="1"/>
      <c r="K738" s="1"/>
      <c r="L738" s="1"/>
      <c r="M738" s="1"/>
    </row>
    <row r="739" spans="1:13">
      <c r="A739" s="1">
        <v>21.37447333576333</v>
      </c>
      <c r="B739" s="1">
        <v>18.003351306854604</v>
      </c>
      <c r="C739" s="1">
        <v>624.44162742484059</v>
      </c>
      <c r="D739" s="24">
        <f>Data__2[[#This Row],[Project_1]]/J$4</f>
        <v>0.14249648890508887</v>
      </c>
      <c r="E739" s="24">
        <f>Data__2[[#This Row],[Project_2]]/K$4</f>
        <v>0.12002234204569737</v>
      </c>
      <c r="F739" s="24">
        <f>Data__2[[#This Row],[Market]]/L$4</f>
        <v>0.62444162742484055</v>
      </c>
      <c r="G739" s="1">
        <f>L$24*Data__2[[#This Row],[Return Market]]*J$4</f>
        <v>34.691201523602295</v>
      </c>
      <c r="H739" s="1">
        <f>M$24*Data__2[[#This Row],[Return Market]]*K$4</f>
        <v>36.425761599782412</v>
      </c>
      <c r="I739" s="1"/>
      <c r="J739" s="1"/>
      <c r="K739" s="1"/>
      <c r="L739" s="1"/>
      <c r="M739" s="1"/>
    </row>
    <row r="740" spans="1:13">
      <c r="A740" s="1">
        <v>-3.373232030308392</v>
      </c>
      <c r="B740" s="1">
        <v>-9.0417178570782362</v>
      </c>
      <c r="C740" s="1">
        <v>-136.0266352225556</v>
      </c>
      <c r="D740" s="24">
        <f>Data__2[[#This Row],[Project_1]]/J$4</f>
        <v>-2.2488213535389281E-2</v>
      </c>
      <c r="E740" s="24">
        <f>Data__2[[#This Row],[Project_2]]/K$4</f>
        <v>-6.0278119047188244E-2</v>
      </c>
      <c r="F740" s="24">
        <f>Data__2[[#This Row],[Market]]/L$4</f>
        <v>-0.13602663522255559</v>
      </c>
      <c r="G740" s="1">
        <f>L$24*Data__2[[#This Row],[Return Market]]*J$4</f>
        <v>-7.5570352901419859</v>
      </c>
      <c r="H740" s="1">
        <f>M$24*Data__2[[#This Row],[Return Market]]*K$4</f>
        <v>-7.9348870546490868</v>
      </c>
      <c r="I740" s="1"/>
      <c r="J740" s="1"/>
      <c r="K740" s="1"/>
      <c r="L740" s="1"/>
      <c r="M740" s="1"/>
    </row>
    <row r="741" spans="1:13">
      <c r="A741" s="1">
        <v>-7.024415888795815</v>
      </c>
      <c r="B741" s="1">
        <v>24.962100171387586</v>
      </c>
      <c r="C741" s="1">
        <v>215.65231757582904</v>
      </c>
      <c r="D741" s="24">
        <f>Data__2[[#This Row],[Project_1]]/J$4</f>
        <v>-4.6829439258638764E-2</v>
      </c>
      <c r="E741" s="24">
        <f>Data__2[[#This Row],[Project_2]]/K$4</f>
        <v>0.16641400114258389</v>
      </c>
      <c r="F741" s="24">
        <f>Data__2[[#This Row],[Market]]/L$4</f>
        <v>0.21565231757582903</v>
      </c>
      <c r="G741" s="1">
        <f>L$24*Data__2[[#This Row],[Return Market]]*J$4</f>
        <v>11.980684309768293</v>
      </c>
      <c r="H741" s="1">
        <f>M$24*Data__2[[#This Row],[Return Market]]*K$4</f>
        <v>12.579718525256711</v>
      </c>
      <c r="I741" s="1"/>
      <c r="J741" s="1"/>
      <c r="K741" s="1"/>
      <c r="L741" s="1"/>
      <c r="M741" s="1"/>
    </row>
    <row r="742" spans="1:13">
      <c r="A742" s="1">
        <v>-24.976089395123793</v>
      </c>
      <c r="B742" s="1">
        <v>-8.4599213775311171</v>
      </c>
      <c r="C742" s="1">
        <v>-119.23320310080757</v>
      </c>
      <c r="D742" s="24">
        <f>Data__2[[#This Row],[Project_1]]/J$4</f>
        <v>-0.16650726263415863</v>
      </c>
      <c r="E742" s="24">
        <f>Data__2[[#This Row],[Project_2]]/K$4</f>
        <v>-5.6399475850207444E-2</v>
      </c>
      <c r="F742" s="24">
        <f>Data__2[[#This Row],[Market]]/L$4</f>
        <v>-0.11923320310080757</v>
      </c>
      <c r="G742" s="1">
        <f>L$24*Data__2[[#This Row],[Return Market]]*J$4</f>
        <v>-6.6240668389337616</v>
      </c>
      <c r="H742" s="1">
        <f>M$24*Data__2[[#This Row],[Return Market]]*K$4</f>
        <v>-6.9552701808804507</v>
      </c>
      <c r="I742" s="1"/>
      <c r="J742" s="1"/>
      <c r="K742" s="1"/>
      <c r="L742" s="1"/>
      <c r="M742" s="1"/>
    </row>
    <row r="743" spans="1:13">
      <c r="A743" s="1">
        <v>25.495388576876067</v>
      </c>
      <c r="B743" s="1">
        <v>-3.7833286853436228</v>
      </c>
      <c r="C743" s="1">
        <v>115.79701751412088</v>
      </c>
      <c r="D743" s="24">
        <f>Data__2[[#This Row],[Project_1]]/J$4</f>
        <v>0.16996925717917377</v>
      </c>
      <c r="E743" s="24">
        <f>Data__2[[#This Row],[Project_2]]/K$4</f>
        <v>-2.522219123562415E-2</v>
      </c>
      <c r="F743" s="24">
        <f>Data__2[[#This Row],[Market]]/L$4</f>
        <v>0.11579701751412089</v>
      </c>
      <c r="G743" s="1">
        <f>L$24*Data__2[[#This Row],[Return Market]]*J$4</f>
        <v>6.4331676396733908</v>
      </c>
      <c r="H743" s="1">
        <f>M$24*Data__2[[#This Row],[Return Market]]*K$4</f>
        <v>6.7548260216570606</v>
      </c>
      <c r="I743" s="1"/>
      <c r="J743" s="1"/>
      <c r="K743" s="1"/>
      <c r="L743" s="1"/>
      <c r="M743" s="1"/>
    </row>
    <row r="744" spans="1:13">
      <c r="A744" s="1">
        <v>37.235682178371682</v>
      </c>
      <c r="B744" s="1">
        <v>18.148541648184931</v>
      </c>
      <c r="C744" s="1">
        <v>237.56248778920633</v>
      </c>
      <c r="D744" s="24">
        <f>Data__2[[#This Row],[Project_1]]/J$4</f>
        <v>0.24823788118914455</v>
      </c>
      <c r="E744" s="24">
        <f>Data__2[[#This Row],[Project_2]]/K$4</f>
        <v>0.12099027765456621</v>
      </c>
      <c r="F744" s="24">
        <f>Data__2[[#This Row],[Market]]/L$4</f>
        <v>0.23756248778920633</v>
      </c>
      <c r="G744" s="1">
        <f>L$24*Data__2[[#This Row],[Return Market]]*J$4</f>
        <v>13.197915988289257</v>
      </c>
      <c r="H744" s="1">
        <f>M$24*Data__2[[#This Row],[Return Market]]*K$4</f>
        <v>13.857811787703721</v>
      </c>
      <c r="I744" s="1"/>
      <c r="J744" s="1"/>
      <c r="K744" s="1"/>
      <c r="L744" s="1"/>
      <c r="M744" s="1"/>
    </row>
    <row r="745" spans="1:13">
      <c r="A745" s="1">
        <v>-5.094431507252132</v>
      </c>
      <c r="B745" s="1">
        <v>17.166977426346062</v>
      </c>
      <c r="C745" s="1">
        <v>540.68990848728981</v>
      </c>
      <c r="D745" s="24">
        <f>Data__2[[#This Row],[Project_1]]/J$4</f>
        <v>-3.3962876715014211E-2</v>
      </c>
      <c r="E745" s="24">
        <f>Data__2[[#This Row],[Project_2]]/K$4</f>
        <v>0.11444651617564042</v>
      </c>
      <c r="F745" s="24">
        <f>Data__2[[#This Row],[Market]]/L$4</f>
        <v>0.54068990848728982</v>
      </c>
      <c r="G745" s="1">
        <f>L$24*Data__2[[#This Row],[Return Market]]*J$4</f>
        <v>30.038328249293915</v>
      </c>
      <c r="H745" s="1">
        <f>M$24*Data__2[[#This Row],[Return Market]]*K$4</f>
        <v>31.540244661758614</v>
      </c>
      <c r="I745" s="1"/>
      <c r="J745" s="1"/>
      <c r="K745" s="1"/>
      <c r="L745" s="1"/>
      <c r="M745" s="1"/>
    </row>
    <row r="746" spans="1:13">
      <c r="A746" s="1">
        <v>-31.776986500480497</v>
      </c>
      <c r="B746" s="1">
        <v>-39.050032703874237</v>
      </c>
      <c r="C746" s="1">
        <v>-187.20346849797227</v>
      </c>
      <c r="D746" s="24">
        <f>Data__2[[#This Row],[Project_1]]/J$4</f>
        <v>-0.21184657666986997</v>
      </c>
      <c r="E746" s="24">
        <f>Data__2[[#This Row],[Project_2]]/K$4</f>
        <v>-0.26033355135916159</v>
      </c>
      <c r="F746" s="24">
        <f>Data__2[[#This Row],[Market]]/L$4</f>
        <v>-0.18720346849797226</v>
      </c>
      <c r="G746" s="1">
        <f>L$24*Data__2[[#This Row],[Return Market]]*J$4</f>
        <v>-10.400192694331805</v>
      </c>
      <c r="H746" s="1">
        <f>M$24*Data__2[[#This Row],[Return Market]]*K$4</f>
        <v>-10.920202329048395</v>
      </c>
      <c r="I746" s="1"/>
      <c r="J746" s="1"/>
      <c r="K746" s="1"/>
      <c r="L746" s="1"/>
      <c r="M746" s="1"/>
    </row>
    <row r="747" spans="1:13">
      <c r="A747" s="1">
        <v>7.3676037544296866</v>
      </c>
      <c r="B747" s="1">
        <v>14.438515557277182</v>
      </c>
      <c r="C747" s="1">
        <v>162.24969729372185</v>
      </c>
      <c r="D747" s="24">
        <f>Data__2[[#This Row],[Project_1]]/J$4</f>
        <v>4.9117358362864579E-2</v>
      </c>
      <c r="E747" s="24">
        <f>Data__2[[#This Row],[Project_2]]/K$4</f>
        <v>9.6256770381847878E-2</v>
      </c>
      <c r="F747" s="24">
        <f>Data__2[[#This Row],[Market]]/L$4</f>
        <v>0.16224969729372185</v>
      </c>
      <c r="G747" s="1">
        <f>L$24*Data__2[[#This Row],[Return Market]]*J$4</f>
        <v>9.0138720718734469</v>
      </c>
      <c r="H747" s="1">
        <f>M$24*Data__2[[#This Row],[Return Market]]*K$4</f>
        <v>9.4645656754671208</v>
      </c>
      <c r="I747" s="1"/>
      <c r="J747" s="1"/>
      <c r="K747" s="1"/>
      <c r="L747" s="1"/>
      <c r="M747" s="1"/>
    </row>
    <row r="748" spans="1:13">
      <c r="A748" s="1">
        <v>-1.1422237839211462</v>
      </c>
      <c r="B748" s="1">
        <v>16.194361786277582</v>
      </c>
      <c r="C748" s="1">
        <v>112.77425282877572</v>
      </c>
      <c r="D748" s="24">
        <f>Data__2[[#This Row],[Project_1]]/J$4</f>
        <v>-7.6148252261409744E-3</v>
      </c>
      <c r="E748" s="24">
        <f>Data__2[[#This Row],[Project_2]]/K$4</f>
        <v>0.10796241190851721</v>
      </c>
      <c r="F748" s="24">
        <f>Data__2[[#This Row],[Market]]/L$4</f>
        <v>0.11277425282877572</v>
      </c>
      <c r="G748" s="1">
        <f>L$24*Data__2[[#This Row],[Return Market]]*J$4</f>
        <v>6.2652362682653253</v>
      </c>
      <c r="H748" s="1">
        <f>M$24*Data__2[[#This Row],[Return Market]]*K$4</f>
        <v>6.5784980816785925</v>
      </c>
      <c r="I748" s="1"/>
      <c r="J748" s="1"/>
      <c r="K748" s="1"/>
      <c r="L748" s="1"/>
      <c r="M748" s="1"/>
    </row>
    <row r="749" spans="1:13">
      <c r="A749" s="1">
        <v>9.6036519776948985</v>
      </c>
      <c r="B749" s="1">
        <v>40.551502544342895</v>
      </c>
      <c r="C749" s="1">
        <v>409.38187634454664</v>
      </c>
      <c r="D749" s="24">
        <f>Data__2[[#This Row],[Project_1]]/J$4</f>
        <v>6.4024346517965985E-2</v>
      </c>
      <c r="E749" s="24">
        <f>Data__2[[#This Row],[Project_2]]/K$4</f>
        <v>0.27034335029561929</v>
      </c>
      <c r="F749" s="24">
        <f>Data__2[[#This Row],[Market]]/L$4</f>
        <v>0.40938187634454665</v>
      </c>
      <c r="G749" s="1">
        <f>L$24*Data__2[[#This Row],[Return Market]]*J$4</f>
        <v>22.743437574697062</v>
      </c>
      <c r="H749" s="1">
        <f>M$24*Data__2[[#This Row],[Return Market]]*K$4</f>
        <v>23.880609453431919</v>
      </c>
      <c r="I749" s="1"/>
      <c r="J749" s="1"/>
      <c r="K749" s="1"/>
      <c r="L749" s="1"/>
      <c r="M749" s="1"/>
    </row>
    <row r="750" spans="1:13">
      <c r="A750" s="1">
        <v>13.281587075311453</v>
      </c>
      <c r="B750" s="1">
        <v>13.389556533311222</v>
      </c>
      <c r="C750" s="1">
        <v>332.92078410564454</v>
      </c>
      <c r="D750" s="24">
        <f>Data__2[[#This Row],[Project_1]]/J$4</f>
        <v>8.8543913835409688E-2</v>
      </c>
      <c r="E750" s="24">
        <f>Data__2[[#This Row],[Project_2]]/K$4</f>
        <v>8.9263710222074813E-2</v>
      </c>
      <c r="F750" s="24">
        <f>Data__2[[#This Row],[Market]]/L$4</f>
        <v>0.33292078410564452</v>
      </c>
      <c r="G750" s="1">
        <f>L$24*Data__2[[#This Row],[Return Market]]*J$4</f>
        <v>18.495599116980273</v>
      </c>
      <c r="H750" s="1">
        <f>M$24*Data__2[[#This Row],[Return Market]]*K$4</f>
        <v>19.420379072829292</v>
      </c>
      <c r="I750" s="1"/>
      <c r="J750" s="1"/>
      <c r="K750" s="1"/>
      <c r="L750" s="1"/>
      <c r="M750" s="1"/>
    </row>
    <row r="751" spans="1:13">
      <c r="A751" s="1">
        <v>14.745674223480231</v>
      </c>
      <c r="B751" s="1">
        <v>4.5457136909016791</v>
      </c>
      <c r="C751" s="1">
        <v>183.05633617453168</v>
      </c>
      <c r="D751" s="24">
        <f>Data__2[[#This Row],[Project_1]]/J$4</f>
        <v>9.8304494823201541E-2</v>
      </c>
      <c r="E751" s="24">
        <f>Data__2[[#This Row],[Project_2]]/K$4</f>
        <v>3.0304757939344527E-2</v>
      </c>
      <c r="F751" s="24">
        <f>Data__2[[#This Row],[Market]]/L$4</f>
        <v>0.18305633617453168</v>
      </c>
      <c r="G751" s="1">
        <f>L$24*Data__2[[#This Row],[Return Market]]*J$4</f>
        <v>10.169796454140661</v>
      </c>
      <c r="H751" s="1">
        <f>M$24*Data__2[[#This Row],[Return Market]]*K$4</f>
        <v>10.678286276847695</v>
      </c>
      <c r="I751" s="1"/>
      <c r="J751" s="1"/>
      <c r="K751" s="1"/>
      <c r="L751" s="1"/>
      <c r="M751" s="1"/>
    </row>
    <row r="752" spans="1:13">
      <c r="A752" s="1">
        <v>19.06737601423751</v>
      </c>
      <c r="B752" s="1">
        <v>-3.5837830859165543</v>
      </c>
      <c r="C752" s="1">
        <v>243.99027832685505</v>
      </c>
      <c r="D752" s="24">
        <f>Data__2[[#This Row],[Project_1]]/J$4</f>
        <v>0.12711584009491672</v>
      </c>
      <c r="E752" s="24">
        <f>Data__2[[#This Row],[Project_2]]/K$4</f>
        <v>-2.3891887239443695E-2</v>
      </c>
      <c r="F752" s="24">
        <f>Data__2[[#This Row],[Market]]/L$4</f>
        <v>0.24399027832685505</v>
      </c>
      <c r="G752" s="1">
        <f>L$24*Data__2[[#This Row],[Return Market]]*J$4</f>
        <v>13.555015462603075</v>
      </c>
      <c r="H752" s="1">
        <f>M$24*Data__2[[#This Row],[Return Market]]*K$4</f>
        <v>14.23276623573323</v>
      </c>
      <c r="I752" s="1"/>
      <c r="J752" s="1"/>
      <c r="K752" s="1"/>
      <c r="L752" s="1"/>
      <c r="M752" s="1"/>
    </row>
    <row r="753" spans="1:13">
      <c r="A753" s="1">
        <v>49.788796969627313</v>
      </c>
      <c r="B753" s="1">
        <v>35.207504753344963</v>
      </c>
      <c r="C753" s="1">
        <v>242.11662107791318</v>
      </c>
      <c r="D753" s="24">
        <f>Data__2[[#This Row],[Project_1]]/J$4</f>
        <v>0.33192531313084878</v>
      </c>
      <c r="E753" s="24">
        <f>Data__2[[#This Row],[Project_2]]/K$4</f>
        <v>0.23471669835563308</v>
      </c>
      <c r="F753" s="24">
        <f>Data__2[[#This Row],[Market]]/L$4</f>
        <v>0.24211662107791318</v>
      </c>
      <c r="G753" s="1">
        <f>L$24*Data__2[[#This Row],[Return Market]]*J$4</f>
        <v>13.450923393217415</v>
      </c>
      <c r="H753" s="1">
        <f>M$24*Data__2[[#This Row],[Return Market]]*K$4</f>
        <v>14.123469562878288</v>
      </c>
      <c r="I753" s="1"/>
      <c r="J753" s="1"/>
      <c r="K753" s="1"/>
      <c r="L753" s="1"/>
      <c r="M753" s="1"/>
    </row>
    <row r="754" spans="1:13">
      <c r="A754" s="1">
        <v>-15.470357792711887</v>
      </c>
      <c r="B754" s="1">
        <v>-6.3070193637269227</v>
      </c>
      <c r="C754" s="1">
        <v>-317.43310175868595</v>
      </c>
      <c r="D754" s="24">
        <f>Data__2[[#This Row],[Project_1]]/J$4</f>
        <v>-0.10313571861807924</v>
      </c>
      <c r="E754" s="24">
        <f>Data__2[[#This Row],[Project_2]]/K$4</f>
        <v>-4.2046795758179482E-2</v>
      </c>
      <c r="F754" s="24">
        <f>Data__2[[#This Row],[Market]]/L$4</f>
        <v>-0.31743310175868594</v>
      </c>
      <c r="G754" s="1">
        <f>L$24*Data__2[[#This Row],[Return Market]]*J$4</f>
        <v>-17.635172319927015</v>
      </c>
      <c r="H754" s="1">
        <f>M$24*Data__2[[#This Row],[Return Market]]*K$4</f>
        <v>-18.516930935923369</v>
      </c>
      <c r="I754" s="1"/>
      <c r="J754" s="1"/>
      <c r="K754" s="1"/>
      <c r="L754" s="1"/>
      <c r="M754" s="1"/>
    </row>
    <row r="755" spans="1:13">
      <c r="A755" s="1">
        <v>-8.1404842881210868</v>
      </c>
      <c r="B755" s="1">
        <v>-3.5620852496918332</v>
      </c>
      <c r="C755" s="1">
        <v>55.529694504734962</v>
      </c>
      <c r="D755" s="24">
        <f>Data__2[[#This Row],[Project_1]]/J$4</f>
        <v>-5.4269895254140582E-2</v>
      </c>
      <c r="E755" s="24">
        <f>Data__2[[#This Row],[Project_2]]/K$4</f>
        <v>-2.3747234997945555E-2</v>
      </c>
      <c r="F755" s="24">
        <f>Data__2[[#This Row],[Market]]/L$4</f>
        <v>5.552969450473496E-2</v>
      </c>
      <c r="G755" s="1">
        <f>L$24*Data__2[[#This Row],[Return Market]]*J$4</f>
        <v>3.0849830280408344</v>
      </c>
      <c r="H755" s="1">
        <f>M$24*Data__2[[#This Row],[Return Market]]*K$4</f>
        <v>3.2392321794428769</v>
      </c>
      <c r="I755" s="1"/>
      <c r="J755" s="1"/>
      <c r="K755" s="1"/>
      <c r="L755" s="1"/>
      <c r="M755" s="1"/>
    </row>
    <row r="756" spans="1:13">
      <c r="A756" s="1">
        <v>17.47752532773147</v>
      </c>
      <c r="B756" s="1">
        <v>7.3286184131581145</v>
      </c>
      <c r="C756" s="1">
        <v>252.23004619513756</v>
      </c>
      <c r="D756" s="24">
        <f>Data__2[[#This Row],[Project_1]]/J$4</f>
        <v>0.11651683551820981</v>
      </c>
      <c r="E756" s="24">
        <f>Data__2[[#This Row],[Project_2]]/K$4</f>
        <v>4.8857456087720762E-2</v>
      </c>
      <c r="F756" s="24">
        <f>Data__2[[#This Row],[Market]]/L$4</f>
        <v>0.25223004619513756</v>
      </c>
      <c r="G756" s="1">
        <f>L$24*Data__2[[#This Row],[Return Market]]*J$4</f>
        <v>14.012780344174324</v>
      </c>
      <c r="H756" s="1">
        <f>M$24*Data__2[[#This Row],[Return Market]]*K$4</f>
        <v>14.713419361383043</v>
      </c>
      <c r="I756" s="1"/>
      <c r="J756" s="1"/>
      <c r="K756" s="1"/>
      <c r="L756" s="1"/>
      <c r="M756" s="1"/>
    </row>
    <row r="757" spans="1:13">
      <c r="A757" s="1">
        <v>-9.3580688029532162</v>
      </c>
      <c r="B757" s="1">
        <v>10.938232452960156</v>
      </c>
      <c r="C757" s="1">
        <v>194.27044252653423</v>
      </c>
      <c r="D757" s="24">
        <f>Data__2[[#This Row],[Project_1]]/J$4</f>
        <v>-6.238712535302144E-2</v>
      </c>
      <c r="E757" s="24">
        <f>Data__2[[#This Row],[Project_2]]/K$4</f>
        <v>7.2921549686401035E-2</v>
      </c>
      <c r="F757" s="24">
        <f>Data__2[[#This Row],[Market]]/L$4</f>
        <v>0.19427044252653422</v>
      </c>
      <c r="G757" s="1">
        <f>L$24*Data__2[[#This Row],[Return Market]]*J$4</f>
        <v>10.792802362585247</v>
      </c>
      <c r="H757" s="1">
        <f>M$24*Data__2[[#This Row],[Return Market]]*K$4</f>
        <v>11.33244248071451</v>
      </c>
      <c r="I757" s="1"/>
      <c r="J757" s="1"/>
      <c r="K757" s="1"/>
      <c r="L757" s="1"/>
      <c r="M757" s="1"/>
    </row>
    <row r="758" spans="1:13">
      <c r="A758" s="1">
        <v>27.839875846104569</v>
      </c>
      <c r="B758" s="1">
        <v>34.387045753672375</v>
      </c>
      <c r="C758" s="1">
        <v>231.93455574687366</v>
      </c>
      <c r="D758" s="24">
        <f>Data__2[[#This Row],[Project_1]]/J$4</f>
        <v>0.18559917230736378</v>
      </c>
      <c r="E758" s="24">
        <f>Data__2[[#This Row],[Project_2]]/K$4</f>
        <v>0.22924697169114916</v>
      </c>
      <c r="F758" s="24">
        <f>Data__2[[#This Row],[Market]]/L$4</f>
        <v>0.23193455574687366</v>
      </c>
      <c r="G758" s="1">
        <f>L$24*Data__2[[#This Row],[Return Market]]*J$4</f>
        <v>12.885253097048551</v>
      </c>
      <c r="H758" s="1">
        <f>M$24*Data__2[[#This Row],[Return Market]]*K$4</f>
        <v>13.529515751900981</v>
      </c>
      <c r="I758" s="1"/>
      <c r="J758" s="1"/>
      <c r="K758" s="1"/>
      <c r="L758" s="1"/>
      <c r="M758" s="1"/>
    </row>
    <row r="759" spans="1:13">
      <c r="A759" s="1">
        <v>12.099919690195382</v>
      </c>
      <c r="B759" s="1">
        <v>27.081739214093908</v>
      </c>
      <c r="C759" s="1">
        <v>205.84281296968615</v>
      </c>
      <c r="D759" s="24">
        <f>Data__2[[#This Row],[Project_1]]/J$4</f>
        <v>8.0666131267969204E-2</v>
      </c>
      <c r="E759" s="24">
        <f>Data__2[[#This Row],[Project_2]]/K$4</f>
        <v>0.18054492809395939</v>
      </c>
      <c r="F759" s="24">
        <f>Data__2[[#This Row],[Market]]/L$4</f>
        <v>0.20584281296968615</v>
      </c>
      <c r="G759" s="1">
        <f>L$24*Data__2[[#This Row],[Return Market]]*J$4</f>
        <v>11.435711831649243</v>
      </c>
      <c r="H759" s="1">
        <f>M$24*Data__2[[#This Row],[Return Market]]*K$4</f>
        <v>12.007497423231706</v>
      </c>
      <c r="I759" s="1"/>
      <c r="J759" s="1"/>
      <c r="K759" s="1"/>
      <c r="L759" s="1"/>
      <c r="M759" s="1"/>
    </row>
    <row r="760" spans="1:13">
      <c r="A760" s="1">
        <v>38.66799615892927</v>
      </c>
      <c r="B760" s="1">
        <v>11.237177336769705</v>
      </c>
      <c r="C760" s="1">
        <v>361.03855309395919</v>
      </c>
      <c r="D760" s="24">
        <f>Data__2[[#This Row],[Project_1]]/J$4</f>
        <v>0.25778664105952848</v>
      </c>
      <c r="E760" s="24">
        <f>Data__2[[#This Row],[Project_2]]/K$4</f>
        <v>7.4914515578464694E-2</v>
      </c>
      <c r="F760" s="24">
        <f>Data__2[[#This Row],[Market]]/L$4</f>
        <v>0.36103855309395921</v>
      </c>
      <c r="G760" s="1">
        <f>L$24*Data__2[[#This Row],[Return Market]]*J$4</f>
        <v>20.057697394108867</v>
      </c>
      <c r="H760" s="1">
        <f>M$24*Data__2[[#This Row],[Return Market]]*K$4</f>
        <v>21.060582263814315</v>
      </c>
      <c r="I760" s="1"/>
      <c r="J760" s="1"/>
      <c r="K760" s="1"/>
      <c r="L760" s="1"/>
      <c r="M760" s="1"/>
    </row>
    <row r="761" spans="1:13">
      <c r="A761" s="1">
        <v>14.817339397721199</v>
      </c>
      <c r="B761" s="1">
        <v>-7.7439893849022532</v>
      </c>
      <c r="C761" s="1">
        <v>-63.32278077930485</v>
      </c>
      <c r="D761" s="24">
        <f>Data__2[[#This Row],[Project_1]]/J$4</f>
        <v>9.8782262651474662E-2</v>
      </c>
      <c r="E761" s="24">
        <f>Data__2[[#This Row],[Project_2]]/K$4</f>
        <v>-5.1626595899348357E-2</v>
      </c>
      <c r="F761" s="24">
        <f>Data__2[[#This Row],[Market]]/L$4</f>
        <v>-6.3322780779304852E-2</v>
      </c>
      <c r="G761" s="1">
        <f>L$24*Data__2[[#This Row],[Return Market]]*J$4</f>
        <v>-3.51793226551694</v>
      </c>
      <c r="H761" s="1">
        <f>M$24*Data__2[[#This Row],[Return Market]]*K$4</f>
        <v>-3.6938288787927878</v>
      </c>
      <c r="I761" s="1"/>
      <c r="J761" s="1"/>
      <c r="K761" s="1"/>
      <c r="L761" s="1"/>
      <c r="M761" s="1"/>
    </row>
    <row r="762" spans="1:13">
      <c r="A762" s="1">
        <v>31.182186245468039</v>
      </c>
      <c r="B762" s="1">
        <v>16.592952964361903</v>
      </c>
      <c r="C762" s="1">
        <v>113.60729316351151</v>
      </c>
      <c r="D762" s="24">
        <f>Data__2[[#This Row],[Project_1]]/J$4</f>
        <v>0.20788124163645358</v>
      </c>
      <c r="E762" s="24">
        <f>Data__2[[#This Row],[Project_2]]/K$4</f>
        <v>0.11061968642907935</v>
      </c>
      <c r="F762" s="24">
        <f>Data__2[[#This Row],[Market]]/L$4</f>
        <v>0.11360729316351151</v>
      </c>
      <c r="G762" s="1">
        <f>L$24*Data__2[[#This Row],[Return Market]]*J$4</f>
        <v>6.3115162868617576</v>
      </c>
      <c r="H762" s="1">
        <f>M$24*Data__2[[#This Row],[Return Market]]*K$4</f>
        <v>6.6270921012048465</v>
      </c>
      <c r="I762" s="1"/>
      <c r="J762" s="1"/>
      <c r="K762" s="1"/>
      <c r="L762" s="1"/>
      <c r="M762" s="1"/>
    </row>
    <row r="763" spans="1:13">
      <c r="A763" s="1">
        <v>2.2837378397893424</v>
      </c>
      <c r="B763" s="1">
        <v>-5.2579198859550953</v>
      </c>
      <c r="C763" s="1">
        <v>105.54776597531284</v>
      </c>
      <c r="D763" s="24">
        <f>Data__2[[#This Row],[Project_1]]/J$4</f>
        <v>1.5224918931928949E-2</v>
      </c>
      <c r="E763" s="24">
        <f>Data__2[[#This Row],[Project_2]]/K$4</f>
        <v>-3.5052799239700637E-2</v>
      </c>
      <c r="F763" s="24">
        <f>Data__2[[#This Row],[Market]]/L$4</f>
        <v>0.10554776597531285</v>
      </c>
      <c r="G763" s="1">
        <f>L$24*Data__2[[#This Row],[Return Market]]*J$4</f>
        <v>5.8637647764062759</v>
      </c>
      <c r="H763" s="1">
        <f>M$24*Data__2[[#This Row],[Return Market]]*K$4</f>
        <v>6.1569530152265912</v>
      </c>
      <c r="I763" s="1"/>
      <c r="J763" s="1"/>
      <c r="K763" s="1"/>
      <c r="L763" s="1"/>
      <c r="M763" s="1"/>
    </row>
    <row r="764" spans="1:13">
      <c r="A764" s="1">
        <v>12.481650162126261</v>
      </c>
      <c r="B764" s="1">
        <v>15.005078219641407</v>
      </c>
      <c r="C764" s="1">
        <v>309.12215767839473</v>
      </c>
      <c r="D764" s="24">
        <f>Data__2[[#This Row],[Project_1]]/J$4</f>
        <v>8.3211001080841743E-2</v>
      </c>
      <c r="E764" s="24">
        <f>Data__2[[#This Row],[Project_2]]/K$4</f>
        <v>0.10003385479760937</v>
      </c>
      <c r="F764" s="24">
        <f>Data__2[[#This Row],[Market]]/L$4</f>
        <v>0.30912215767839474</v>
      </c>
      <c r="G764" s="1">
        <f>L$24*Data__2[[#This Row],[Return Market]]*J$4</f>
        <v>17.173453204355283</v>
      </c>
      <c r="H764" s="1">
        <f>M$24*Data__2[[#This Row],[Return Market]]*K$4</f>
        <v>18.03212586457305</v>
      </c>
      <c r="I764" s="1"/>
      <c r="J764" s="1"/>
      <c r="K764" s="1"/>
      <c r="L764" s="1"/>
      <c r="M764" s="1"/>
    </row>
    <row r="765" spans="1:13">
      <c r="A765" s="1">
        <v>25.902770700487892</v>
      </c>
      <c r="B765" s="1">
        <v>4.1048041008013358</v>
      </c>
      <c r="C765" s="1">
        <v>65.155433642507532</v>
      </c>
      <c r="D765" s="24">
        <f>Data__2[[#This Row],[Project_1]]/J$4</f>
        <v>0.17268513800325261</v>
      </c>
      <c r="E765" s="24">
        <f>Data__2[[#This Row],[Project_2]]/K$4</f>
        <v>2.7365360672008905E-2</v>
      </c>
      <c r="F765" s="24">
        <f>Data__2[[#This Row],[Market]]/L$4</f>
        <v>6.5155433642507532E-2</v>
      </c>
      <c r="G765" s="1">
        <f>L$24*Data__2[[#This Row],[Return Market]]*J$4</f>
        <v>3.6197463134726444</v>
      </c>
      <c r="H765" s="1">
        <f>M$24*Data__2[[#This Row],[Return Market]]*K$4</f>
        <v>3.8007336291462774</v>
      </c>
      <c r="I765" s="1"/>
      <c r="J765" s="1"/>
      <c r="K765" s="1"/>
      <c r="L765" s="1"/>
      <c r="M765" s="1"/>
    </row>
    <row r="766" spans="1:13">
      <c r="A766" s="1">
        <v>-11.173951617859348</v>
      </c>
      <c r="B766" s="1">
        <v>15.870618643116792</v>
      </c>
      <c r="C766" s="1">
        <v>224.99508457875834</v>
      </c>
      <c r="D766" s="24">
        <f>Data__2[[#This Row],[Project_1]]/J$4</f>
        <v>-7.4493010785728994E-2</v>
      </c>
      <c r="E766" s="24">
        <f>Data__2[[#This Row],[Project_2]]/K$4</f>
        <v>0.10580412428744528</v>
      </c>
      <c r="F766" s="24">
        <f>Data__2[[#This Row],[Market]]/L$4</f>
        <v>0.22499508457875833</v>
      </c>
      <c r="G766" s="1">
        <f>L$24*Data__2[[#This Row],[Return Market]]*J$4</f>
        <v>12.499726921042145</v>
      </c>
      <c r="H766" s="1">
        <f>M$24*Data__2[[#This Row],[Return Market]]*K$4</f>
        <v>13.124713267094254</v>
      </c>
      <c r="I766" s="1"/>
      <c r="J766" s="1"/>
      <c r="K766" s="1"/>
      <c r="L766" s="1"/>
      <c r="M766" s="1"/>
    </row>
    <row r="767" spans="1:13">
      <c r="A767" s="1">
        <v>11.755614169670434</v>
      </c>
      <c r="B767" s="1">
        <v>-4.5888664652124351</v>
      </c>
      <c r="C767" s="1">
        <v>0.99026719107867223</v>
      </c>
      <c r="D767" s="24">
        <f>Data__2[[#This Row],[Project_1]]/J$4</f>
        <v>7.8370761131136224E-2</v>
      </c>
      <c r="E767" s="24">
        <f>Data__2[[#This Row],[Project_2]]/K$4</f>
        <v>-3.0592443101416233E-2</v>
      </c>
      <c r="F767" s="24">
        <f>Data__2[[#This Row],[Market]]/L$4</f>
        <v>9.9026719107867217E-4</v>
      </c>
      <c r="G767" s="1">
        <f>L$24*Data__2[[#This Row],[Return Market]]*J$4</f>
        <v>5.5014843948815187E-2</v>
      </c>
      <c r="H767" s="1">
        <f>M$24*Data__2[[#This Row],[Return Market]]*K$4</f>
        <v>5.7765586146255953E-2</v>
      </c>
      <c r="I767" s="1"/>
      <c r="J767" s="1"/>
      <c r="K767" s="1"/>
      <c r="L767" s="1"/>
      <c r="M767" s="1"/>
    </row>
    <row r="768" spans="1:13">
      <c r="A768" s="1">
        <v>-4.9841561446809806</v>
      </c>
      <c r="B768" s="1">
        <v>3.9764185541404959</v>
      </c>
      <c r="C768" s="1">
        <v>135.40104240394305</v>
      </c>
      <c r="D768" s="24">
        <f>Data__2[[#This Row],[Project_1]]/J$4</f>
        <v>-3.3227707631206534E-2</v>
      </c>
      <c r="E768" s="24">
        <f>Data__2[[#This Row],[Project_2]]/K$4</f>
        <v>2.6509457027603305E-2</v>
      </c>
      <c r="F768" s="24">
        <f>Data__2[[#This Row],[Market]]/L$4</f>
        <v>0.13540104240394304</v>
      </c>
      <c r="G768" s="1">
        <f>L$24*Data__2[[#This Row],[Return Market]]*J$4</f>
        <v>7.5222801335523997</v>
      </c>
      <c r="H768" s="1">
        <f>M$24*Data__2[[#This Row],[Return Market]]*K$4</f>
        <v>7.898394140230022</v>
      </c>
      <c r="I768" s="1"/>
      <c r="J768" s="1"/>
      <c r="K768" s="1"/>
      <c r="L768" s="1"/>
      <c r="M768" s="1"/>
    </row>
    <row r="769" spans="1:13">
      <c r="A769" s="1">
        <v>-15.581662187643332</v>
      </c>
      <c r="B769" s="1">
        <v>9.6829731625996907</v>
      </c>
      <c r="C769" s="1">
        <v>175.91214039615122</v>
      </c>
      <c r="D769" s="24">
        <f>Data__2[[#This Row],[Project_1]]/J$4</f>
        <v>-0.10387774791762221</v>
      </c>
      <c r="E769" s="24">
        <f>Data__2[[#This Row],[Project_2]]/K$4</f>
        <v>6.4553154417331268E-2</v>
      </c>
      <c r="F769" s="24">
        <f>Data__2[[#This Row],[Market]]/L$4</f>
        <v>0.17591214039615122</v>
      </c>
      <c r="G769" s="1">
        <f>L$24*Data__2[[#This Row],[Return Market]]*J$4</f>
        <v>9.772896688675079</v>
      </c>
      <c r="H769" s="1">
        <f>M$24*Data__2[[#This Row],[Return Market]]*K$4</f>
        <v>10.261541523108834</v>
      </c>
      <c r="I769" s="1"/>
      <c r="J769" s="1"/>
      <c r="K769" s="1"/>
      <c r="L769" s="1"/>
      <c r="M769" s="1"/>
    </row>
    <row r="770" spans="1:13">
      <c r="A770" s="1">
        <v>22.153687352071039</v>
      </c>
      <c r="B770" s="1">
        <v>26.538430320721872</v>
      </c>
      <c r="C770" s="1">
        <v>120.19738033803785</v>
      </c>
      <c r="D770" s="24">
        <f>Data__2[[#This Row],[Project_1]]/J$4</f>
        <v>0.14769124901380692</v>
      </c>
      <c r="E770" s="24">
        <f>Data__2[[#This Row],[Project_2]]/K$4</f>
        <v>0.17692286880481248</v>
      </c>
      <c r="F770" s="24">
        <f>Data__2[[#This Row],[Market]]/L$4</f>
        <v>0.12019738033803784</v>
      </c>
      <c r="G770" s="1">
        <f>L$24*Data__2[[#This Row],[Return Market]]*J$4</f>
        <v>6.6776322410021098</v>
      </c>
      <c r="H770" s="1">
        <f>M$24*Data__2[[#This Row],[Return Market]]*K$4</f>
        <v>7.0115138530522163</v>
      </c>
      <c r="I770" s="1"/>
      <c r="J770" s="1"/>
      <c r="K770" s="1"/>
      <c r="L770" s="1"/>
      <c r="M770" s="1"/>
    </row>
    <row r="771" spans="1:13">
      <c r="A771" s="1">
        <v>-23.706492203566995</v>
      </c>
      <c r="B771" s="1">
        <v>-4.6538501879591241</v>
      </c>
      <c r="C771" s="1">
        <v>-46.335520841795102</v>
      </c>
      <c r="D771" s="24">
        <f>Data__2[[#This Row],[Project_1]]/J$4</f>
        <v>-0.15804328135711329</v>
      </c>
      <c r="E771" s="24">
        <f>Data__2[[#This Row],[Project_2]]/K$4</f>
        <v>-3.1025667919727495E-2</v>
      </c>
      <c r="F771" s="24">
        <f>Data__2[[#This Row],[Market]]/L$4</f>
        <v>-4.6335520841795104E-2</v>
      </c>
      <c r="G771" s="1">
        <f>L$24*Data__2[[#This Row],[Return Market]]*J$4</f>
        <v>-2.5741956023219532</v>
      </c>
      <c r="H771" s="1">
        <f>M$24*Data__2[[#This Row],[Return Market]]*K$4</f>
        <v>-2.7029053824380513</v>
      </c>
      <c r="I771" s="1"/>
      <c r="J771" s="1"/>
      <c r="K771" s="1"/>
      <c r="L771" s="1"/>
      <c r="M771" s="1"/>
    </row>
    <row r="772" spans="1:13">
      <c r="A772" s="1">
        <v>16.240924744901026</v>
      </c>
      <c r="B772" s="1">
        <v>8.4570774437587275</v>
      </c>
      <c r="C772" s="1">
        <v>48.501262474719155</v>
      </c>
      <c r="D772" s="24">
        <f>Data__2[[#This Row],[Project_1]]/J$4</f>
        <v>0.10827283163267351</v>
      </c>
      <c r="E772" s="24">
        <f>Data__2[[#This Row],[Project_2]]/K$4</f>
        <v>5.6380516291724851E-2</v>
      </c>
      <c r="F772" s="24">
        <f>Data__2[[#This Row],[Market]]/L$4</f>
        <v>4.8501262474719156E-2</v>
      </c>
      <c r="G772" s="1">
        <f>L$24*Data__2[[#This Row],[Return Market]]*J$4</f>
        <v>2.6945145819288454</v>
      </c>
      <c r="H772" s="1">
        <f>M$24*Data__2[[#This Row],[Return Market]]*K$4</f>
        <v>2.8292403110252877</v>
      </c>
      <c r="I772" s="1"/>
      <c r="J772" s="1"/>
      <c r="K772" s="1"/>
      <c r="L772" s="1"/>
      <c r="M772" s="1"/>
    </row>
    <row r="773" spans="1:13">
      <c r="A773" s="1">
        <v>25.820137557138825</v>
      </c>
      <c r="B773" s="1">
        <v>22.142754873939666</v>
      </c>
      <c r="C773" s="1">
        <v>206.28217879504683</v>
      </c>
      <c r="D773" s="24">
        <f>Data__2[[#This Row],[Project_1]]/J$4</f>
        <v>0.1721342503809255</v>
      </c>
      <c r="E773" s="24">
        <f>Data__2[[#This Row],[Project_2]]/K$4</f>
        <v>0.14761836582626445</v>
      </c>
      <c r="F773" s="24">
        <f>Data__2[[#This Row],[Market]]/L$4</f>
        <v>0.20628217879504684</v>
      </c>
      <c r="G773" s="1">
        <f>L$24*Data__2[[#This Row],[Return Market]]*J$4</f>
        <v>11.460121044169282</v>
      </c>
      <c r="H773" s="1">
        <f>M$24*Data__2[[#This Row],[Return Market]]*K$4</f>
        <v>12.033127096377749</v>
      </c>
      <c r="I773" s="1"/>
      <c r="J773" s="1"/>
      <c r="K773" s="1"/>
      <c r="L773" s="1"/>
      <c r="M773" s="1"/>
    </row>
    <row r="774" spans="1:13">
      <c r="A774" s="1">
        <v>25.639701141123467</v>
      </c>
      <c r="B774" s="1">
        <v>-1.7973129863793957</v>
      </c>
      <c r="C774" s="1">
        <v>-65.97266282811853</v>
      </c>
      <c r="D774" s="24">
        <f>Data__2[[#This Row],[Project_1]]/J$4</f>
        <v>0.1709313409408231</v>
      </c>
      <c r="E774" s="24">
        <f>Data__2[[#This Row],[Project_2]]/K$4</f>
        <v>-1.1982086575862638E-2</v>
      </c>
      <c r="F774" s="24">
        <f>Data__2[[#This Row],[Market]]/L$4</f>
        <v>-6.5972662828118533E-2</v>
      </c>
      <c r="G774" s="1">
        <f>L$24*Data__2[[#This Row],[Return Market]]*J$4</f>
        <v>-3.6651479348954781</v>
      </c>
      <c r="H774" s="1">
        <f>M$24*Data__2[[#This Row],[Return Market]]*K$4</f>
        <v>-3.8484053316402531</v>
      </c>
      <c r="I774" s="1"/>
      <c r="J774" s="1"/>
      <c r="K774" s="1"/>
      <c r="L774" s="1"/>
      <c r="M774" s="1"/>
    </row>
    <row r="775" spans="1:13">
      <c r="A775" s="1">
        <v>29.400771873286999</v>
      </c>
      <c r="B775" s="1">
        <v>10.829923853332668</v>
      </c>
      <c r="C775" s="1">
        <v>22.432497851541058</v>
      </c>
      <c r="D775" s="24">
        <f>Data__2[[#This Row],[Project_1]]/J$4</f>
        <v>0.19600514582191333</v>
      </c>
      <c r="E775" s="24">
        <f>Data__2[[#This Row],[Project_2]]/K$4</f>
        <v>7.219949235555112E-2</v>
      </c>
      <c r="F775" s="24">
        <f>Data__2[[#This Row],[Market]]/L$4</f>
        <v>2.2432497851541059E-2</v>
      </c>
      <c r="G775" s="1">
        <f>L$24*Data__2[[#This Row],[Return Market]]*J$4</f>
        <v>1.2462498806411713</v>
      </c>
      <c r="H775" s="1">
        <f>M$24*Data__2[[#This Row],[Return Market]]*K$4</f>
        <v>1.30856237467323</v>
      </c>
      <c r="I775" s="1"/>
      <c r="J775" s="1"/>
      <c r="K775" s="1"/>
      <c r="L775" s="1"/>
      <c r="M775" s="1"/>
    </row>
    <row r="776" spans="1:13">
      <c r="A776" s="1">
        <v>32.973622233807532</v>
      </c>
      <c r="B776" s="1">
        <v>35.118756669113594</v>
      </c>
      <c r="C776" s="1">
        <v>360.76747518981455</v>
      </c>
      <c r="D776" s="24">
        <f>Data__2[[#This Row],[Project_1]]/J$4</f>
        <v>0.21982414822538354</v>
      </c>
      <c r="E776" s="24">
        <f>Data__2[[#This Row],[Project_2]]/K$4</f>
        <v>0.2341250444607573</v>
      </c>
      <c r="F776" s="24">
        <f>Data__2[[#This Row],[Market]]/L$4</f>
        <v>0.36076747518981456</v>
      </c>
      <c r="G776" s="1">
        <f>L$24*Data__2[[#This Row],[Return Market]]*J$4</f>
        <v>20.042637510545276</v>
      </c>
      <c r="H776" s="1">
        <f>M$24*Data__2[[#This Row],[Return Market]]*K$4</f>
        <v>21.044769386072542</v>
      </c>
      <c r="I776" s="1"/>
      <c r="J776" s="1"/>
      <c r="K776" s="1"/>
      <c r="L776" s="1"/>
      <c r="M776" s="1"/>
    </row>
    <row r="777" spans="1:13">
      <c r="A777" s="1">
        <v>20.887581907647341</v>
      </c>
      <c r="B777" s="1">
        <v>0.39959224186097941</v>
      </c>
      <c r="C777" s="1">
        <v>-31.745499674835841</v>
      </c>
      <c r="D777" s="24">
        <f>Data__2[[#This Row],[Project_1]]/J$4</f>
        <v>0.13925054605098228</v>
      </c>
      <c r="E777" s="24">
        <f>Data__2[[#This Row],[Project_2]]/K$4</f>
        <v>2.6639482790731962E-3</v>
      </c>
      <c r="F777" s="24">
        <f>Data__2[[#This Row],[Market]]/L$4</f>
        <v>-3.1745499674835843E-2</v>
      </c>
      <c r="G777" s="1">
        <f>L$24*Data__2[[#This Row],[Return Market]]*J$4</f>
        <v>-1.7636388708242157</v>
      </c>
      <c r="H777" s="1">
        <f>M$24*Data__2[[#This Row],[Return Market]]*K$4</f>
        <v>-1.8518208143654264</v>
      </c>
      <c r="I777" s="1"/>
      <c r="J777" s="1"/>
      <c r="K777" s="1"/>
      <c r="L777" s="1"/>
      <c r="M777" s="1"/>
    </row>
    <row r="778" spans="1:13">
      <c r="A778" s="1">
        <v>18.587150754230347</v>
      </c>
      <c r="B778" s="1">
        <v>13.168562545029248</v>
      </c>
      <c r="C778" s="1">
        <v>215.66865904162233</v>
      </c>
      <c r="D778" s="24">
        <f>Data__2[[#This Row],[Project_1]]/J$4</f>
        <v>0.12391433836153565</v>
      </c>
      <c r="E778" s="24">
        <f>Data__2[[#This Row],[Project_2]]/K$4</f>
        <v>8.7790416966861656E-2</v>
      </c>
      <c r="F778" s="24">
        <f>Data__2[[#This Row],[Market]]/L$4</f>
        <v>0.21566865904162233</v>
      </c>
      <c r="G778" s="1">
        <f>L$24*Data__2[[#This Row],[Return Market]]*J$4</f>
        <v>11.981592168979033</v>
      </c>
      <c r="H778" s="1">
        <f>M$24*Data__2[[#This Row],[Return Market]]*K$4</f>
        <v>12.580671777427986</v>
      </c>
      <c r="I778" s="1"/>
      <c r="J778" s="1"/>
      <c r="K778" s="1"/>
      <c r="L778" s="1"/>
      <c r="M778" s="1"/>
    </row>
    <row r="779" spans="1:13">
      <c r="A779" s="1">
        <v>-30.030315734213573</v>
      </c>
      <c r="B779" s="1">
        <v>-8.1812983013611138</v>
      </c>
      <c r="C779" s="1">
        <v>-92.69551461409182</v>
      </c>
      <c r="D779" s="24">
        <f>Data__2[[#This Row],[Project_1]]/J$4</f>
        <v>-0.20020210489475715</v>
      </c>
      <c r="E779" s="24">
        <f>Data__2[[#This Row],[Project_2]]/K$4</f>
        <v>-5.4541988675740762E-2</v>
      </c>
      <c r="F779" s="24">
        <f>Data__2[[#This Row],[Market]]/L$4</f>
        <v>-9.2695514614091826E-2</v>
      </c>
      <c r="G779" s="1">
        <f>L$24*Data__2[[#This Row],[Return Market]]*J$4</f>
        <v>-5.1497508118939965</v>
      </c>
      <c r="H779" s="1">
        <f>M$24*Data__2[[#This Row],[Return Market]]*K$4</f>
        <v>-5.4072383524886973</v>
      </c>
      <c r="I779" s="1"/>
      <c r="J779" s="1"/>
      <c r="K779" s="1"/>
      <c r="L779" s="1"/>
      <c r="M779" s="1"/>
    </row>
    <row r="780" spans="1:13">
      <c r="A780" s="1">
        <v>12.37955373521033</v>
      </c>
      <c r="B780" s="1">
        <v>12.005868989777719</v>
      </c>
      <c r="C780" s="1">
        <v>247.92606872564963</v>
      </c>
      <c r="D780" s="24">
        <f>Data__2[[#This Row],[Project_1]]/J$4</f>
        <v>8.2530358234735535E-2</v>
      </c>
      <c r="E780" s="24">
        <f>Data__2[[#This Row],[Project_2]]/K$4</f>
        <v>8.0039126598518126E-2</v>
      </c>
      <c r="F780" s="24">
        <f>Data__2[[#This Row],[Market]]/L$4</f>
        <v>0.24792606872564962</v>
      </c>
      <c r="G780" s="1">
        <f>L$24*Data__2[[#This Row],[Return Market]]*J$4</f>
        <v>13.773670484758329</v>
      </c>
      <c r="H780" s="1">
        <f>M$24*Data__2[[#This Row],[Return Market]]*K$4</f>
        <v>14.462354008996247</v>
      </c>
      <c r="I780" s="1"/>
      <c r="J780" s="1"/>
      <c r="K780" s="1"/>
      <c r="L780" s="1"/>
      <c r="M780" s="1"/>
    </row>
    <row r="781" spans="1:13">
      <c r="A781" s="1">
        <v>-19.146709789075768</v>
      </c>
      <c r="B781" s="1">
        <v>-7.2900827218050139</v>
      </c>
      <c r="C781" s="1">
        <v>-181.32227452765221</v>
      </c>
      <c r="D781" s="24">
        <f>Data__2[[#This Row],[Project_1]]/J$4</f>
        <v>-0.1276447319271718</v>
      </c>
      <c r="E781" s="24">
        <f>Data__2[[#This Row],[Project_2]]/K$4</f>
        <v>-4.8600551478700092E-2</v>
      </c>
      <c r="F781" s="24">
        <f>Data__2[[#This Row],[Market]]/L$4</f>
        <v>-0.18132227452765221</v>
      </c>
      <c r="G781" s="1">
        <f>L$24*Data__2[[#This Row],[Return Market]]*J$4</f>
        <v>-10.07345969598069</v>
      </c>
      <c r="H781" s="1">
        <f>M$24*Data__2[[#This Row],[Return Market]]*K$4</f>
        <v>-10.577132680779725</v>
      </c>
      <c r="I781" s="1"/>
      <c r="J781" s="1"/>
      <c r="K781" s="1"/>
      <c r="L781" s="1"/>
      <c r="M781" s="1"/>
    </row>
    <row r="782" spans="1:13">
      <c r="A782" s="1">
        <v>38.348764968417775</v>
      </c>
      <c r="B782" s="1">
        <v>20.993552314659915</v>
      </c>
      <c r="C782" s="1">
        <v>28.238047374352533</v>
      </c>
      <c r="D782" s="24">
        <f>Data__2[[#This Row],[Project_1]]/J$4</f>
        <v>0.25565843312278519</v>
      </c>
      <c r="E782" s="24">
        <f>Data__2[[#This Row],[Project_2]]/K$4</f>
        <v>0.13995701543106609</v>
      </c>
      <c r="F782" s="24">
        <f>Data__2[[#This Row],[Market]]/L$4</f>
        <v>2.8238047374352534E-2</v>
      </c>
      <c r="G782" s="1">
        <f>L$24*Data__2[[#This Row],[Return Market]]*J$4</f>
        <v>1.5687804096862537</v>
      </c>
      <c r="H782" s="1">
        <f>M$24*Data__2[[#This Row],[Return Market]]*K$4</f>
        <v>1.6472194301705667</v>
      </c>
      <c r="I782" s="1"/>
      <c r="J782" s="1"/>
      <c r="K782" s="1"/>
      <c r="L782" s="1"/>
      <c r="M782" s="1"/>
    </row>
    <row r="783" spans="1:13">
      <c r="A783" s="1">
        <v>5.7765870427072219</v>
      </c>
      <c r="B783" s="1">
        <v>18.233497020750491</v>
      </c>
      <c r="C783" s="1">
        <v>72.210765280960999</v>
      </c>
      <c r="D783" s="24">
        <f>Data__2[[#This Row],[Project_1]]/J$4</f>
        <v>3.851058028471481E-2</v>
      </c>
      <c r="E783" s="24">
        <f>Data__2[[#This Row],[Project_2]]/K$4</f>
        <v>0.12155664680500328</v>
      </c>
      <c r="F783" s="24">
        <f>Data__2[[#This Row],[Market]]/L$4</f>
        <v>7.2210765280961001E-2</v>
      </c>
      <c r="G783" s="1">
        <f>L$24*Data__2[[#This Row],[Return Market]]*J$4</f>
        <v>4.0117091822756157</v>
      </c>
      <c r="H783" s="1">
        <f>M$24*Data__2[[#This Row],[Return Market]]*K$4</f>
        <v>4.2122946413893976</v>
      </c>
      <c r="I783" s="1"/>
      <c r="J783" s="1"/>
      <c r="K783" s="1"/>
      <c r="L783" s="1"/>
      <c r="M783" s="1"/>
    </row>
    <row r="784" spans="1:13">
      <c r="A784" s="1">
        <v>-20.836470600607939</v>
      </c>
      <c r="B784" s="1">
        <v>11.493948043259008</v>
      </c>
      <c r="C784" s="1">
        <v>-26.156278785387073</v>
      </c>
      <c r="D784" s="24">
        <f>Data__2[[#This Row],[Project_1]]/J$4</f>
        <v>-0.13890980400405292</v>
      </c>
      <c r="E784" s="24">
        <f>Data__2[[#This Row],[Project_2]]/K$4</f>
        <v>7.662632028839339E-2</v>
      </c>
      <c r="F784" s="24">
        <f>Data__2[[#This Row],[Market]]/L$4</f>
        <v>-2.6156278785387073E-2</v>
      </c>
      <c r="G784" s="1">
        <f>L$24*Data__2[[#This Row],[Return Market]]*J$4</f>
        <v>-1.4531265991881726</v>
      </c>
      <c r="H784" s="1">
        <f>M$24*Data__2[[#This Row],[Return Market]]*K$4</f>
        <v>-1.5257829291475813</v>
      </c>
      <c r="I784" s="1"/>
      <c r="J784" s="1"/>
      <c r="K784" s="1"/>
      <c r="L784" s="1"/>
      <c r="M784" s="1"/>
    </row>
    <row r="785" spans="1:13">
      <c r="A785" s="1">
        <v>22.258983275793042</v>
      </c>
      <c r="B785" s="1">
        <v>26.10315376246157</v>
      </c>
      <c r="C785" s="1">
        <v>146.54140777644341</v>
      </c>
      <c r="D785" s="24">
        <f>Data__2[[#This Row],[Project_1]]/J$4</f>
        <v>0.14839322183862028</v>
      </c>
      <c r="E785" s="24">
        <f>Data__2[[#This Row],[Project_2]]/K$4</f>
        <v>0.17402102508307712</v>
      </c>
      <c r="F785" s="24">
        <f>Data__2[[#This Row],[Market]]/L$4</f>
        <v>0.14654140777644339</v>
      </c>
      <c r="G785" s="1">
        <f>L$24*Data__2[[#This Row],[Return Market]]*J$4</f>
        <v>8.1411893209135311</v>
      </c>
      <c r="H785" s="1">
        <f>M$24*Data__2[[#This Row],[Return Market]]*K$4</f>
        <v>8.5482487869592099</v>
      </c>
      <c r="I785" s="1"/>
      <c r="J785" s="1"/>
      <c r="K785" s="1"/>
      <c r="L785" s="1"/>
      <c r="M785" s="1"/>
    </row>
    <row r="786" spans="1:13">
      <c r="A786" s="1">
        <v>20.72427494797352</v>
      </c>
      <c r="B786" s="1">
        <v>10.089902684384008</v>
      </c>
      <c r="C786" s="1">
        <v>84.85412772443992</v>
      </c>
      <c r="D786" s="24">
        <f>Data__2[[#This Row],[Project_1]]/J$4</f>
        <v>0.13816183298649012</v>
      </c>
      <c r="E786" s="24">
        <f>Data__2[[#This Row],[Project_2]]/K$4</f>
        <v>6.7266017895893385E-2</v>
      </c>
      <c r="F786" s="24">
        <f>Data__2[[#This Row],[Market]]/L$4</f>
        <v>8.4854127724439926E-2</v>
      </c>
      <c r="G786" s="1">
        <f>L$24*Data__2[[#This Row],[Return Market]]*J$4</f>
        <v>4.7141182069133345</v>
      </c>
      <c r="H786" s="1">
        <f>M$24*Data__2[[#This Row],[Return Market]]*K$4</f>
        <v>4.9498241172590021</v>
      </c>
      <c r="I786" s="1"/>
      <c r="J786" s="1"/>
      <c r="K786" s="1"/>
      <c r="L786" s="1"/>
      <c r="M786" s="1"/>
    </row>
    <row r="787" spans="1:13">
      <c r="A787" s="1">
        <v>-6.4569658409611428</v>
      </c>
      <c r="B787" s="1">
        <v>-11.524417794524513</v>
      </c>
      <c r="C787" s="1">
        <v>-104.72176893755397</v>
      </c>
      <c r="D787" s="24">
        <f>Data__2[[#This Row],[Project_1]]/J$4</f>
        <v>-4.3046438939740951E-2</v>
      </c>
      <c r="E787" s="24">
        <f>Data__2[[#This Row],[Project_2]]/K$4</f>
        <v>-7.6829451963496762E-2</v>
      </c>
      <c r="F787" s="24">
        <f>Data__2[[#This Row],[Market]]/L$4</f>
        <v>-0.10472176893755397</v>
      </c>
      <c r="G787" s="1">
        <f>L$24*Data__2[[#This Row],[Return Market]]*J$4</f>
        <v>-5.8178760520863388</v>
      </c>
      <c r="H787" s="1">
        <f>M$24*Data__2[[#This Row],[Return Market]]*K$4</f>
        <v>-6.1087698546906566</v>
      </c>
      <c r="I787" s="1"/>
      <c r="J787" s="1"/>
      <c r="K787" s="1"/>
      <c r="L787" s="1"/>
      <c r="M787" s="1"/>
    </row>
    <row r="788" spans="1:13">
      <c r="A788" s="1">
        <v>29.113520944701175</v>
      </c>
      <c r="B788" s="1">
        <v>1.9456264493386897</v>
      </c>
      <c r="C788" s="1">
        <v>114.37675812807011</v>
      </c>
      <c r="D788" s="24">
        <f>Data__2[[#This Row],[Project_1]]/J$4</f>
        <v>0.19409013963134117</v>
      </c>
      <c r="E788" s="24">
        <f>Data__2[[#This Row],[Project_2]]/K$4</f>
        <v>1.2970842995591264E-2</v>
      </c>
      <c r="F788" s="24">
        <f>Data__2[[#This Row],[Market]]/L$4</f>
        <v>0.11437675812807011</v>
      </c>
      <c r="G788" s="1">
        <f>L$24*Data__2[[#This Row],[Return Market]]*J$4</f>
        <v>6.3542643404483465</v>
      </c>
      <c r="H788" s="1">
        <f>M$24*Data__2[[#This Row],[Return Market]]*K$4</f>
        <v>6.6719775574707647</v>
      </c>
      <c r="I788" s="1"/>
      <c r="J788" s="1"/>
      <c r="K788" s="1"/>
      <c r="L788" s="1"/>
      <c r="M788" s="1"/>
    </row>
    <row r="789" spans="1:13">
      <c r="A789" s="1">
        <v>-4.6498729356099204</v>
      </c>
      <c r="B789" s="1">
        <v>7.7001939882406276</v>
      </c>
      <c r="C789" s="1">
        <v>25.221249761605335</v>
      </c>
      <c r="D789" s="24">
        <f>Data__2[[#This Row],[Project_1]]/J$4</f>
        <v>-3.0999152904066136E-2</v>
      </c>
      <c r="E789" s="24">
        <f>Data__2[[#This Row],[Project_2]]/K$4</f>
        <v>5.133462658827085E-2</v>
      </c>
      <c r="F789" s="24">
        <f>Data__2[[#This Row],[Market]]/L$4</f>
        <v>2.5221249761605335E-2</v>
      </c>
      <c r="G789" s="1">
        <f>L$24*Data__2[[#This Row],[Return Market]]*J$4</f>
        <v>1.4011805423114092</v>
      </c>
      <c r="H789" s="1">
        <f>M$24*Data__2[[#This Row],[Return Market]]*K$4</f>
        <v>1.47123956942698</v>
      </c>
      <c r="I789" s="1"/>
      <c r="J789" s="1"/>
      <c r="K789" s="1"/>
      <c r="L789" s="1"/>
      <c r="M789" s="1"/>
    </row>
    <row r="790" spans="1:13">
      <c r="A790" s="1">
        <v>47.318793502800446</v>
      </c>
      <c r="B790" s="1">
        <v>28.034323472211206</v>
      </c>
      <c r="C790" s="1">
        <v>158.97038543450998</v>
      </c>
      <c r="D790" s="24">
        <f>Data__2[[#This Row],[Project_1]]/J$4</f>
        <v>0.31545862335200298</v>
      </c>
      <c r="E790" s="24">
        <f>Data__2[[#This Row],[Project_2]]/K$4</f>
        <v>0.18689548981474138</v>
      </c>
      <c r="F790" s="24">
        <f>Data__2[[#This Row],[Market]]/L$4</f>
        <v>0.15897038543450998</v>
      </c>
      <c r="G790" s="1">
        <f>L$24*Data__2[[#This Row],[Return Market]]*J$4</f>
        <v>8.8316880796950095</v>
      </c>
      <c r="H790" s="1">
        <f>M$24*Data__2[[#This Row],[Return Market]]*K$4</f>
        <v>9.2732724836797598</v>
      </c>
      <c r="I790" s="1"/>
      <c r="J790" s="1"/>
      <c r="K790" s="1"/>
      <c r="L790" s="1"/>
      <c r="M790" s="1"/>
    </row>
    <row r="791" spans="1:13">
      <c r="A791" s="1">
        <v>32.735309917701315</v>
      </c>
      <c r="B791" s="1">
        <v>24.478102929146033</v>
      </c>
      <c r="C791" s="1">
        <v>163.46867707917744</v>
      </c>
      <c r="D791" s="24">
        <f>Data__2[[#This Row],[Project_1]]/J$4</f>
        <v>0.2182353994513421</v>
      </c>
      <c r="E791" s="24">
        <f>Data__2[[#This Row],[Project_2]]/K$4</f>
        <v>0.16318735286097355</v>
      </c>
      <c r="F791" s="24">
        <f>Data__2[[#This Row],[Market]]/L$4</f>
        <v>0.16346867707917745</v>
      </c>
      <c r="G791" s="1">
        <f>L$24*Data__2[[#This Row],[Return Market]]*J$4</f>
        <v>9.0815931710654247</v>
      </c>
      <c r="H791" s="1">
        <f>M$24*Data__2[[#This Row],[Return Market]]*K$4</f>
        <v>9.5356728296186972</v>
      </c>
      <c r="I791" s="1"/>
      <c r="J791" s="1"/>
      <c r="K791" s="1"/>
      <c r="L791" s="1"/>
      <c r="M791" s="1"/>
    </row>
    <row r="792" spans="1:13">
      <c r="A792" s="1">
        <v>4.6057581974529613</v>
      </c>
      <c r="B792" s="1">
        <v>10.710844571961527</v>
      </c>
      <c r="C792" s="1">
        <v>211.53650806149898</v>
      </c>
      <c r="D792" s="24">
        <f>Data__2[[#This Row],[Project_1]]/J$4</f>
        <v>3.0705054649686408E-2</v>
      </c>
      <c r="E792" s="24">
        <f>Data__2[[#This Row],[Project_2]]/K$4</f>
        <v>7.1405630479743507E-2</v>
      </c>
      <c r="F792" s="24">
        <f>Data__2[[#This Row],[Market]]/L$4</f>
        <v>0.21153650806149898</v>
      </c>
      <c r="G792" s="1">
        <f>L$24*Data__2[[#This Row],[Return Market]]*J$4</f>
        <v>11.752028225638846</v>
      </c>
      <c r="H792" s="1">
        <f>M$24*Data__2[[#This Row],[Return Market]]*K$4</f>
        <v>12.33962963692079</v>
      </c>
      <c r="I792" s="1"/>
      <c r="J792" s="1"/>
      <c r="K792" s="1"/>
      <c r="L792" s="1"/>
      <c r="M792" s="1"/>
    </row>
    <row r="793" spans="1:13">
      <c r="A793" s="1">
        <v>17.239658134746804</v>
      </c>
      <c r="B793" s="1">
        <v>13.614637186985817</v>
      </c>
      <c r="C793" s="1">
        <v>160.95814345082835</v>
      </c>
      <c r="D793" s="24">
        <f>Data__2[[#This Row],[Project_1]]/J$4</f>
        <v>0.11493105423164536</v>
      </c>
      <c r="E793" s="24">
        <f>Data__2[[#This Row],[Project_2]]/K$4</f>
        <v>9.0764247913238782E-2</v>
      </c>
      <c r="F793" s="24">
        <f>Data__2[[#This Row],[Market]]/L$4</f>
        <v>0.16095814345082834</v>
      </c>
      <c r="G793" s="1">
        <f>L$24*Data__2[[#This Row],[Return Market]]*J$4</f>
        <v>8.9421190806015858</v>
      </c>
      <c r="H793" s="1">
        <f>M$24*Data__2[[#This Row],[Return Market]]*K$4</f>
        <v>9.3892250346316661</v>
      </c>
      <c r="I793" s="1"/>
      <c r="J793" s="1"/>
      <c r="K793" s="1"/>
      <c r="L793" s="1"/>
      <c r="M793" s="1"/>
    </row>
    <row r="794" spans="1:13">
      <c r="A794" s="1">
        <v>-2.0840488261728964</v>
      </c>
      <c r="B794" s="1">
        <v>-3.852952980304174</v>
      </c>
      <c r="C794" s="1">
        <v>189.09297803999374</v>
      </c>
      <c r="D794" s="24">
        <f>Data__2[[#This Row],[Project_1]]/J$4</f>
        <v>-1.3893658841152644E-2</v>
      </c>
      <c r="E794" s="24">
        <f>Data__2[[#This Row],[Project_2]]/K$4</f>
        <v>-2.5686353202027827E-2</v>
      </c>
      <c r="F794" s="24">
        <f>Data__2[[#This Row],[Market]]/L$4</f>
        <v>0.18909297803999373</v>
      </c>
      <c r="G794" s="1">
        <f>L$24*Data__2[[#This Row],[Return Market]]*J$4</f>
        <v>10.50516544666633</v>
      </c>
      <c r="H794" s="1">
        <f>M$24*Data__2[[#This Row],[Return Market]]*K$4</f>
        <v>11.030423718999648</v>
      </c>
      <c r="I794" s="1"/>
      <c r="J794" s="1"/>
      <c r="K794" s="1"/>
      <c r="L794" s="1"/>
      <c r="M794" s="1"/>
    </row>
    <row r="795" spans="1:13">
      <c r="A795" s="1">
        <v>1.3576910780761384</v>
      </c>
      <c r="B795" s="1">
        <v>-20.489968390491828</v>
      </c>
      <c r="C795" s="1">
        <v>-0.33729745062454697</v>
      </c>
      <c r="D795" s="24">
        <f>Data__2[[#This Row],[Project_1]]/J$4</f>
        <v>9.0512738538409236E-3</v>
      </c>
      <c r="E795" s="24">
        <f>Data__2[[#This Row],[Project_2]]/K$4</f>
        <v>-0.13659978926994551</v>
      </c>
      <c r="F795" s="24">
        <f>Data__2[[#This Row],[Market]]/L$4</f>
        <v>-3.3729745062454697E-4</v>
      </c>
      <c r="G795" s="1">
        <f>L$24*Data__2[[#This Row],[Return Market]]*J$4</f>
        <v>-1.8738747256919295E-2</v>
      </c>
      <c r="H795" s="1">
        <f>M$24*Data__2[[#This Row],[Return Market]]*K$4</f>
        <v>-1.9675684619765266E-2</v>
      </c>
      <c r="I795" s="1"/>
      <c r="J795" s="1"/>
      <c r="K795" s="1"/>
      <c r="L795" s="1"/>
      <c r="M795" s="1"/>
    </row>
    <row r="796" spans="1:13">
      <c r="A796" s="1">
        <v>38.494582263266629</v>
      </c>
      <c r="B796" s="1">
        <v>39.617385961984169</v>
      </c>
      <c r="C796" s="1">
        <v>67.476557254369979</v>
      </c>
      <c r="D796" s="24">
        <f>Data__2[[#This Row],[Project_1]]/J$4</f>
        <v>0.25663054842177752</v>
      </c>
      <c r="E796" s="24">
        <f>Data__2[[#This Row],[Project_2]]/K$4</f>
        <v>0.2641159064132278</v>
      </c>
      <c r="F796" s="24">
        <f>Data__2[[#This Row],[Market]]/L$4</f>
        <v>6.7476557254369976E-2</v>
      </c>
      <c r="G796" s="1">
        <f>L$24*Data__2[[#This Row],[Return Market]]*J$4</f>
        <v>3.7486976252427806</v>
      </c>
      <c r="H796" s="1">
        <f>M$24*Data__2[[#This Row],[Return Market]]*K$4</f>
        <v>3.9361325065049204</v>
      </c>
      <c r="I796" s="1"/>
      <c r="J796" s="1"/>
      <c r="K796" s="1"/>
      <c r="L796" s="1"/>
      <c r="M796" s="1"/>
    </row>
    <row r="797" spans="1:13">
      <c r="A797" s="1">
        <v>38.12937560325836</v>
      </c>
      <c r="B797" s="1">
        <v>0.19781428870023632</v>
      </c>
      <c r="C797" s="1">
        <v>176.12863541477614</v>
      </c>
      <c r="D797" s="24">
        <f>Data__2[[#This Row],[Project_1]]/J$4</f>
        <v>0.25419583735505574</v>
      </c>
      <c r="E797" s="24">
        <f>Data__2[[#This Row],[Project_2]]/K$4</f>
        <v>1.318761924668242E-3</v>
      </c>
      <c r="F797" s="24">
        <f>Data__2[[#This Row],[Market]]/L$4</f>
        <v>0.17612863541477614</v>
      </c>
      <c r="G797" s="1">
        <f>L$24*Data__2[[#This Row],[Return Market]]*J$4</f>
        <v>9.7849241897097965</v>
      </c>
      <c r="H797" s="1">
        <f>M$24*Data__2[[#This Row],[Return Market]]*K$4</f>
        <v>10.274170399195288</v>
      </c>
      <c r="I797" s="1"/>
      <c r="J797" s="1"/>
      <c r="K797" s="1"/>
      <c r="L797" s="1"/>
      <c r="M797" s="1"/>
    </row>
    <row r="798" spans="1:13">
      <c r="A798" s="1">
        <v>7.6162569784745262</v>
      </c>
      <c r="B798" s="1">
        <v>15.150196153605103</v>
      </c>
      <c r="C798" s="1">
        <v>160.30648421219598</v>
      </c>
      <c r="D798" s="24">
        <f>Data__2[[#This Row],[Project_1]]/J$4</f>
        <v>5.077504652316351E-2</v>
      </c>
      <c r="E798" s="24">
        <f>Data__2[[#This Row],[Project_2]]/K$4</f>
        <v>0.10100130769070069</v>
      </c>
      <c r="F798" s="24">
        <f>Data__2[[#This Row],[Market]]/L$4</f>
        <v>0.16030648421219598</v>
      </c>
      <c r="G798" s="1">
        <f>L$24*Data__2[[#This Row],[Return Market]]*J$4</f>
        <v>8.9059157895664534</v>
      </c>
      <c r="H798" s="1">
        <f>M$24*Data__2[[#This Row],[Return Market]]*K$4</f>
        <v>9.3512115790447776</v>
      </c>
      <c r="I798" s="1"/>
      <c r="J798" s="1"/>
      <c r="K798" s="1"/>
      <c r="L798" s="1"/>
      <c r="M798" s="1"/>
    </row>
    <row r="799" spans="1:13">
      <c r="A799" s="1">
        <v>-12.26442412064246</v>
      </c>
      <c r="B799" s="1">
        <v>-10.267697506361888</v>
      </c>
      <c r="C799" s="1">
        <v>-155.93343415671129</v>
      </c>
      <c r="D799" s="24">
        <f>Data__2[[#This Row],[Project_1]]/J$4</f>
        <v>-8.1762827470949734E-2</v>
      </c>
      <c r="E799" s="24">
        <f>Data__2[[#This Row],[Project_2]]/K$4</f>
        <v>-6.8451316709079252E-2</v>
      </c>
      <c r="F799" s="24">
        <f>Data__2[[#This Row],[Market]]/L$4</f>
        <v>-0.15593343415671129</v>
      </c>
      <c r="G799" s="1">
        <f>L$24*Data__2[[#This Row],[Return Market]]*J$4</f>
        <v>-8.6629685642617478</v>
      </c>
      <c r="H799" s="1">
        <f>M$24*Data__2[[#This Row],[Return Market]]*K$4</f>
        <v>-9.0961169924748368</v>
      </c>
      <c r="I799" s="1"/>
      <c r="J799" s="1"/>
      <c r="K799" s="1"/>
      <c r="L799" s="1"/>
      <c r="M799" s="1"/>
    </row>
    <row r="800" spans="1:13">
      <c r="A800" s="1">
        <v>35.114139959227508</v>
      </c>
      <c r="B800" s="1">
        <v>40.759010911380713</v>
      </c>
      <c r="C800" s="1">
        <v>610.87886700881131</v>
      </c>
      <c r="D800" s="24">
        <f>Data__2[[#This Row],[Project_1]]/J$4</f>
        <v>0.23409426639485006</v>
      </c>
      <c r="E800" s="24">
        <f>Data__2[[#This Row],[Project_2]]/K$4</f>
        <v>0.27172673940920478</v>
      </c>
      <c r="F800" s="24">
        <f>Data__2[[#This Row],[Market]]/L$4</f>
        <v>0.61087886700881133</v>
      </c>
      <c r="G800" s="1">
        <f>L$24*Data__2[[#This Row],[Return Market]]*J$4</f>
        <v>33.937714833822888</v>
      </c>
      <c r="H800" s="1">
        <f>M$24*Data__2[[#This Row],[Return Market]]*K$4</f>
        <v>35.634600575514042</v>
      </c>
      <c r="I800" s="1"/>
      <c r="J800" s="1"/>
      <c r="K800" s="1"/>
      <c r="L800" s="1"/>
      <c r="M800" s="1"/>
    </row>
    <row r="801" spans="1:13">
      <c r="A801" s="1">
        <v>-19.60125277356439</v>
      </c>
      <c r="B801" s="1">
        <v>-31.356483030722671</v>
      </c>
      <c r="C801" s="1">
        <v>-63.31499466347671</v>
      </c>
      <c r="D801" s="24">
        <f>Data__2[[#This Row],[Project_1]]/J$4</f>
        <v>-0.13067501849042926</v>
      </c>
      <c r="E801" s="24">
        <f>Data__2[[#This Row],[Project_2]]/K$4</f>
        <v>-0.2090432202048178</v>
      </c>
      <c r="F801" s="24">
        <f>Data__2[[#This Row],[Market]]/L$4</f>
        <v>-6.3314994663476704E-2</v>
      </c>
      <c r="G801" s="1">
        <f>L$24*Data__2[[#This Row],[Return Market]]*J$4</f>
        <v>-3.5174997035264872</v>
      </c>
      <c r="H801" s="1">
        <f>M$24*Data__2[[#This Row],[Return Market]]*K$4</f>
        <v>-3.6933746887028125</v>
      </c>
      <c r="I801" s="1"/>
      <c r="J801" s="1"/>
      <c r="K801" s="1"/>
      <c r="L801" s="1"/>
      <c r="M801" s="1"/>
    </row>
    <row r="802" spans="1:13">
      <c r="A802" s="1">
        <v>-3.1916932487588063</v>
      </c>
      <c r="B802" s="1">
        <v>7.2711839918973951</v>
      </c>
      <c r="C802" s="1">
        <v>128.28787307405605</v>
      </c>
      <c r="D802" s="24">
        <f>Data__2[[#This Row],[Project_1]]/J$4</f>
        <v>-2.1277954991725377E-2</v>
      </c>
      <c r="E802" s="24">
        <f>Data__2[[#This Row],[Project_2]]/K$4</f>
        <v>4.8474559945982633E-2</v>
      </c>
      <c r="F802" s="24">
        <f>Data__2[[#This Row],[Market]]/L$4</f>
        <v>0.12828787307405606</v>
      </c>
      <c r="G802" s="1">
        <f>L$24*Data__2[[#This Row],[Return Market]]*J$4</f>
        <v>7.1271040596697892</v>
      </c>
      <c r="H802" s="1">
        <f>M$24*Data__2[[#This Row],[Return Market]]*K$4</f>
        <v>7.4834592626532794</v>
      </c>
      <c r="I802" s="1"/>
      <c r="J802" s="1"/>
      <c r="K802" s="1"/>
      <c r="L802" s="1"/>
      <c r="M802" s="1"/>
    </row>
    <row r="803" spans="1:13">
      <c r="A803" s="1">
        <v>1.3426872564918035</v>
      </c>
      <c r="B803" s="1">
        <v>-7.5072635189498058</v>
      </c>
      <c r="C803" s="1">
        <v>52.417039221076728</v>
      </c>
      <c r="D803" s="24">
        <f>Data__2[[#This Row],[Project_1]]/J$4</f>
        <v>8.951248376612023E-3</v>
      </c>
      <c r="E803" s="24">
        <f>Data__2[[#This Row],[Project_2]]/K$4</f>
        <v>-5.004842345966537E-2</v>
      </c>
      <c r="F803" s="24">
        <f>Data__2[[#This Row],[Market]]/L$4</f>
        <v>5.2417039221076725E-2</v>
      </c>
      <c r="G803" s="1">
        <f>L$24*Data__2[[#This Row],[Return Market]]*J$4</f>
        <v>2.9120577345042657</v>
      </c>
      <c r="H803" s="1">
        <f>M$24*Data__2[[#This Row],[Return Market]]*K$4</f>
        <v>3.0576606212294792</v>
      </c>
      <c r="I803" s="1"/>
      <c r="J803" s="1"/>
      <c r="K803" s="1"/>
      <c r="L803" s="1"/>
      <c r="M803" s="1"/>
    </row>
    <row r="804" spans="1:13">
      <c r="A804" s="1">
        <v>-16.041630360550954</v>
      </c>
      <c r="B804" s="1">
        <v>12.846287811061121</v>
      </c>
      <c r="C804" s="1">
        <v>213.99741287701258</v>
      </c>
      <c r="D804" s="24">
        <f>Data__2[[#This Row],[Project_1]]/J$4</f>
        <v>-0.10694420240367303</v>
      </c>
      <c r="E804" s="24">
        <f>Data__2[[#This Row],[Project_2]]/K$4</f>
        <v>8.5641918740407469E-2</v>
      </c>
      <c r="F804" s="24">
        <f>Data__2[[#This Row],[Market]]/L$4</f>
        <v>0.21399741287701257</v>
      </c>
      <c r="G804" s="1">
        <f>L$24*Data__2[[#This Row],[Return Market]]*J$4</f>
        <v>11.888745159834045</v>
      </c>
      <c r="H804" s="1">
        <f>M$24*Data__2[[#This Row],[Return Market]]*K$4</f>
        <v>12.483182417825748</v>
      </c>
      <c r="I804" s="1"/>
      <c r="J804" s="1"/>
      <c r="K804" s="1"/>
      <c r="L804" s="1"/>
      <c r="M804" s="1"/>
    </row>
    <row r="805" spans="1:13">
      <c r="A805" s="1">
        <v>24.626420589339659</v>
      </c>
      <c r="B805" s="1">
        <v>8.8009013928492585</v>
      </c>
      <c r="C805" s="1">
        <v>158.73853540948176</v>
      </c>
      <c r="D805" s="24">
        <f>Data__2[[#This Row],[Project_1]]/J$4</f>
        <v>0.1641761372622644</v>
      </c>
      <c r="E805" s="24">
        <f>Data__2[[#This Row],[Project_2]]/K$4</f>
        <v>5.867267595232839E-2</v>
      </c>
      <c r="F805" s="24">
        <f>Data__2[[#This Row],[Market]]/L$4</f>
        <v>0.15873853540948177</v>
      </c>
      <c r="G805" s="1">
        <f>L$24*Data__2[[#This Row],[Return Market]]*J$4</f>
        <v>8.8188075227489975</v>
      </c>
      <c r="H805" s="1">
        <f>M$24*Data__2[[#This Row],[Return Market]]*K$4</f>
        <v>9.2597478988864488</v>
      </c>
      <c r="I805" s="1"/>
      <c r="J805" s="1"/>
      <c r="K805" s="1"/>
      <c r="L805" s="1"/>
      <c r="M805" s="1"/>
    </row>
    <row r="806" spans="1:13">
      <c r="A806" s="1">
        <v>-30.952544189150757</v>
      </c>
      <c r="B806" s="1">
        <v>-4.2999465526574596</v>
      </c>
      <c r="C806" s="1">
        <v>-86.546428520387877</v>
      </c>
      <c r="D806" s="24">
        <f>Data__2[[#This Row],[Project_1]]/J$4</f>
        <v>-0.20635029459433837</v>
      </c>
      <c r="E806" s="24">
        <f>Data__2[[#This Row],[Project_2]]/K$4</f>
        <v>-2.8666310351049731E-2</v>
      </c>
      <c r="F806" s="24">
        <f>Data__2[[#This Row],[Market]]/L$4</f>
        <v>-8.654642852038788E-2</v>
      </c>
      <c r="G806" s="1">
        <f>L$24*Data__2[[#This Row],[Return Market]]*J$4</f>
        <v>-4.8081349177993324</v>
      </c>
      <c r="H806" s="1">
        <f>M$24*Data__2[[#This Row],[Return Market]]*K$4</f>
        <v>-5.0485416636893001</v>
      </c>
      <c r="I806" s="1"/>
      <c r="J806" s="1"/>
      <c r="K806" s="1"/>
      <c r="L806" s="1"/>
      <c r="M806" s="1"/>
    </row>
    <row r="807" spans="1:13">
      <c r="A807" s="1">
        <v>5.1019965305792239</v>
      </c>
      <c r="B807" s="1">
        <v>-8.3055141952851024</v>
      </c>
      <c r="C807" s="1">
        <v>-137.07170108312977</v>
      </c>
      <c r="D807" s="24">
        <f>Data__2[[#This Row],[Project_1]]/J$4</f>
        <v>3.4013310203861495E-2</v>
      </c>
      <c r="E807" s="24">
        <f>Data__2[[#This Row],[Project_2]]/K$4</f>
        <v>-5.5370094635234013E-2</v>
      </c>
      <c r="F807" s="24">
        <f>Data__2[[#This Row],[Market]]/L$4</f>
        <v>-0.13707170108312977</v>
      </c>
      <c r="G807" s="1">
        <f>L$24*Data__2[[#This Row],[Return Market]]*J$4</f>
        <v>-7.6150945046183294</v>
      </c>
      <c r="H807" s="1">
        <f>M$24*Data__2[[#This Row],[Return Market]]*K$4</f>
        <v>-7.995849229849247</v>
      </c>
      <c r="I807" s="1"/>
      <c r="J807" s="1"/>
      <c r="K807" s="1"/>
      <c r="L807" s="1"/>
      <c r="M807" s="1"/>
    </row>
    <row r="808" spans="1:13">
      <c r="A808" s="1">
        <v>2.4827749800328789</v>
      </c>
      <c r="B808" s="1">
        <v>25.990034277145281</v>
      </c>
      <c r="C808" s="1">
        <v>413.18668401733458</v>
      </c>
      <c r="D808" s="24">
        <f>Data__2[[#This Row],[Project_1]]/J$4</f>
        <v>1.6551833200219194E-2</v>
      </c>
      <c r="E808" s="24">
        <f>Data__2[[#This Row],[Project_2]]/K$4</f>
        <v>0.17326689518096855</v>
      </c>
      <c r="F808" s="24">
        <f>Data__2[[#This Row],[Market]]/L$4</f>
        <v>0.4131866840173346</v>
      </c>
      <c r="G808" s="1">
        <f>L$24*Data__2[[#This Row],[Return Market]]*J$4</f>
        <v>22.954815778740841</v>
      </c>
      <c r="H808" s="1">
        <f>M$24*Data__2[[#This Row],[Return Market]]*K$4</f>
        <v>24.102556567677887</v>
      </c>
      <c r="I808" s="1"/>
      <c r="J808" s="1"/>
      <c r="K808" s="1"/>
      <c r="L808" s="1"/>
      <c r="M808" s="1"/>
    </row>
    <row r="809" spans="1:13">
      <c r="A809" s="1">
        <v>-15.623337336345095</v>
      </c>
      <c r="B809" s="1">
        <v>-10.894623679163992</v>
      </c>
      <c r="C809" s="1">
        <v>-90.11946000005571</v>
      </c>
      <c r="D809" s="24">
        <f>Data__2[[#This Row],[Project_1]]/J$4</f>
        <v>-0.10415558224230063</v>
      </c>
      <c r="E809" s="24">
        <f>Data__2[[#This Row],[Project_2]]/K$4</f>
        <v>-7.2630824527759943E-2</v>
      </c>
      <c r="F809" s="24">
        <f>Data__2[[#This Row],[Market]]/L$4</f>
        <v>-9.0119460000055704E-2</v>
      </c>
      <c r="G809" s="1">
        <f>L$24*Data__2[[#This Row],[Return Market]]*J$4</f>
        <v>-5.0066366666697677</v>
      </c>
      <c r="H809" s="1">
        <f>M$24*Data__2[[#This Row],[Return Market]]*K$4</f>
        <v>-5.2569685000032562</v>
      </c>
      <c r="I809" s="1"/>
      <c r="J809" s="1"/>
      <c r="K809" s="1"/>
      <c r="L809" s="1"/>
      <c r="M809" s="1"/>
    </row>
    <row r="810" spans="1:13">
      <c r="A810" s="1">
        <v>-15.162354772366488</v>
      </c>
      <c r="B810" s="1">
        <v>9.6460668493978829E-2</v>
      </c>
      <c r="C810" s="1">
        <v>45.450817182113518</v>
      </c>
      <c r="D810" s="24">
        <f>Data__2[[#This Row],[Project_1]]/J$4</f>
        <v>-0.10108236514910991</v>
      </c>
      <c r="E810" s="24">
        <f>Data__2[[#This Row],[Project_2]]/K$4</f>
        <v>6.4307112329319222E-4</v>
      </c>
      <c r="F810" s="24">
        <f>Data__2[[#This Row],[Market]]/L$4</f>
        <v>4.5450817182113516E-2</v>
      </c>
      <c r="G810" s="1">
        <f>L$24*Data__2[[#This Row],[Return Market]]*J$4</f>
        <v>2.5250453990063093</v>
      </c>
      <c r="H810" s="1">
        <f>M$24*Data__2[[#This Row],[Return Market]]*K$4</f>
        <v>2.6512976689566252</v>
      </c>
      <c r="I810" s="1"/>
      <c r="J810" s="1"/>
      <c r="K810" s="1"/>
      <c r="L810" s="1"/>
      <c r="M810" s="1"/>
    </row>
    <row r="811" spans="1:13">
      <c r="A811" s="1">
        <v>20.623323274853277</v>
      </c>
      <c r="B811" s="1">
        <v>5.9605717982920581E-2</v>
      </c>
      <c r="C811" s="1">
        <v>73.203009605020981</v>
      </c>
      <c r="D811" s="24">
        <f>Data__2[[#This Row],[Project_1]]/J$4</f>
        <v>0.13748882183235517</v>
      </c>
      <c r="E811" s="24">
        <f>Data__2[[#This Row],[Project_2]]/K$4</f>
        <v>3.9737145321947051E-4</v>
      </c>
      <c r="F811" s="24">
        <f>Data__2[[#This Row],[Market]]/L$4</f>
        <v>7.3203009605020977E-2</v>
      </c>
      <c r="G811" s="1">
        <f>L$24*Data__2[[#This Row],[Return Market]]*J$4</f>
        <v>4.0668338669456148</v>
      </c>
      <c r="H811" s="1">
        <f>M$24*Data__2[[#This Row],[Return Market]]*K$4</f>
        <v>4.2701755602928957</v>
      </c>
      <c r="I811" s="1"/>
      <c r="J811" s="1"/>
      <c r="K811" s="1"/>
      <c r="L811" s="1"/>
      <c r="M811" s="1"/>
    </row>
    <row r="812" spans="1:13">
      <c r="A812" s="1">
        <v>-1.0687052081980521</v>
      </c>
      <c r="B812" s="1">
        <v>-14.235441681544806</v>
      </c>
      <c r="C812" s="1">
        <v>-145.81282688411696</v>
      </c>
      <c r="D812" s="24">
        <f>Data__2[[#This Row],[Project_1]]/J$4</f>
        <v>-7.1247013879870147E-3</v>
      </c>
      <c r="E812" s="24">
        <f>Data__2[[#This Row],[Project_2]]/K$4</f>
        <v>-9.4902944543632045E-2</v>
      </c>
      <c r="F812" s="24">
        <f>Data__2[[#This Row],[Market]]/L$4</f>
        <v>-0.14581282688411695</v>
      </c>
      <c r="G812" s="1">
        <f>L$24*Data__2[[#This Row],[Return Market]]*J$4</f>
        <v>-8.1007126046731734</v>
      </c>
      <c r="H812" s="1">
        <f>M$24*Data__2[[#This Row],[Return Market]]*K$4</f>
        <v>-8.5057482349068341</v>
      </c>
      <c r="I812" s="1"/>
      <c r="J812" s="1"/>
      <c r="K812" s="1"/>
      <c r="L812" s="1"/>
      <c r="M812" s="1"/>
    </row>
    <row r="813" spans="1:13">
      <c r="A813" s="1">
        <v>-28.825494368058102</v>
      </c>
      <c r="B813" s="1">
        <v>-7.0957195288920794</v>
      </c>
      <c r="C813" s="1">
        <v>51.866369795666472</v>
      </c>
      <c r="D813" s="24">
        <f>Data__2[[#This Row],[Project_1]]/J$4</f>
        <v>-0.19216996245372067</v>
      </c>
      <c r="E813" s="24">
        <f>Data__2[[#This Row],[Project_2]]/K$4</f>
        <v>-4.7304796859280532E-2</v>
      </c>
      <c r="F813" s="24">
        <f>Data__2[[#This Row],[Market]]/L$4</f>
        <v>5.1866369795666473E-2</v>
      </c>
      <c r="G813" s="1">
        <f>L$24*Data__2[[#This Row],[Return Market]]*J$4</f>
        <v>2.8814649886481409</v>
      </c>
      <c r="H813" s="1">
        <f>M$24*Data__2[[#This Row],[Return Market]]*K$4</f>
        <v>3.0255382380805482</v>
      </c>
      <c r="I813" s="1"/>
      <c r="J813" s="1"/>
      <c r="K813" s="1"/>
      <c r="L813" s="1"/>
      <c r="M813" s="1"/>
    </row>
    <row r="814" spans="1:13">
      <c r="A814" s="1">
        <v>12.187481223644909</v>
      </c>
      <c r="B814" s="1">
        <v>12.550370883646664</v>
      </c>
      <c r="C814" s="1">
        <v>183.45570192562911</v>
      </c>
      <c r="D814" s="24">
        <f>Data__2[[#This Row],[Project_1]]/J$4</f>
        <v>8.1249874824299392E-2</v>
      </c>
      <c r="E814" s="24">
        <f>Data__2[[#This Row],[Project_2]]/K$4</f>
        <v>8.3669139224311101E-2</v>
      </c>
      <c r="F814" s="24">
        <f>Data__2[[#This Row],[Market]]/L$4</f>
        <v>0.18345570192562913</v>
      </c>
      <c r="G814" s="1">
        <f>L$24*Data__2[[#This Row],[Return Market]]*J$4</f>
        <v>10.191983440312741</v>
      </c>
      <c r="H814" s="1">
        <f>M$24*Data__2[[#This Row],[Return Market]]*K$4</f>
        <v>10.70158261232838</v>
      </c>
      <c r="I814" s="1"/>
      <c r="J814" s="1"/>
      <c r="K814" s="1"/>
      <c r="L814" s="1"/>
      <c r="M814" s="1"/>
    </row>
    <row r="815" spans="1:13">
      <c r="A815" s="1">
        <v>11.632713670809602</v>
      </c>
      <c r="B815" s="1">
        <v>26.824512345310843</v>
      </c>
      <c r="C815" s="1">
        <v>243.78010746864121</v>
      </c>
      <c r="D815" s="24">
        <f>Data__2[[#This Row],[Project_1]]/J$4</f>
        <v>7.7551424472064021E-2</v>
      </c>
      <c r="E815" s="24">
        <f>Data__2[[#This Row],[Project_2]]/K$4</f>
        <v>0.17883008230207229</v>
      </c>
      <c r="F815" s="24">
        <f>Data__2[[#This Row],[Market]]/L$4</f>
        <v>0.24378010746864121</v>
      </c>
      <c r="G815" s="1">
        <f>L$24*Data__2[[#This Row],[Return Market]]*J$4</f>
        <v>13.543339303813415</v>
      </c>
      <c r="H815" s="1">
        <f>M$24*Data__2[[#This Row],[Return Market]]*K$4</f>
        <v>14.220506269004089</v>
      </c>
      <c r="I815" s="1"/>
      <c r="J815" s="1"/>
      <c r="K815" s="1"/>
      <c r="L815" s="1"/>
      <c r="M815" s="1"/>
    </row>
    <row r="816" spans="1:13">
      <c r="A816" s="1">
        <v>21.997470023706676</v>
      </c>
      <c r="B816" s="1">
        <v>18.238106909890924</v>
      </c>
      <c r="C816" s="1">
        <v>213.90178371618592</v>
      </c>
      <c r="D816" s="24">
        <f>Data__2[[#This Row],[Project_1]]/J$4</f>
        <v>0.14664980015804449</v>
      </c>
      <c r="E816" s="24">
        <f>Data__2[[#This Row],[Project_2]]/K$4</f>
        <v>0.12158737939927282</v>
      </c>
      <c r="F816" s="24">
        <f>Data__2[[#This Row],[Market]]/L$4</f>
        <v>0.21390178371618593</v>
      </c>
      <c r="G816" s="1">
        <f>L$24*Data__2[[#This Row],[Return Market]]*J$4</f>
        <v>11.883432428677009</v>
      </c>
      <c r="H816" s="1">
        <f>M$24*Data__2[[#This Row],[Return Market]]*K$4</f>
        <v>12.477604050110862</v>
      </c>
      <c r="I816" s="1"/>
      <c r="J816" s="1"/>
      <c r="K816" s="1"/>
      <c r="L816" s="1"/>
      <c r="M816" s="1"/>
    </row>
    <row r="817" spans="1:13">
      <c r="A817" s="1">
        <v>-0.11264550166543508</v>
      </c>
      <c r="B817" s="1">
        <v>-3.4856154435560107</v>
      </c>
      <c r="C817" s="1">
        <v>263.9457139237345</v>
      </c>
      <c r="D817" s="24">
        <f>Data__2[[#This Row],[Project_1]]/J$4</f>
        <v>-7.509700111029005E-4</v>
      </c>
      <c r="E817" s="24">
        <f>Data__2[[#This Row],[Project_2]]/K$4</f>
        <v>-2.3237436290373406E-2</v>
      </c>
      <c r="F817" s="24">
        <f>Data__2[[#This Row],[Market]]/L$4</f>
        <v>0.2639457139237345</v>
      </c>
      <c r="G817" s="1">
        <f>L$24*Data__2[[#This Row],[Return Market]]*J$4</f>
        <v>14.663650773540821</v>
      </c>
      <c r="H817" s="1">
        <f>M$24*Data__2[[#This Row],[Return Market]]*K$4</f>
        <v>15.396833312217867</v>
      </c>
      <c r="I817" s="1"/>
      <c r="J817" s="1"/>
      <c r="K817" s="1"/>
      <c r="L817" s="1"/>
      <c r="M817" s="1"/>
    </row>
    <row r="818" spans="1:13">
      <c r="A818" s="1">
        <v>-1.8471799538569336</v>
      </c>
      <c r="B818" s="1">
        <v>26.212291329054324</v>
      </c>
      <c r="C818" s="1">
        <v>272.61469695987137</v>
      </c>
      <c r="D818" s="24">
        <f>Data__2[[#This Row],[Project_1]]/J$4</f>
        <v>-1.2314533025712891E-2</v>
      </c>
      <c r="E818" s="24">
        <f>Data__2[[#This Row],[Project_2]]/K$4</f>
        <v>0.17474860886036217</v>
      </c>
      <c r="F818" s="24">
        <f>Data__2[[#This Row],[Market]]/L$4</f>
        <v>0.27261469695987139</v>
      </c>
      <c r="G818" s="1">
        <f>L$24*Data__2[[#This Row],[Return Market]]*J$4</f>
        <v>15.145260942215096</v>
      </c>
      <c r="H818" s="1">
        <f>M$24*Data__2[[#This Row],[Return Market]]*K$4</f>
        <v>15.902523989325852</v>
      </c>
      <c r="I818" s="1"/>
      <c r="J818" s="1"/>
      <c r="K818" s="1"/>
      <c r="L818" s="1"/>
      <c r="M818" s="1"/>
    </row>
    <row r="819" spans="1:13">
      <c r="A819" s="1">
        <v>-4.9339995422793734</v>
      </c>
      <c r="B819" s="1">
        <v>-4.9739586389046906</v>
      </c>
      <c r="C819" s="1">
        <v>-97.400172305893648</v>
      </c>
      <c r="D819" s="24">
        <f>Data__2[[#This Row],[Project_1]]/J$4</f>
        <v>-3.289333028186249E-2</v>
      </c>
      <c r="E819" s="24">
        <f>Data__2[[#This Row],[Project_2]]/K$4</f>
        <v>-3.3159724259364601E-2</v>
      </c>
      <c r="F819" s="24">
        <f>Data__2[[#This Row],[Market]]/L$4</f>
        <v>-9.7400172305893651E-2</v>
      </c>
      <c r="G819" s="1">
        <f>L$24*Data__2[[#This Row],[Return Market]]*J$4</f>
        <v>-5.4111206836607648</v>
      </c>
      <c r="H819" s="1">
        <f>M$24*Data__2[[#This Row],[Return Market]]*K$4</f>
        <v>-5.6816767178438035</v>
      </c>
      <c r="I819" s="1"/>
      <c r="J819" s="1"/>
      <c r="K819" s="1"/>
      <c r="L819" s="1"/>
      <c r="M819" s="1"/>
    </row>
    <row r="820" spans="1:13">
      <c r="A820" s="1">
        <v>-14.959715294673874</v>
      </c>
      <c r="B820" s="1">
        <v>-5.9025175536148033</v>
      </c>
      <c r="C820" s="1">
        <v>-146.13724667142895</v>
      </c>
      <c r="D820" s="24">
        <f>Data__2[[#This Row],[Project_1]]/J$4</f>
        <v>-9.9731435297825827E-2</v>
      </c>
      <c r="E820" s="24">
        <f>Data__2[[#This Row],[Project_2]]/K$4</f>
        <v>-3.9350117024098692E-2</v>
      </c>
      <c r="F820" s="24">
        <f>Data__2[[#This Row],[Market]]/L$4</f>
        <v>-0.14613724667142897</v>
      </c>
      <c r="G820" s="1">
        <f>L$24*Data__2[[#This Row],[Return Market]]*J$4</f>
        <v>-8.1187359261905065</v>
      </c>
      <c r="H820" s="1">
        <f>M$24*Data__2[[#This Row],[Return Market]]*K$4</f>
        <v>-8.5246727225000338</v>
      </c>
      <c r="I820" s="1"/>
      <c r="J820" s="1"/>
      <c r="K820" s="1"/>
      <c r="L820" s="1"/>
      <c r="M820" s="1"/>
    </row>
    <row r="821" spans="1:13">
      <c r="A821" s="1">
        <v>6.9042724675363543</v>
      </c>
      <c r="B821" s="1">
        <v>-0.81319659652050191</v>
      </c>
      <c r="C821" s="1">
        <v>-211.76279737386028</v>
      </c>
      <c r="D821" s="24">
        <f>Data__2[[#This Row],[Project_1]]/J$4</f>
        <v>4.6028483116909026E-2</v>
      </c>
      <c r="E821" s="24">
        <f>Data__2[[#This Row],[Project_2]]/K$4</f>
        <v>-5.4213106434700129E-3</v>
      </c>
      <c r="F821" s="24">
        <f>Data__2[[#This Row],[Market]]/L$4</f>
        <v>-0.21176279737386028</v>
      </c>
      <c r="G821" s="1">
        <f>L$24*Data__2[[#This Row],[Return Market]]*J$4</f>
        <v>-11.764599854103363</v>
      </c>
      <c r="H821" s="1">
        <f>M$24*Data__2[[#This Row],[Return Market]]*K$4</f>
        <v>-12.352829846808532</v>
      </c>
      <c r="I821" s="1"/>
      <c r="J821" s="1"/>
      <c r="K821" s="1"/>
      <c r="L821" s="1"/>
      <c r="M821" s="1"/>
    </row>
    <row r="822" spans="1:13">
      <c r="A822" s="1">
        <v>-28.730786797325294</v>
      </c>
      <c r="B822" s="1">
        <v>14.835251682831794</v>
      </c>
      <c r="C822" s="1">
        <v>189.03505448039539</v>
      </c>
      <c r="D822" s="24">
        <f>Data__2[[#This Row],[Project_1]]/J$4</f>
        <v>-0.19153857864883531</v>
      </c>
      <c r="E822" s="24">
        <f>Data__2[[#This Row],[Project_2]]/K$4</f>
        <v>9.8901677885545297E-2</v>
      </c>
      <c r="F822" s="24">
        <f>Data__2[[#This Row],[Market]]/L$4</f>
        <v>0.1890350544803954</v>
      </c>
      <c r="G822" s="1">
        <f>L$24*Data__2[[#This Row],[Return Market]]*J$4</f>
        <v>10.501947471133089</v>
      </c>
      <c r="H822" s="1">
        <f>M$24*Data__2[[#This Row],[Return Market]]*K$4</f>
        <v>11.027044844689746</v>
      </c>
      <c r="I822" s="1"/>
      <c r="J822" s="1"/>
      <c r="K822" s="1"/>
      <c r="L822" s="1"/>
      <c r="M822" s="1"/>
    </row>
    <row r="823" spans="1:13">
      <c r="A823" s="1">
        <v>3.6485661423415552</v>
      </c>
      <c r="B823" s="1">
        <v>15.846767884650983</v>
      </c>
      <c r="C823" s="1">
        <v>323.31245675191144</v>
      </c>
      <c r="D823" s="24">
        <f>Data__2[[#This Row],[Project_1]]/J$4</f>
        <v>2.4323774282277034E-2</v>
      </c>
      <c r="E823" s="24">
        <f>Data__2[[#This Row],[Project_2]]/K$4</f>
        <v>0.10564511923100656</v>
      </c>
      <c r="F823" s="24">
        <f>Data__2[[#This Row],[Market]]/L$4</f>
        <v>0.32331245675191145</v>
      </c>
      <c r="G823" s="1">
        <f>L$24*Data__2[[#This Row],[Return Market]]*J$4</f>
        <v>17.961803152883991</v>
      </c>
      <c r="H823" s="1">
        <f>M$24*Data__2[[#This Row],[Return Market]]*K$4</f>
        <v>18.859893310528193</v>
      </c>
      <c r="I823" s="1"/>
      <c r="J823" s="1"/>
      <c r="K823" s="1"/>
      <c r="L823" s="1"/>
      <c r="M823" s="1"/>
    </row>
    <row r="824" spans="1:13">
      <c r="A824" s="1">
        <v>3.3708051197235767</v>
      </c>
      <c r="B824" s="1">
        <v>-8.3079693198741893</v>
      </c>
      <c r="C824" s="1">
        <v>-316.28356804883907</v>
      </c>
      <c r="D824" s="24">
        <f>Data__2[[#This Row],[Project_1]]/J$4</f>
        <v>2.2472034131490511E-2</v>
      </c>
      <c r="E824" s="24">
        <f>Data__2[[#This Row],[Project_2]]/K$4</f>
        <v>-5.5386462132494596E-2</v>
      </c>
      <c r="F824" s="24">
        <f>Data__2[[#This Row],[Market]]/L$4</f>
        <v>-0.31628356804883906</v>
      </c>
      <c r="G824" s="1">
        <f>L$24*Data__2[[#This Row],[Return Market]]*J$4</f>
        <v>-17.571309336046635</v>
      </c>
      <c r="H824" s="1">
        <f>M$24*Data__2[[#This Row],[Return Market]]*K$4</f>
        <v>-18.449874802848971</v>
      </c>
      <c r="I824" s="1"/>
      <c r="J824" s="1"/>
      <c r="K824" s="1"/>
      <c r="L824" s="1"/>
      <c r="M824" s="1"/>
    </row>
    <row r="825" spans="1:13">
      <c r="A825" s="1">
        <v>-3.3271344138838597</v>
      </c>
      <c r="B825" s="1">
        <v>-6.3642962443380426</v>
      </c>
      <c r="C825" s="1">
        <v>-148.60108117730854</v>
      </c>
      <c r="D825" s="24">
        <f>Data__2[[#This Row],[Project_1]]/J$4</f>
        <v>-2.2180896092559063E-2</v>
      </c>
      <c r="E825" s="24">
        <f>Data__2[[#This Row],[Project_2]]/K$4</f>
        <v>-4.2428641628920287E-2</v>
      </c>
      <c r="F825" s="24">
        <f>Data__2[[#This Row],[Market]]/L$4</f>
        <v>-0.14860108117730855</v>
      </c>
      <c r="G825" s="1">
        <f>L$24*Data__2[[#This Row],[Return Market]]*J$4</f>
        <v>-8.2556156209615956</v>
      </c>
      <c r="H825" s="1">
        <f>M$24*Data__2[[#This Row],[Return Market]]*K$4</f>
        <v>-8.6683964020096766</v>
      </c>
      <c r="I825" s="1"/>
      <c r="J825" s="1"/>
      <c r="K825" s="1"/>
      <c r="L825" s="1"/>
      <c r="M825" s="1"/>
    </row>
    <row r="826" spans="1:13">
      <c r="A826" s="1">
        <v>-9.2142615884111656</v>
      </c>
      <c r="B826" s="1">
        <v>-2.8309857299433148</v>
      </c>
      <c r="C826" s="1">
        <v>131.39578809373904</v>
      </c>
      <c r="D826" s="24">
        <f>Data__2[[#This Row],[Project_1]]/J$4</f>
        <v>-6.1428410589407768E-2</v>
      </c>
      <c r="E826" s="24">
        <f>Data__2[[#This Row],[Project_2]]/K$4</f>
        <v>-1.8873238199622097E-2</v>
      </c>
      <c r="F826" s="24">
        <f>Data__2[[#This Row],[Market]]/L$4</f>
        <v>0.13139578809373903</v>
      </c>
      <c r="G826" s="1">
        <f>L$24*Data__2[[#This Row],[Return Market]]*J$4</f>
        <v>7.299766005207732</v>
      </c>
      <c r="H826" s="1">
        <f>M$24*Data__2[[#This Row],[Return Market]]*K$4</f>
        <v>7.6647543054681195</v>
      </c>
      <c r="I826" s="1"/>
      <c r="J826" s="1"/>
      <c r="K826" s="1"/>
      <c r="L826" s="1"/>
      <c r="M826" s="1"/>
    </row>
    <row r="827" spans="1:13">
      <c r="A827" s="1">
        <v>8.2928120426776069</v>
      </c>
      <c r="B827" s="1">
        <v>-7.9444039738641266</v>
      </c>
      <c r="C827" s="1">
        <v>33.336619448464042</v>
      </c>
      <c r="D827" s="24">
        <f>Data__2[[#This Row],[Project_1]]/J$4</f>
        <v>5.5285413617850714E-2</v>
      </c>
      <c r="E827" s="24">
        <f>Data__2[[#This Row],[Project_2]]/K$4</f>
        <v>-5.296269315909418E-2</v>
      </c>
      <c r="F827" s="24">
        <f>Data__2[[#This Row],[Market]]/L$4</f>
        <v>3.3336619448464042E-2</v>
      </c>
      <c r="G827" s="1">
        <f>L$24*Data__2[[#This Row],[Return Market]]*J$4</f>
        <v>1.85203441380356</v>
      </c>
      <c r="H827" s="1">
        <f>M$24*Data__2[[#This Row],[Return Market]]*K$4</f>
        <v>1.9446361344937384</v>
      </c>
      <c r="I827" s="1"/>
      <c r="J827" s="1"/>
      <c r="K827" s="1"/>
      <c r="L827" s="1"/>
      <c r="M827" s="1"/>
    </row>
    <row r="828" spans="1:13">
      <c r="A828" s="1">
        <v>37.159244000865357</v>
      </c>
      <c r="B828" s="1">
        <v>2.5099910070925784</v>
      </c>
      <c r="C828" s="1">
        <v>169.6774163301248</v>
      </c>
      <c r="D828" s="24">
        <f>Data__2[[#This Row],[Project_1]]/J$4</f>
        <v>0.24772829333910237</v>
      </c>
      <c r="E828" s="24">
        <f>Data__2[[#This Row],[Project_2]]/K$4</f>
        <v>1.673327338061719E-2</v>
      </c>
      <c r="F828" s="24">
        <f>Data__2[[#This Row],[Market]]/L$4</f>
        <v>0.16967741633012479</v>
      </c>
      <c r="G828" s="1">
        <f>L$24*Data__2[[#This Row],[Return Market]]*J$4</f>
        <v>9.4265231294513878</v>
      </c>
      <c r="H828" s="1">
        <f>M$24*Data__2[[#This Row],[Return Market]]*K$4</f>
        <v>9.8978492859239591</v>
      </c>
      <c r="I828" s="1"/>
      <c r="J828" s="1"/>
      <c r="K828" s="1"/>
      <c r="L828" s="1"/>
      <c r="M828" s="1"/>
    </row>
    <row r="829" spans="1:13">
      <c r="A829" s="1">
        <v>-25.749903417618697</v>
      </c>
      <c r="B829" s="1">
        <v>-15.429561198329104</v>
      </c>
      <c r="C829" s="1">
        <v>-395.89152791201491</v>
      </c>
      <c r="D829" s="24">
        <f>Data__2[[#This Row],[Project_1]]/J$4</f>
        <v>-0.17166602278412466</v>
      </c>
      <c r="E829" s="24">
        <f>Data__2[[#This Row],[Project_2]]/K$4</f>
        <v>-0.10286374132219403</v>
      </c>
      <c r="F829" s="24">
        <f>Data__2[[#This Row],[Market]]/L$4</f>
        <v>-0.39589152791201493</v>
      </c>
      <c r="G829" s="1">
        <f>L$24*Data__2[[#This Row],[Return Market]]*J$4</f>
        <v>-21.993973772889746</v>
      </c>
      <c r="H829" s="1">
        <f>M$24*Data__2[[#This Row],[Return Market]]*K$4</f>
        <v>-23.093672461534236</v>
      </c>
      <c r="I829" s="1"/>
      <c r="J829" s="1"/>
      <c r="K829" s="1"/>
      <c r="L829" s="1"/>
      <c r="M829" s="1"/>
    </row>
    <row r="830" spans="1:13">
      <c r="A830" s="1">
        <v>31.774402711100404</v>
      </c>
      <c r="B830" s="1">
        <v>15.694426715714744</v>
      </c>
      <c r="C830" s="1">
        <v>129.04305123064785</v>
      </c>
      <c r="D830" s="24">
        <f>Data__2[[#This Row],[Project_1]]/J$4</f>
        <v>0.21182935140733603</v>
      </c>
      <c r="E830" s="24">
        <f>Data__2[[#This Row],[Project_2]]/K$4</f>
        <v>0.1046295114380983</v>
      </c>
      <c r="F830" s="24">
        <f>Data__2[[#This Row],[Market]]/L$4</f>
        <v>0.12904305123064785</v>
      </c>
      <c r="G830" s="1">
        <f>L$24*Data__2[[#This Row],[Return Market]]*J$4</f>
        <v>7.1690584017026664</v>
      </c>
      <c r="H830" s="1">
        <f>M$24*Data__2[[#This Row],[Return Market]]*K$4</f>
        <v>7.5275113217878014</v>
      </c>
      <c r="I830" s="1"/>
      <c r="J830" s="1"/>
      <c r="K830" s="1"/>
      <c r="L830" s="1"/>
      <c r="M830" s="1"/>
    </row>
    <row r="831" spans="1:13">
      <c r="A831" s="1">
        <v>1.3872291165342396</v>
      </c>
      <c r="B831" s="1">
        <v>10.734908650861868</v>
      </c>
      <c r="C831" s="1">
        <v>205.95267495369777</v>
      </c>
      <c r="D831" s="24">
        <f>Data__2[[#This Row],[Project_1]]/J$4</f>
        <v>9.2481941102282635E-3</v>
      </c>
      <c r="E831" s="24">
        <f>Data__2[[#This Row],[Project_2]]/K$4</f>
        <v>7.1566057672412461E-2</v>
      </c>
      <c r="F831" s="24">
        <f>Data__2[[#This Row],[Market]]/L$4</f>
        <v>0.20595267495369776</v>
      </c>
      <c r="G831" s="1">
        <f>L$24*Data__2[[#This Row],[Return Market]]*J$4</f>
        <v>11.441815275205444</v>
      </c>
      <c r="H831" s="1">
        <f>M$24*Data__2[[#This Row],[Return Market]]*K$4</f>
        <v>12.013906038965718</v>
      </c>
      <c r="I831" s="1"/>
      <c r="J831" s="1"/>
      <c r="K831" s="1"/>
      <c r="L831" s="1"/>
      <c r="M831" s="1"/>
    </row>
    <row r="832" spans="1:13">
      <c r="A832" s="1">
        <v>5.8180665321818648</v>
      </c>
      <c r="B832" s="1">
        <v>2.7288115695419508</v>
      </c>
      <c r="C832" s="1">
        <v>-36.254388367197791</v>
      </c>
      <c r="D832" s="24">
        <f>Data__2[[#This Row],[Project_1]]/J$4</f>
        <v>3.8787110214545763E-2</v>
      </c>
      <c r="E832" s="24">
        <f>Data__2[[#This Row],[Project_2]]/K$4</f>
        <v>1.8192077130279673E-2</v>
      </c>
      <c r="F832" s="24">
        <f>Data__2[[#This Row],[Market]]/L$4</f>
        <v>-3.6254388367197792E-2</v>
      </c>
      <c r="G832" s="1">
        <f>L$24*Data__2[[#This Row],[Return Market]]*J$4</f>
        <v>-2.0141326870665464</v>
      </c>
      <c r="H832" s="1">
        <f>M$24*Data__2[[#This Row],[Return Market]]*K$4</f>
        <v>-2.1148393214198737</v>
      </c>
      <c r="I832" s="1"/>
      <c r="J832" s="1"/>
      <c r="K832" s="1"/>
      <c r="L832" s="1"/>
      <c r="M832" s="1"/>
    </row>
    <row r="833" spans="1:13">
      <c r="A833" s="1">
        <v>-8.2253661530023692</v>
      </c>
      <c r="B833" s="1">
        <v>7.1915936221304593</v>
      </c>
      <c r="C833" s="1">
        <v>145.81676627472262</v>
      </c>
      <c r="D833" s="24">
        <f>Data__2[[#This Row],[Project_1]]/J$4</f>
        <v>-5.4835774353349125E-2</v>
      </c>
      <c r="E833" s="24">
        <f>Data__2[[#This Row],[Project_2]]/K$4</f>
        <v>4.7943957480869728E-2</v>
      </c>
      <c r="F833" s="24">
        <f>Data__2[[#This Row],[Market]]/L$4</f>
        <v>0.14581676627472262</v>
      </c>
      <c r="G833" s="1">
        <f>L$24*Data__2[[#This Row],[Return Market]]*J$4</f>
        <v>8.1009314597068212</v>
      </c>
      <c r="H833" s="1">
        <f>M$24*Data__2[[#This Row],[Return Market]]*K$4</f>
        <v>8.5059780326921643</v>
      </c>
      <c r="I833" s="1"/>
      <c r="J833" s="1"/>
      <c r="K833" s="1"/>
      <c r="L833" s="1"/>
      <c r="M833" s="1"/>
    </row>
    <row r="834" spans="1:13">
      <c r="A834" s="1">
        <v>18.34254432664352</v>
      </c>
      <c r="B834" s="1">
        <v>-5.5366656580491131</v>
      </c>
      <c r="C834" s="1">
        <v>-40.514500723866462</v>
      </c>
      <c r="D834" s="24">
        <f>Data__2[[#This Row],[Project_1]]/J$4</f>
        <v>0.12228362884429013</v>
      </c>
      <c r="E834" s="24">
        <f>Data__2[[#This Row],[Project_2]]/K$4</f>
        <v>-3.691110438699409E-2</v>
      </c>
      <c r="F834" s="24">
        <f>Data__2[[#This Row],[Market]]/L$4</f>
        <v>-4.0514500723866462E-2</v>
      </c>
      <c r="G834" s="1">
        <f>L$24*Data__2[[#This Row],[Return Market]]*J$4</f>
        <v>-2.2508055957703617</v>
      </c>
      <c r="H834" s="1">
        <f>M$24*Data__2[[#This Row],[Return Market]]*K$4</f>
        <v>-2.3633458755588799</v>
      </c>
      <c r="I834" s="1"/>
      <c r="J834" s="1"/>
      <c r="K834" s="1"/>
      <c r="L834" s="1"/>
      <c r="M834" s="1"/>
    </row>
    <row r="835" spans="1:13">
      <c r="A835" s="1">
        <v>40.742860906065715</v>
      </c>
      <c r="B835" s="1">
        <v>40.809891501797694</v>
      </c>
      <c r="C835" s="1">
        <v>251.29440830733412</v>
      </c>
      <c r="D835" s="24">
        <f>Data__2[[#This Row],[Project_1]]/J$4</f>
        <v>0.27161907270710478</v>
      </c>
      <c r="E835" s="24">
        <f>Data__2[[#This Row],[Project_2]]/K$4</f>
        <v>0.27206594334531797</v>
      </c>
      <c r="F835" s="24">
        <f>Data__2[[#This Row],[Market]]/L$4</f>
        <v>0.25129440830733413</v>
      </c>
      <c r="G835" s="1">
        <f>L$24*Data__2[[#This Row],[Return Market]]*J$4</f>
        <v>13.960800461518577</v>
      </c>
      <c r="H835" s="1">
        <f>M$24*Data__2[[#This Row],[Return Market]]*K$4</f>
        <v>14.65884048459451</v>
      </c>
      <c r="I835" s="1"/>
      <c r="J835" s="1"/>
      <c r="K835" s="1"/>
      <c r="L835" s="1"/>
      <c r="M835" s="1"/>
    </row>
    <row r="836" spans="1:13">
      <c r="A836" s="1">
        <v>44.181033745942123</v>
      </c>
      <c r="B836" s="1">
        <v>11.226507854755729</v>
      </c>
      <c r="C836" s="1">
        <v>130.36174207008611</v>
      </c>
      <c r="D836" s="24">
        <f>Data__2[[#This Row],[Project_1]]/J$4</f>
        <v>0.29454022497294746</v>
      </c>
      <c r="E836" s="24">
        <f>Data__2[[#This Row],[Project_2]]/K$4</f>
        <v>7.4843385698371526E-2</v>
      </c>
      <c r="F836" s="24">
        <f>Data__2[[#This Row],[Market]]/L$4</f>
        <v>0.13036174207008611</v>
      </c>
      <c r="G836" s="1">
        <f>L$24*Data__2[[#This Row],[Return Market]]*J$4</f>
        <v>7.2423190038936802</v>
      </c>
      <c r="H836" s="1">
        <f>M$24*Data__2[[#This Row],[Return Market]]*K$4</f>
        <v>7.604434954088366</v>
      </c>
      <c r="I836" s="1"/>
      <c r="J836" s="1"/>
      <c r="K836" s="1"/>
      <c r="L836" s="1"/>
      <c r="M836" s="1"/>
    </row>
    <row r="837" spans="1:13">
      <c r="A837" s="1">
        <v>-6.4744735358254175</v>
      </c>
      <c r="B837" s="1">
        <v>7.652966561287549</v>
      </c>
      <c r="C837" s="1">
        <v>-193.74883776058323</v>
      </c>
      <c r="D837" s="24">
        <f>Data__2[[#This Row],[Project_1]]/J$4</f>
        <v>-4.3163156905502785E-2</v>
      </c>
      <c r="E837" s="24">
        <f>Data__2[[#This Row],[Project_2]]/K$4</f>
        <v>5.1019777075250329E-2</v>
      </c>
      <c r="F837" s="24">
        <f>Data__2[[#This Row],[Market]]/L$4</f>
        <v>-0.19374883776058321</v>
      </c>
      <c r="G837" s="1">
        <f>L$24*Data__2[[#This Row],[Return Market]]*J$4</f>
        <v>-10.763824320032413</v>
      </c>
      <c r="H837" s="1">
        <f>M$24*Data__2[[#This Row],[Return Market]]*K$4</f>
        <v>-11.302015536034036</v>
      </c>
      <c r="I837" s="1"/>
      <c r="J837" s="1"/>
      <c r="K837" s="1"/>
      <c r="L837" s="1"/>
      <c r="M837" s="1"/>
    </row>
    <row r="838" spans="1:13">
      <c r="A838" s="1">
        <v>5.6716546748100196</v>
      </c>
      <c r="B838" s="1">
        <v>13.174277879697639</v>
      </c>
      <c r="C838" s="1">
        <v>38.808523520477401</v>
      </c>
      <c r="D838" s="24">
        <f>Data__2[[#This Row],[Project_1]]/J$4</f>
        <v>3.7811031165400133E-2</v>
      </c>
      <c r="E838" s="24">
        <f>Data__2[[#This Row],[Project_2]]/K$4</f>
        <v>8.7828519197984262E-2</v>
      </c>
      <c r="F838" s="24">
        <f>Data__2[[#This Row],[Market]]/L$4</f>
        <v>3.8808523520477402E-2</v>
      </c>
      <c r="G838" s="1">
        <f>L$24*Data__2[[#This Row],[Return Market]]*J$4</f>
        <v>2.1560290844709691</v>
      </c>
      <c r="H838" s="1">
        <f>M$24*Data__2[[#This Row],[Return Market]]*K$4</f>
        <v>2.2638305386945183</v>
      </c>
      <c r="I838" s="1"/>
      <c r="J838" s="1"/>
      <c r="K838" s="1"/>
      <c r="L838" s="1"/>
      <c r="M838" s="1"/>
    </row>
    <row r="839" spans="1:13">
      <c r="A839" s="1">
        <v>-26.306140822264851</v>
      </c>
      <c r="B839" s="1">
        <v>-30.633714779221521</v>
      </c>
      <c r="C839" s="1">
        <v>-172.04054434529542</v>
      </c>
      <c r="D839" s="24">
        <f>Data__2[[#This Row],[Project_1]]/J$4</f>
        <v>-0.17537427214843235</v>
      </c>
      <c r="E839" s="24">
        <f>Data__2[[#This Row],[Project_2]]/K$4</f>
        <v>-0.20422476519481014</v>
      </c>
      <c r="F839" s="24">
        <f>Data__2[[#This Row],[Market]]/L$4</f>
        <v>-0.17204054434529542</v>
      </c>
      <c r="G839" s="1">
        <f>L$24*Data__2[[#This Row],[Return Market]]*J$4</f>
        <v>-9.5578080191830885</v>
      </c>
      <c r="H839" s="1">
        <f>M$24*Data__2[[#This Row],[Return Market]]*K$4</f>
        <v>-10.035698420142245</v>
      </c>
      <c r="I839" s="1"/>
      <c r="J839" s="1"/>
      <c r="K839" s="1"/>
      <c r="L839" s="1"/>
      <c r="M839" s="1"/>
    </row>
    <row r="840" spans="1:13">
      <c r="A840" s="1">
        <v>8.5680588703821332</v>
      </c>
      <c r="B840" s="1">
        <v>5.4344627774416825</v>
      </c>
      <c r="C840" s="1">
        <v>50.314857440309332</v>
      </c>
      <c r="D840" s="24">
        <f>Data__2[[#This Row],[Project_1]]/J$4</f>
        <v>5.7120392469214222E-2</v>
      </c>
      <c r="E840" s="24">
        <f>Data__2[[#This Row],[Project_2]]/K$4</f>
        <v>3.6229751849611219E-2</v>
      </c>
      <c r="F840" s="24">
        <f>Data__2[[#This Row],[Market]]/L$4</f>
        <v>5.0314857440309335E-2</v>
      </c>
      <c r="G840" s="1">
        <f>L$24*Data__2[[#This Row],[Return Market]]*J$4</f>
        <v>2.795269857794966</v>
      </c>
      <c r="H840" s="1">
        <f>M$24*Data__2[[#This Row],[Return Market]]*K$4</f>
        <v>2.9350333506847148</v>
      </c>
      <c r="I840" s="1"/>
      <c r="J840" s="1"/>
      <c r="K840" s="1"/>
      <c r="L840" s="1"/>
      <c r="M840" s="1"/>
    </row>
    <row r="841" spans="1:13">
      <c r="A841" s="1">
        <v>27.944756117235794</v>
      </c>
      <c r="B841" s="1">
        <v>31.42078844866089</v>
      </c>
      <c r="C841" s="1">
        <v>385.5622218141732</v>
      </c>
      <c r="D841" s="24">
        <f>Data__2[[#This Row],[Project_1]]/J$4</f>
        <v>0.1862983741149053</v>
      </c>
      <c r="E841" s="24">
        <f>Data__2[[#This Row],[Project_2]]/K$4</f>
        <v>0.20947192299107259</v>
      </c>
      <c r="F841" s="24">
        <f>Data__2[[#This Row],[Market]]/L$4</f>
        <v>0.38556222181417321</v>
      </c>
      <c r="G841" s="1">
        <f>L$24*Data__2[[#This Row],[Return Market]]*J$4</f>
        <v>21.420123434120761</v>
      </c>
      <c r="H841" s="1">
        <f>M$24*Data__2[[#This Row],[Return Market]]*K$4</f>
        <v>22.491129605826799</v>
      </c>
      <c r="I841" s="1"/>
      <c r="J841" s="1"/>
      <c r="K841" s="1"/>
      <c r="L841" s="1"/>
      <c r="M841" s="1"/>
    </row>
    <row r="842" spans="1:13">
      <c r="A842" s="1">
        <v>24.509349433249696</v>
      </c>
      <c r="B842" s="1">
        <v>15.684218743827302</v>
      </c>
      <c r="C842" s="1">
        <v>68.785992950214862</v>
      </c>
      <c r="D842" s="24">
        <f>Data__2[[#This Row],[Project_1]]/J$4</f>
        <v>0.16339566288833129</v>
      </c>
      <c r="E842" s="24">
        <f>Data__2[[#This Row],[Project_2]]/K$4</f>
        <v>0.10456145829218201</v>
      </c>
      <c r="F842" s="24">
        <f>Data__2[[#This Row],[Market]]/L$4</f>
        <v>6.8785992950214855E-2</v>
      </c>
      <c r="G842" s="1">
        <f>L$24*Data__2[[#This Row],[Return Market]]*J$4</f>
        <v>3.8214440527897184</v>
      </c>
      <c r="H842" s="1">
        <f>M$24*Data__2[[#This Row],[Return Market]]*K$4</f>
        <v>4.0125162554292055</v>
      </c>
      <c r="I842" s="1"/>
      <c r="J842" s="1"/>
      <c r="K842" s="1"/>
      <c r="L842" s="1"/>
      <c r="M842" s="1"/>
    </row>
    <row r="843" spans="1:13">
      <c r="A843" s="1">
        <v>8.4417208935430263</v>
      </c>
      <c r="B843" s="1">
        <v>18.324500096866082</v>
      </c>
      <c r="C843" s="1">
        <v>-55.593054289489345</v>
      </c>
      <c r="D843" s="24">
        <f>Data__2[[#This Row],[Project_1]]/J$4</f>
        <v>5.6278139290286841E-2</v>
      </c>
      <c r="E843" s="24">
        <f>Data__2[[#This Row],[Project_2]]/K$4</f>
        <v>0.12216333397910721</v>
      </c>
      <c r="F843" s="24">
        <f>Data__2[[#This Row],[Market]]/L$4</f>
        <v>-5.5593054289489345E-2</v>
      </c>
      <c r="G843" s="1">
        <f>L$24*Data__2[[#This Row],[Return Market]]*J$4</f>
        <v>-3.0885030160827451</v>
      </c>
      <c r="H843" s="1">
        <f>M$24*Data__2[[#This Row],[Return Market]]*K$4</f>
        <v>-3.242928166886883</v>
      </c>
      <c r="I843" s="1"/>
      <c r="J843" s="1"/>
      <c r="K843" s="1"/>
      <c r="L843" s="1"/>
      <c r="M843" s="1"/>
    </row>
    <row r="844" spans="1:13">
      <c r="A844" s="1">
        <v>1.3495998195886756</v>
      </c>
      <c r="B844" s="1">
        <v>17.474591809613418</v>
      </c>
      <c r="C844" s="1">
        <v>64.039423022851963</v>
      </c>
      <c r="D844" s="24">
        <f>Data__2[[#This Row],[Project_1]]/J$4</f>
        <v>8.9973321305911701E-3</v>
      </c>
      <c r="E844" s="24">
        <f>Data__2[[#This Row],[Project_2]]/K$4</f>
        <v>0.11649727873075612</v>
      </c>
      <c r="F844" s="24">
        <f>Data__2[[#This Row],[Market]]/L$4</f>
        <v>6.4039423022851968E-2</v>
      </c>
      <c r="G844" s="1">
        <f>L$24*Data__2[[#This Row],[Return Market]]*J$4</f>
        <v>3.5577457234917804</v>
      </c>
      <c r="H844" s="1">
        <f>M$24*Data__2[[#This Row],[Return Market]]*K$4</f>
        <v>3.7356330096663695</v>
      </c>
      <c r="I844" s="1"/>
      <c r="J844" s="1"/>
      <c r="K844" s="1"/>
      <c r="L844" s="1"/>
      <c r="M844" s="1"/>
    </row>
    <row r="845" spans="1:13">
      <c r="A845" s="1">
        <v>6.0633445717586261</v>
      </c>
      <c r="B845" s="1">
        <v>-4.813971115642234</v>
      </c>
      <c r="C845" s="1">
        <v>-309.43158279106257</v>
      </c>
      <c r="D845" s="24">
        <f>Data__2[[#This Row],[Project_1]]/J$4</f>
        <v>4.0422297145057511E-2</v>
      </c>
      <c r="E845" s="24">
        <f>Data__2[[#This Row],[Project_2]]/K$4</f>
        <v>-3.2093140770948228E-2</v>
      </c>
      <c r="F845" s="24">
        <f>Data__2[[#This Row],[Market]]/L$4</f>
        <v>-0.30943158279106259</v>
      </c>
      <c r="G845" s="1">
        <f>L$24*Data__2[[#This Row],[Return Market]]*J$4</f>
        <v>-17.190643488392386</v>
      </c>
      <c r="H845" s="1">
        <f>M$24*Data__2[[#This Row],[Return Market]]*K$4</f>
        <v>-18.050175662812006</v>
      </c>
      <c r="I845" s="1"/>
      <c r="J845" s="1"/>
      <c r="K845" s="1"/>
      <c r="L845" s="1"/>
      <c r="M845" s="1"/>
    </row>
    <row r="846" spans="1:13">
      <c r="A846" s="1">
        <v>3.2728827642725857</v>
      </c>
      <c r="B846" s="1">
        <v>13.626750743442429</v>
      </c>
      <c r="C846" s="1">
        <v>148.71823885586076</v>
      </c>
      <c r="D846" s="24">
        <f>Data__2[[#This Row],[Project_1]]/J$4</f>
        <v>2.1819218428483906E-2</v>
      </c>
      <c r="E846" s="24">
        <f>Data__2[[#This Row],[Project_2]]/K$4</f>
        <v>9.0845004956282865E-2</v>
      </c>
      <c r="F846" s="24">
        <f>Data__2[[#This Row],[Market]]/L$4</f>
        <v>0.14871823885586077</v>
      </c>
      <c r="G846" s="1">
        <f>L$24*Data__2[[#This Row],[Return Market]]*J$4</f>
        <v>8.2621243808811649</v>
      </c>
      <c r="H846" s="1">
        <f>M$24*Data__2[[#This Row],[Return Market]]*K$4</f>
        <v>8.6752305999252233</v>
      </c>
      <c r="I846" s="1"/>
      <c r="J846" s="1"/>
      <c r="K846" s="1"/>
      <c r="L846" s="1"/>
      <c r="M846" s="1"/>
    </row>
    <row r="847" spans="1:13">
      <c r="A847" s="1">
        <v>18.756432575542739</v>
      </c>
      <c r="B847" s="1">
        <v>-0.48014463129818807</v>
      </c>
      <c r="C847" s="1">
        <v>-14.775490638522868</v>
      </c>
      <c r="D847" s="24">
        <f>Data__2[[#This Row],[Project_1]]/J$4</f>
        <v>0.12504288383695158</v>
      </c>
      <c r="E847" s="24">
        <f>Data__2[[#This Row],[Project_2]]/K$4</f>
        <v>-3.2009642086545873E-3</v>
      </c>
      <c r="F847" s="24">
        <f>Data__2[[#This Row],[Market]]/L$4</f>
        <v>-1.4775490638522869E-2</v>
      </c>
      <c r="G847" s="1">
        <f>L$24*Data__2[[#This Row],[Return Market]]*J$4</f>
        <v>-0.82086059102904918</v>
      </c>
      <c r="H847" s="1">
        <f>M$24*Data__2[[#This Row],[Return Market]]*K$4</f>
        <v>-0.86190362058050185</v>
      </c>
      <c r="I847" s="1"/>
      <c r="J847" s="1"/>
      <c r="K847" s="1"/>
      <c r="L847" s="1"/>
      <c r="M847" s="1"/>
    </row>
    <row r="848" spans="1:13">
      <c r="A848" s="1">
        <v>-25.50774750343917</v>
      </c>
      <c r="B848" s="1">
        <v>-1.7876435924827874</v>
      </c>
      <c r="C848" s="1">
        <v>-100.80605267038871</v>
      </c>
      <c r="D848" s="24">
        <f>Data__2[[#This Row],[Project_1]]/J$4</f>
        <v>-0.1700516500229278</v>
      </c>
      <c r="E848" s="24">
        <f>Data__2[[#This Row],[Project_2]]/K$4</f>
        <v>-1.1917623949885249E-2</v>
      </c>
      <c r="F848" s="24">
        <f>Data__2[[#This Row],[Market]]/L$4</f>
        <v>-0.10080605267038871</v>
      </c>
      <c r="G848" s="1">
        <f>L$24*Data__2[[#This Row],[Return Market]]*J$4</f>
        <v>-5.6003362594660464</v>
      </c>
      <c r="H848" s="1">
        <f>M$24*Data__2[[#This Row],[Return Market]]*K$4</f>
        <v>-5.8803530724393482</v>
      </c>
      <c r="I848" s="1"/>
      <c r="J848" s="1"/>
      <c r="K848" s="1"/>
      <c r="L848" s="1"/>
      <c r="M848" s="1"/>
    </row>
    <row r="849" spans="1:13">
      <c r="A849" s="1">
        <v>16.691504638936195</v>
      </c>
      <c r="B849" s="1">
        <v>6.5632373723622832</v>
      </c>
      <c r="C849" s="1">
        <v>111.48164535339509</v>
      </c>
      <c r="D849" s="24">
        <f>Data__2[[#This Row],[Project_1]]/J$4</f>
        <v>0.11127669759290797</v>
      </c>
      <c r="E849" s="24">
        <f>Data__2[[#This Row],[Project_2]]/K$4</f>
        <v>4.3754915815748557E-2</v>
      </c>
      <c r="F849" s="24">
        <f>Data__2[[#This Row],[Market]]/L$4</f>
        <v>0.1114816453533951</v>
      </c>
      <c r="G849" s="1">
        <f>L$24*Data__2[[#This Row],[Return Market]]*J$4</f>
        <v>6.1934247418552903</v>
      </c>
      <c r="H849" s="1">
        <f>M$24*Data__2[[#This Row],[Return Market]]*K$4</f>
        <v>6.503095978948056</v>
      </c>
      <c r="I849" s="1"/>
      <c r="J849" s="1"/>
      <c r="K849" s="1"/>
      <c r="L849" s="1"/>
      <c r="M849" s="1"/>
    </row>
    <row r="850" spans="1:13">
      <c r="A850" s="1">
        <v>44.253298313586704</v>
      </c>
      <c r="B850" s="1">
        <v>25.166013149140781</v>
      </c>
      <c r="C850" s="1">
        <v>299.68477632425896</v>
      </c>
      <c r="D850" s="24">
        <f>Data__2[[#This Row],[Project_1]]/J$4</f>
        <v>0.29502198875724467</v>
      </c>
      <c r="E850" s="24">
        <f>Data__2[[#This Row],[Project_2]]/K$4</f>
        <v>0.16777342099427187</v>
      </c>
      <c r="F850" s="24">
        <f>Data__2[[#This Row],[Market]]/L$4</f>
        <v>0.29968477632425894</v>
      </c>
      <c r="G850" s="1">
        <f>L$24*Data__2[[#This Row],[Return Market]]*J$4</f>
        <v>16.649154240236626</v>
      </c>
      <c r="H850" s="1">
        <f>M$24*Data__2[[#This Row],[Return Market]]*K$4</f>
        <v>17.481611952248461</v>
      </c>
      <c r="I850" s="1"/>
      <c r="J850" s="1"/>
      <c r="K850" s="1"/>
      <c r="L850" s="1"/>
      <c r="M850" s="1"/>
    </row>
    <row r="851" spans="1:13">
      <c r="A851" s="1">
        <v>13.125508077850574</v>
      </c>
      <c r="B851" s="1">
        <v>20.559458501102764</v>
      </c>
      <c r="C851" s="1">
        <v>101.58029153828309</v>
      </c>
      <c r="D851" s="24">
        <f>Data__2[[#This Row],[Project_1]]/J$4</f>
        <v>8.7503387185670495E-2</v>
      </c>
      <c r="E851" s="24">
        <f>Data__2[[#This Row],[Project_2]]/K$4</f>
        <v>0.13706305667401841</v>
      </c>
      <c r="F851" s="24">
        <f>Data__2[[#This Row],[Market]]/L$4</f>
        <v>0.10158029153828309</v>
      </c>
      <c r="G851" s="1">
        <f>L$24*Data__2[[#This Row],[Return Market]]*J$4</f>
        <v>5.643349529904623</v>
      </c>
      <c r="H851" s="1">
        <f>M$24*Data__2[[#This Row],[Return Market]]*K$4</f>
        <v>5.9255170063998541</v>
      </c>
      <c r="I851" s="1"/>
      <c r="J851" s="1"/>
      <c r="K851" s="1"/>
      <c r="L851" s="1"/>
      <c r="M851" s="1"/>
    </row>
    <row r="852" spans="1:13">
      <c r="A852" s="1">
        <v>52.047598766897629</v>
      </c>
      <c r="B852" s="1">
        <v>42.180245270499015</v>
      </c>
      <c r="C852" s="1">
        <v>236.56038510435891</v>
      </c>
      <c r="D852" s="24">
        <f>Data__2[[#This Row],[Project_1]]/J$4</f>
        <v>0.34698399177931755</v>
      </c>
      <c r="E852" s="24">
        <f>Data__2[[#This Row],[Project_2]]/K$4</f>
        <v>0.28120163513666008</v>
      </c>
      <c r="F852" s="24">
        <f>Data__2[[#This Row],[Market]]/L$4</f>
        <v>0.23656038510435892</v>
      </c>
      <c r="G852" s="1">
        <f>L$24*Data__2[[#This Row],[Return Market]]*J$4</f>
        <v>13.142243616908845</v>
      </c>
      <c r="H852" s="1">
        <f>M$24*Data__2[[#This Row],[Return Market]]*K$4</f>
        <v>13.799355797754288</v>
      </c>
      <c r="I852" s="1"/>
      <c r="J852" s="1"/>
      <c r="K852" s="1"/>
      <c r="L852" s="1"/>
      <c r="M852" s="1"/>
    </row>
    <row r="853" spans="1:13">
      <c r="A853" s="1">
        <v>13.766942557987461</v>
      </c>
      <c r="B853" s="1">
        <v>24.603977766354184</v>
      </c>
      <c r="C853" s="1">
        <v>-26.74966567998564</v>
      </c>
      <c r="D853" s="24">
        <f>Data__2[[#This Row],[Project_1]]/J$4</f>
        <v>9.1779617053249746E-2</v>
      </c>
      <c r="E853" s="24">
        <f>Data__2[[#This Row],[Project_2]]/K$4</f>
        <v>0.16402651844236124</v>
      </c>
      <c r="F853" s="24">
        <f>Data__2[[#This Row],[Market]]/L$4</f>
        <v>-2.674966567998564E-2</v>
      </c>
      <c r="G853" s="1">
        <f>L$24*Data__2[[#This Row],[Return Market]]*J$4</f>
        <v>-1.4860925377769816</v>
      </c>
      <c r="H853" s="1">
        <f>M$24*Data__2[[#This Row],[Return Market]]*K$4</f>
        <v>-1.5603971646658308</v>
      </c>
      <c r="I853" s="1"/>
      <c r="J853" s="1"/>
      <c r="K853" s="1"/>
      <c r="L853" s="1"/>
      <c r="M853" s="1"/>
    </row>
    <row r="854" spans="1:13">
      <c r="A854" s="1">
        <v>22.580397796498165</v>
      </c>
      <c r="B854" s="1">
        <v>14.535350303386291</v>
      </c>
      <c r="C854" s="1">
        <v>318.27549135456138</v>
      </c>
      <c r="D854" s="24">
        <f>Data__2[[#This Row],[Project_1]]/J$4</f>
        <v>0.15053598530998777</v>
      </c>
      <c r="E854" s="24">
        <f>Data__2[[#This Row],[Project_2]]/K$4</f>
        <v>9.6902335355908614E-2</v>
      </c>
      <c r="F854" s="24">
        <f>Data__2[[#This Row],[Market]]/L$4</f>
        <v>0.3182754913545614</v>
      </c>
      <c r="G854" s="1">
        <f>L$24*Data__2[[#This Row],[Return Market]]*J$4</f>
        <v>17.681971741920098</v>
      </c>
      <c r="H854" s="1">
        <f>M$24*Data__2[[#This Row],[Return Market]]*K$4</f>
        <v>18.566070329016107</v>
      </c>
      <c r="I854" s="1"/>
      <c r="J854" s="1"/>
      <c r="K854" s="1"/>
      <c r="L854" s="1"/>
      <c r="M854" s="1"/>
    </row>
    <row r="855" spans="1:13">
      <c r="A855" s="1">
        <v>37.137126886579324</v>
      </c>
      <c r="B855" s="1">
        <v>16.616694635555053</v>
      </c>
      <c r="C855" s="1">
        <v>206.95042732270053</v>
      </c>
      <c r="D855" s="24">
        <f>Data__2[[#This Row],[Project_1]]/J$4</f>
        <v>0.24758084591052884</v>
      </c>
      <c r="E855" s="24">
        <f>Data__2[[#This Row],[Project_2]]/K$4</f>
        <v>0.11077796423703369</v>
      </c>
      <c r="F855" s="24">
        <f>Data__2[[#This Row],[Market]]/L$4</f>
        <v>0.20695042732270053</v>
      </c>
      <c r="G855" s="1">
        <f>L$24*Data__2[[#This Row],[Return Market]]*J$4</f>
        <v>11.497245962372265</v>
      </c>
      <c r="H855" s="1">
        <f>M$24*Data__2[[#This Row],[Return Market]]*K$4</f>
        <v>12.07210826049088</v>
      </c>
      <c r="I855" s="1"/>
      <c r="J855" s="1"/>
      <c r="K855" s="1"/>
      <c r="L855" s="1"/>
      <c r="M855" s="1"/>
    </row>
    <row r="856" spans="1:13">
      <c r="A856" s="1">
        <v>39.950816349782642</v>
      </c>
      <c r="B856" s="1">
        <v>34.295136387599015</v>
      </c>
      <c r="C856" s="1">
        <v>261.37545553127416</v>
      </c>
      <c r="D856" s="24">
        <f>Data__2[[#This Row],[Project_1]]/J$4</f>
        <v>0.26633877566521763</v>
      </c>
      <c r="E856" s="24">
        <f>Data__2[[#This Row],[Project_2]]/K$4</f>
        <v>0.22863424258399342</v>
      </c>
      <c r="F856" s="24">
        <f>Data__2[[#This Row],[Market]]/L$4</f>
        <v>0.26137545553127417</v>
      </c>
      <c r="G856" s="1">
        <f>L$24*Data__2[[#This Row],[Return Market]]*J$4</f>
        <v>14.52085864062636</v>
      </c>
      <c r="H856" s="1">
        <f>M$24*Data__2[[#This Row],[Return Market]]*K$4</f>
        <v>15.246901572657679</v>
      </c>
      <c r="I856" s="1"/>
      <c r="J856" s="1"/>
      <c r="K856" s="1"/>
      <c r="L856" s="1"/>
      <c r="M856" s="1"/>
    </row>
    <row r="857" spans="1:13">
      <c r="A857" s="1">
        <v>13.965257111271454</v>
      </c>
      <c r="B857" s="1">
        <v>5.3956814449058239</v>
      </c>
      <c r="C857" s="1">
        <v>101.54331654296118</v>
      </c>
      <c r="D857" s="24">
        <f>Data__2[[#This Row],[Project_1]]/J$4</f>
        <v>9.3101714075143019E-2</v>
      </c>
      <c r="E857" s="24">
        <f>Data__2[[#This Row],[Project_2]]/K$4</f>
        <v>3.5971209632705496E-2</v>
      </c>
      <c r="F857" s="24">
        <f>Data__2[[#This Row],[Market]]/L$4</f>
        <v>0.10154331654296118</v>
      </c>
      <c r="G857" s="1">
        <f>L$24*Data__2[[#This Row],[Return Market]]*J$4</f>
        <v>5.64129536349785</v>
      </c>
      <c r="H857" s="1">
        <f>M$24*Data__2[[#This Row],[Return Market]]*K$4</f>
        <v>5.9233601316727436</v>
      </c>
      <c r="I857" s="1"/>
      <c r="J857" s="1"/>
      <c r="K857" s="1"/>
      <c r="L857" s="1"/>
      <c r="M857" s="1"/>
    </row>
    <row r="858" spans="1:13">
      <c r="A858" s="1">
        <v>17.62980925541256</v>
      </c>
      <c r="B858" s="1">
        <v>8.0180750072101397</v>
      </c>
      <c r="C858" s="1">
        <v>315.61947080833602</v>
      </c>
      <c r="D858" s="24">
        <f>Data__2[[#This Row],[Project_1]]/J$4</f>
        <v>0.11753206170275041</v>
      </c>
      <c r="E858" s="24">
        <f>Data__2[[#This Row],[Project_2]]/K$4</f>
        <v>5.3453833381400931E-2</v>
      </c>
      <c r="F858" s="24">
        <f>Data__2[[#This Row],[Market]]/L$4</f>
        <v>0.31561947080833602</v>
      </c>
      <c r="G858" s="1">
        <f>L$24*Data__2[[#This Row],[Return Market]]*J$4</f>
        <v>17.534415044907576</v>
      </c>
      <c r="H858" s="1">
        <f>M$24*Data__2[[#This Row],[Return Market]]*K$4</f>
        <v>18.411135797152959</v>
      </c>
      <c r="I858" s="1"/>
      <c r="J858" s="1"/>
      <c r="K858" s="1"/>
      <c r="L858" s="1"/>
      <c r="M858" s="1"/>
    </row>
    <row r="859" spans="1:13">
      <c r="A859" s="1">
        <v>20.005874261616775</v>
      </c>
      <c r="B859" s="1">
        <v>-4.8954399423775889</v>
      </c>
      <c r="C859" s="1">
        <v>-235.95514002427831</v>
      </c>
      <c r="D859" s="24">
        <f>Data__2[[#This Row],[Project_1]]/J$4</f>
        <v>0.13337249507744517</v>
      </c>
      <c r="E859" s="24">
        <f>Data__2[[#This Row],[Project_2]]/K$4</f>
        <v>-3.2636266282517257E-2</v>
      </c>
      <c r="F859" s="24">
        <f>Data__2[[#This Row],[Market]]/L$4</f>
        <v>-0.23595514002427831</v>
      </c>
      <c r="G859" s="1">
        <f>L$24*Data__2[[#This Row],[Return Market]]*J$4</f>
        <v>-13.108618890237699</v>
      </c>
      <c r="H859" s="1">
        <f>M$24*Data__2[[#This Row],[Return Market]]*K$4</f>
        <v>-13.764049834749587</v>
      </c>
      <c r="I859" s="1"/>
      <c r="J859" s="1"/>
      <c r="K859" s="1"/>
      <c r="L859" s="1"/>
      <c r="M859" s="1"/>
    </row>
    <row r="860" spans="1:13">
      <c r="A860" s="1">
        <v>1.4575679082133881</v>
      </c>
      <c r="B860" s="1">
        <v>10.643758131152778</v>
      </c>
      <c r="C860" s="1">
        <v>12.726456768284791</v>
      </c>
      <c r="D860" s="24">
        <f>Data__2[[#This Row],[Project_1]]/J$4</f>
        <v>9.7171193880892532E-3</v>
      </c>
      <c r="E860" s="24">
        <f>Data__2[[#This Row],[Project_2]]/K$4</f>
        <v>7.0958387541018519E-2</v>
      </c>
      <c r="F860" s="24">
        <f>Data__2[[#This Row],[Market]]/L$4</f>
        <v>1.2726456768284791E-2</v>
      </c>
      <c r="G860" s="1">
        <f>L$24*Data__2[[#This Row],[Return Market]]*J$4</f>
        <v>0.70702537601582249</v>
      </c>
      <c r="H860" s="1">
        <f>M$24*Data__2[[#This Row],[Return Market]]*K$4</f>
        <v>0.74237664481661381</v>
      </c>
      <c r="I860" s="1"/>
      <c r="J860" s="1"/>
      <c r="K860" s="1"/>
      <c r="L860" s="1"/>
      <c r="M860" s="1"/>
    </row>
    <row r="861" spans="1:13">
      <c r="A861" s="1">
        <v>-4.937370898980241</v>
      </c>
      <c r="B861" s="1">
        <v>-3.2956168160222177E-2</v>
      </c>
      <c r="C861" s="1">
        <v>-218.32393853733129</v>
      </c>
      <c r="D861" s="24">
        <f>Data__2[[#This Row],[Project_1]]/J$4</f>
        <v>-3.2915805993201604E-2</v>
      </c>
      <c r="E861" s="24">
        <f>Data__2[[#This Row],[Project_2]]/K$4</f>
        <v>-2.197077877348145E-4</v>
      </c>
      <c r="F861" s="24">
        <f>Data__2[[#This Row],[Market]]/L$4</f>
        <v>-0.21832393853733129</v>
      </c>
      <c r="G861" s="1">
        <f>L$24*Data__2[[#This Row],[Return Market]]*J$4</f>
        <v>-12.129107696518417</v>
      </c>
      <c r="H861" s="1">
        <f>M$24*Data__2[[#This Row],[Return Market]]*K$4</f>
        <v>-12.735563081344342</v>
      </c>
      <c r="I861" s="1"/>
      <c r="J861" s="1"/>
      <c r="K861" s="1"/>
      <c r="L861" s="1"/>
      <c r="M861" s="1"/>
    </row>
    <row r="862" spans="1:13">
      <c r="A862" s="1">
        <v>9.1096838216730145</v>
      </c>
      <c r="B862" s="1">
        <v>20.402004103956369</v>
      </c>
      <c r="C862" s="1">
        <v>272.64068538462595</v>
      </c>
      <c r="D862" s="24">
        <f>Data__2[[#This Row],[Project_1]]/J$4</f>
        <v>6.0731225477820096E-2</v>
      </c>
      <c r="E862" s="24">
        <f>Data__2[[#This Row],[Project_2]]/K$4</f>
        <v>0.13601336069304246</v>
      </c>
      <c r="F862" s="24">
        <f>Data__2[[#This Row],[Market]]/L$4</f>
        <v>0.27264068538462594</v>
      </c>
      <c r="G862" s="1">
        <f>L$24*Data__2[[#This Row],[Return Market]]*J$4</f>
        <v>15.146704743590348</v>
      </c>
      <c r="H862" s="1">
        <f>M$24*Data__2[[#This Row],[Return Market]]*K$4</f>
        <v>15.904039980769866</v>
      </c>
      <c r="I862" s="1"/>
      <c r="J862" s="1"/>
      <c r="K862" s="1"/>
      <c r="L862" s="1"/>
      <c r="M862" s="1"/>
    </row>
    <row r="863" spans="1:13">
      <c r="A863" s="1">
        <v>22.222072443182995</v>
      </c>
      <c r="B863" s="1">
        <v>13.561484541512895</v>
      </c>
      <c r="C863" s="1">
        <v>116.2173418600166</v>
      </c>
      <c r="D863" s="24">
        <f>Data__2[[#This Row],[Project_1]]/J$4</f>
        <v>0.14814714962121997</v>
      </c>
      <c r="E863" s="24">
        <f>Data__2[[#This Row],[Project_2]]/K$4</f>
        <v>9.0409896943419304E-2</v>
      </c>
      <c r="F863" s="24">
        <f>Data__2[[#This Row],[Market]]/L$4</f>
        <v>0.1162173418600166</v>
      </c>
      <c r="G863" s="1">
        <f>L$24*Data__2[[#This Row],[Return Market]]*J$4</f>
        <v>6.4565189922231516</v>
      </c>
      <c r="H863" s="1">
        <f>M$24*Data__2[[#This Row],[Return Market]]*K$4</f>
        <v>6.779344941834311</v>
      </c>
      <c r="I863" s="1"/>
      <c r="J863" s="1"/>
      <c r="K863" s="1"/>
      <c r="L863" s="1"/>
      <c r="M863" s="1"/>
    </row>
    <row r="864" spans="1:13">
      <c r="A864" s="1">
        <v>16.355511655508074</v>
      </c>
      <c r="B864" s="1">
        <v>3.6829887714869916</v>
      </c>
      <c r="C864" s="1">
        <v>106.89892102670827</v>
      </c>
      <c r="D864" s="24">
        <f>Data__2[[#This Row],[Project_1]]/J$4</f>
        <v>0.10903674437005383</v>
      </c>
      <c r="E864" s="24">
        <f>Data__2[[#This Row],[Project_2]]/K$4</f>
        <v>2.4553258476579944E-2</v>
      </c>
      <c r="F864" s="24">
        <f>Data__2[[#This Row],[Market]]/L$4</f>
        <v>0.10689892102670827</v>
      </c>
      <c r="G864" s="1">
        <f>L$24*Data__2[[#This Row],[Return Market]]*J$4</f>
        <v>5.9388289459282442</v>
      </c>
      <c r="H864" s="1">
        <f>M$24*Data__2[[#This Row],[Return Market]]*K$4</f>
        <v>6.2357703932246569</v>
      </c>
      <c r="I864" s="1"/>
      <c r="J864" s="1"/>
      <c r="K864" s="1"/>
      <c r="L864" s="1"/>
      <c r="M864" s="1"/>
    </row>
    <row r="865" spans="1:13">
      <c r="A865" s="1">
        <v>8.3558416533414483</v>
      </c>
      <c r="B865" s="1">
        <v>5.6251904070643697</v>
      </c>
      <c r="C865" s="1">
        <v>31.879183110008093</v>
      </c>
      <c r="D865" s="24">
        <f>Data__2[[#This Row],[Project_1]]/J$4</f>
        <v>5.5705611022276322E-2</v>
      </c>
      <c r="E865" s="24">
        <f>Data__2[[#This Row],[Project_2]]/K$4</f>
        <v>3.7501269380429129E-2</v>
      </c>
      <c r="F865" s="24">
        <f>Data__2[[#This Row],[Market]]/L$4</f>
        <v>3.1879183110008091E-2</v>
      </c>
      <c r="G865" s="1">
        <f>L$24*Data__2[[#This Row],[Return Market]]*J$4</f>
        <v>1.7710657283337847</v>
      </c>
      <c r="H865" s="1">
        <f>M$24*Data__2[[#This Row],[Return Market]]*K$4</f>
        <v>1.8596190147504743</v>
      </c>
      <c r="I865" s="1"/>
      <c r="J865" s="1"/>
      <c r="K865" s="1"/>
      <c r="L865" s="1"/>
      <c r="M865" s="1"/>
    </row>
    <row r="866" spans="1:13">
      <c r="A866" s="1">
        <v>-5.4655400825153428</v>
      </c>
      <c r="B866" s="1">
        <v>8.9026000677369481</v>
      </c>
      <c r="C866" s="1">
        <v>124.29422071516684</v>
      </c>
      <c r="D866" s="24">
        <f>Data__2[[#This Row],[Project_1]]/J$4</f>
        <v>-3.6436933883435621E-2</v>
      </c>
      <c r="E866" s="24">
        <f>Data__2[[#This Row],[Project_2]]/K$4</f>
        <v>5.9350667118246318E-2</v>
      </c>
      <c r="F866" s="24">
        <f>Data__2[[#This Row],[Market]]/L$4</f>
        <v>0.12429422071516684</v>
      </c>
      <c r="G866" s="1">
        <f>L$24*Data__2[[#This Row],[Return Market]]*J$4</f>
        <v>6.905234484175943</v>
      </c>
      <c r="H866" s="1">
        <f>M$24*Data__2[[#This Row],[Return Market]]*K$4</f>
        <v>7.2504962083847415</v>
      </c>
      <c r="I866" s="1"/>
      <c r="J866" s="1"/>
      <c r="K866" s="1"/>
      <c r="L866" s="1"/>
      <c r="M866" s="1"/>
    </row>
    <row r="867" spans="1:13">
      <c r="A867" s="1">
        <v>3.8330611666275285</v>
      </c>
      <c r="B867" s="1">
        <v>13.92165867919606</v>
      </c>
      <c r="C867" s="1">
        <v>97.799358217084816</v>
      </c>
      <c r="D867" s="24">
        <f>Data__2[[#This Row],[Project_1]]/J$4</f>
        <v>2.5553741110850191E-2</v>
      </c>
      <c r="E867" s="24">
        <f>Data__2[[#This Row],[Project_2]]/K$4</f>
        <v>9.281105786130707E-2</v>
      </c>
      <c r="F867" s="24">
        <f>Data__2[[#This Row],[Market]]/L$4</f>
        <v>9.7799358217084811E-2</v>
      </c>
      <c r="G867" s="1">
        <f>L$24*Data__2[[#This Row],[Return Market]]*J$4</f>
        <v>5.43329767872694</v>
      </c>
      <c r="H867" s="1">
        <f>M$24*Data__2[[#This Row],[Return Market]]*K$4</f>
        <v>5.7049625626632885</v>
      </c>
      <c r="I867" s="1"/>
      <c r="J867" s="1"/>
      <c r="K867" s="1"/>
      <c r="L867" s="1"/>
      <c r="M867" s="1"/>
    </row>
    <row r="868" spans="1:13">
      <c r="A868" s="1">
        <v>23.716662189187087</v>
      </c>
      <c r="B868" s="1">
        <v>20.730175820074685</v>
      </c>
      <c r="C868" s="1">
        <v>268.57711015967675</v>
      </c>
      <c r="D868" s="24">
        <f>Data__2[[#This Row],[Project_1]]/J$4</f>
        <v>0.15811108126124723</v>
      </c>
      <c r="E868" s="24">
        <f>Data__2[[#This Row],[Project_2]]/K$4</f>
        <v>0.13820117213383123</v>
      </c>
      <c r="F868" s="24">
        <f>Data__2[[#This Row],[Market]]/L$4</f>
        <v>0.26857711015967672</v>
      </c>
      <c r="G868" s="1">
        <f>L$24*Data__2[[#This Row],[Return Market]]*J$4</f>
        <v>14.920950564426501</v>
      </c>
      <c r="H868" s="1">
        <f>M$24*Data__2[[#This Row],[Return Market]]*K$4</f>
        <v>15.666998092647828</v>
      </c>
      <c r="I868" s="1"/>
      <c r="J868" s="1"/>
      <c r="K868" s="1"/>
      <c r="L868" s="1"/>
      <c r="M868" s="1"/>
    </row>
    <row r="869" spans="1:13">
      <c r="A869" s="1">
        <v>22.325796319235</v>
      </c>
      <c r="B869" s="1">
        <v>20.275498428485143</v>
      </c>
      <c r="C869" s="1">
        <v>41.646481494804675</v>
      </c>
      <c r="D869" s="24">
        <f>Data__2[[#This Row],[Project_1]]/J$4</f>
        <v>0.14883864212823333</v>
      </c>
      <c r="E869" s="24">
        <f>Data__2[[#This Row],[Project_2]]/K$4</f>
        <v>0.13516998952323428</v>
      </c>
      <c r="F869" s="24">
        <f>Data__2[[#This Row],[Market]]/L$4</f>
        <v>4.1646481494804675E-2</v>
      </c>
      <c r="G869" s="1">
        <f>L$24*Data__2[[#This Row],[Return Market]]*J$4</f>
        <v>2.3136934163780403</v>
      </c>
      <c r="H869" s="1">
        <f>M$24*Data__2[[#This Row],[Return Market]]*K$4</f>
        <v>2.4293780871969428</v>
      </c>
      <c r="I869" s="1"/>
      <c r="J869" s="1"/>
      <c r="K869" s="1"/>
      <c r="L869" s="1"/>
      <c r="M869" s="1"/>
    </row>
    <row r="870" spans="1:13">
      <c r="A870" s="1">
        <v>-0.22473279188034745</v>
      </c>
      <c r="B870" s="1">
        <v>-10.217002113358653</v>
      </c>
      <c r="C870" s="1">
        <v>158.73556324772954</v>
      </c>
      <c r="D870" s="24">
        <f>Data__2[[#This Row],[Project_1]]/J$4</f>
        <v>-1.4982186125356498E-3</v>
      </c>
      <c r="E870" s="24">
        <f>Data__2[[#This Row],[Project_2]]/K$4</f>
        <v>-6.8113347422391016E-2</v>
      </c>
      <c r="F870" s="24">
        <f>Data__2[[#This Row],[Market]]/L$4</f>
        <v>0.15873556324772956</v>
      </c>
      <c r="G870" s="1">
        <f>L$24*Data__2[[#This Row],[Return Market]]*J$4</f>
        <v>8.8186424026516512</v>
      </c>
      <c r="H870" s="1">
        <f>M$24*Data__2[[#This Row],[Return Market]]*K$4</f>
        <v>9.2595745227842361</v>
      </c>
      <c r="I870" s="1"/>
      <c r="J870" s="1"/>
      <c r="K870" s="1"/>
      <c r="L870" s="1"/>
      <c r="M870" s="1"/>
    </row>
    <row r="871" spans="1:13">
      <c r="A871" s="1">
        <v>45.15699780559229</v>
      </c>
      <c r="B871" s="1">
        <v>29.90235163993249</v>
      </c>
      <c r="C871" s="1">
        <v>287.96886656865848</v>
      </c>
      <c r="D871" s="24">
        <f>Data__2[[#This Row],[Project_1]]/J$4</f>
        <v>0.30104665203728193</v>
      </c>
      <c r="E871" s="24">
        <f>Data__2[[#This Row],[Project_2]]/K$4</f>
        <v>0.19934901093288326</v>
      </c>
      <c r="F871" s="24">
        <f>Data__2[[#This Row],[Market]]/L$4</f>
        <v>0.2879688665686585</v>
      </c>
      <c r="G871" s="1">
        <f>L$24*Data__2[[#This Row],[Return Market]]*J$4</f>
        <v>15.99827036492549</v>
      </c>
      <c r="H871" s="1">
        <f>M$24*Data__2[[#This Row],[Return Market]]*K$4</f>
        <v>16.798183883171767</v>
      </c>
      <c r="I871" s="1"/>
      <c r="J871" s="1"/>
      <c r="K871" s="1"/>
      <c r="L871" s="1"/>
      <c r="M871" s="1"/>
    </row>
    <row r="872" spans="1:13">
      <c r="A872" s="1">
        <v>28.350929895599855</v>
      </c>
      <c r="B872" s="1">
        <v>30.649225728563188</v>
      </c>
      <c r="C872" s="1">
        <v>408.42968065294139</v>
      </c>
      <c r="D872" s="24">
        <f>Data__2[[#This Row],[Project_1]]/J$4</f>
        <v>0.18900619930399903</v>
      </c>
      <c r="E872" s="24">
        <f>Data__2[[#This Row],[Project_2]]/K$4</f>
        <v>0.2043281715237546</v>
      </c>
      <c r="F872" s="24">
        <f>Data__2[[#This Row],[Market]]/L$4</f>
        <v>0.40842968065294138</v>
      </c>
      <c r="G872" s="1">
        <f>L$24*Data__2[[#This Row],[Return Market]]*J$4</f>
        <v>22.690537814052327</v>
      </c>
      <c r="H872" s="1">
        <f>M$24*Data__2[[#This Row],[Return Market]]*K$4</f>
        <v>23.825064704754944</v>
      </c>
      <c r="I872" s="1"/>
      <c r="J872" s="1"/>
      <c r="K872" s="1"/>
      <c r="L872" s="1"/>
      <c r="M872" s="1"/>
    </row>
    <row r="873" spans="1:13">
      <c r="A873" s="1">
        <v>17.099089190515691</v>
      </c>
      <c r="B873" s="1">
        <v>9.9880558029164987</v>
      </c>
      <c r="C873" s="1">
        <v>-13.207170788628872</v>
      </c>
      <c r="D873" s="24">
        <f>Data__2[[#This Row],[Project_1]]/J$4</f>
        <v>0.11399392793677128</v>
      </c>
      <c r="E873" s="24">
        <f>Data__2[[#This Row],[Project_2]]/K$4</f>
        <v>6.6587038686109989E-2</v>
      </c>
      <c r="F873" s="24">
        <f>Data__2[[#This Row],[Market]]/L$4</f>
        <v>-1.3207170788628871E-2</v>
      </c>
      <c r="G873" s="1">
        <f>L$24*Data__2[[#This Row],[Return Market]]*J$4</f>
        <v>-0.73373171047938257</v>
      </c>
      <c r="H873" s="1">
        <f>M$24*Data__2[[#This Row],[Return Market]]*K$4</f>
        <v>-0.77041829600335177</v>
      </c>
      <c r="I873" s="1"/>
      <c r="J873" s="1"/>
      <c r="K873" s="1"/>
      <c r="L873" s="1"/>
      <c r="M873" s="1"/>
    </row>
    <row r="874" spans="1:13">
      <c r="A874" s="1">
        <v>29.4322543817403</v>
      </c>
      <c r="B874" s="1">
        <v>17.6535660696767</v>
      </c>
      <c r="C874" s="1">
        <v>318.39862935056885</v>
      </c>
      <c r="D874" s="24">
        <f>Data__2[[#This Row],[Project_1]]/J$4</f>
        <v>0.196215029211602</v>
      </c>
      <c r="E874" s="24">
        <f>Data__2[[#This Row],[Project_2]]/K$4</f>
        <v>0.11769044046451133</v>
      </c>
      <c r="F874" s="24">
        <f>Data__2[[#This Row],[Market]]/L$4</f>
        <v>0.31839862935056884</v>
      </c>
      <c r="G874" s="1">
        <f>L$24*Data__2[[#This Row],[Return Market]]*J$4</f>
        <v>17.688812741698289</v>
      </c>
      <c r="H874" s="1">
        <f>M$24*Data__2[[#This Row],[Return Market]]*K$4</f>
        <v>18.573253378783207</v>
      </c>
      <c r="I874" s="1"/>
      <c r="J874" s="1"/>
      <c r="K874" s="1"/>
      <c r="L874" s="1"/>
      <c r="M874" s="1"/>
    </row>
    <row r="875" spans="1:13">
      <c r="A875" s="1">
        <v>22.762291257139935</v>
      </c>
      <c r="B875" s="1">
        <v>32.418265939854038</v>
      </c>
      <c r="C875" s="1">
        <v>347.35644820084372</v>
      </c>
      <c r="D875" s="24">
        <f>Data__2[[#This Row],[Project_1]]/J$4</f>
        <v>0.1517486083809329</v>
      </c>
      <c r="E875" s="24">
        <f>Data__2[[#This Row],[Project_2]]/K$4</f>
        <v>0.21612177293236026</v>
      </c>
      <c r="F875" s="24">
        <f>Data__2[[#This Row],[Market]]/L$4</f>
        <v>0.34735644820084371</v>
      </c>
      <c r="G875" s="1">
        <f>L$24*Data__2[[#This Row],[Return Market]]*J$4</f>
        <v>19.29758045560245</v>
      </c>
      <c r="H875" s="1">
        <f>M$24*Data__2[[#This Row],[Return Market]]*K$4</f>
        <v>20.262459478382574</v>
      </c>
      <c r="I875" s="1"/>
      <c r="J875" s="1"/>
      <c r="K875" s="1"/>
      <c r="L875" s="1"/>
      <c r="M875" s="1"/>
    </row>
    <row r="876" spans="1:13">
      <c r="A876" s="1">
        <v>-8.8845544738647142</v>
      </c>
      <c r="B876" s="1">
        <v>17.838179423680721</v>
      </c>
      <c r="C876" s="1">
        <v>6.9660745142935383</v>
      </c>
      <c r="D876" s="24">
        <f>Data__2[[#This Row],[Project_1]]/J$4</f>
        <v>-5.9230363159098097E-2</v>
      </c>
      <c r="E876" s="24">
        <f>Data__2[[#This Row],[Project_2]]/K$4</f>
        <v>0.11892119615787147</v>
      </c>
      <c r="F876" s="24">
        <f>Data__2[[#This Row],[Market]]/L$4</f>
        <v>6.9660745142935384E-3</v>
      </c>
      <c r="G876" s="1">
        <f>L$24*Data__2[[#This Row],[Return Market]]*J$4</f>
        <v>0.38700413968297476</v>
      </c>
      <c r="H876" s="1">
        <f>M$24*Data__2[[#This Row],[Return Market]]*K$4</f>
        <v>0.40635434666712356</v>
      </c>
      <c r="I876" s="1"/>
      <c r="J876" s="1"/>
      <c r="K876" s="1"/>
      <c r="L876" s="1"/>
      <c r="M876" s="1"/>
    </row>
    <row r="877" spans="1:13">
      <c r="A877" s="1">
        <v>5.6789365053717855</v>
      </c>
      <c r="B877" s="1">
        <v>-2.0226706872492279</v>
      </c>
      <c r="C877" s="1">
        <v>53.77711551463544</v>
      </c>
      <c r="D877" s="24">
        <f>Data__2[[#This Row],[Project_1]]/J$4</f>
        <v>3.7859576702478567E-2</v>
      </c>
      <c r="E877" s="24">
        <f>Data__2[[#This Row],[Project_2]]/K$4</f>
        <v>-1.3484471248328186E-2</v>
      </c>
      <c r="F877" s="24">
        <f>Data__2[[#This Row],[Market]]/L$4</f>
        <v>5.3777115514635439E-2</v>
      </c>
      <c r="G877" s="1">
        <f>L$24*Data__2[[#This Row],[Return Market]]*J$4</f>
        <v>2.987617528590861</v>
      </c>
      <c r="H877" s="1">
        <f>M$24*Data__2[[#This Row],[Return Market]]*K$4</f>
        <v>3.1369984050204045</v>
      </c>
      <c r="I877" s="1"/>
      <c r="J877" s="1"/>
      <c r="K877" s="1"/>
      <c r="L877" s="1"/>
      <c r="M877" s="1"/>
    </row>
    <row r="878" spans="1:13">
      <c r="A878" s="1">
        <v>28.46247111931913</v>
      </c>
      <c r="B878" s="1">
        <v>23.641280881836717</v>
      </c>
      <c r="C878" s="1">
        <v>167.21993375650209</v>
      </c>
      <c r="D878" s="24">
        <f>Data__2[[#This Row],[Project_1]]/J$4</f>
        <v>0.18974980746212752</v>
      </c>
      <c r="E878" s="24">
        <f>Data__2[[#This Row],[Project_2]]/K$4</f>
        <v>0.1576085392122448</v>
      </c>
      <c r="F878" s="24">
        <f>Data__2[[#This Row],[Market]]/L$4</f>
        <v>0.1672199337565021</v>
      </c>
      <c r="G878" s="1">
        <f>L$24*Data__2[[#This Row],[Return Market]]*J$4</f>
        <v>9.2899963198056827</v>
      </c>
      <c r="H878" s="1">
        <f>M$24*Data__2[[#This Row],[Return Market]]*K$4</f>
        <v>9.7544961357959696</v>
      </c>
      <c r="I878" s="1"/>
      <c r="J878" s="1"/>
      <c r="K878" s="1"/>
      <c r="L878" s="1"/>
      <c r="M878" s="1"/>
    </row>
    <row r="879" spans="1:13">
      <c r="A879" s="1">
        <v>5.3485188272413584</v>
      </c>
      <c r="B879" s="1">
        <v>-1.5363923951716245</v>
      </c>
      <c r="C879" s="1">
        <v>129.14170525799773</v>
      </c>
      <c r="D879" s="24">
        <f>Data__2[[#This Row],[Project_1]]/J$4</f>
        <v>3.5656792181609054E-2</v>
      </c>
      <c r="E879" s="24">
        <f>Data__2[[#This Row],[Project_2]]/K$4</f>
        <v>-1.024261596781083E-2</v>
      </c>
      <c r="F879" s="24">
        <f>Data__2[[#This Row],[Market]]/L$4</f>
        <v>0.12914170525799773</v>
      </c>
      <c r="G879" s="1">
        <f>L$24*Data__2[[#This Row],[Return Market]]*J$4</f>
        <v>7.174539180999882</v>
      </c>
      <c r="H879" s="1">
        <f>M$24*Data__2[[#This Row],[Return Market]]*K$4</f>
        <v>7.5332661400498777</v>
      </c>
      <c r="I879" s="1"/>
      <c r="J879" s="1"/>
      <c r="K879" s="1"/>
      <c r="L879" s="1"/>
      <c r="M879" s="1"/>
    </row>
    <row r="880" spans="1:13">
      <c r="A880" s="1">
        <v>-17.094364924041635</v>
      </c>
      <c r="B880" s="1">
        <v>-18.647369210959191</v>
      </c>
      <c r="C880" s="1">
        <v>-72.678691979691735</v>
      </c>
      <c r="D880" s="24">
        <f>Data__2[[#This Row],[Project_1]]/J$4</f>
        <v>-0.11396243282694424</v>
      </c>
      <c r="E880" s="24">
        <f>Data__2[[#This Row],[Project_2]]/K$4</f>
        <v>-0.12431579473972794</v>
      </c>
      <c r="F880" s="24">
        <f>Data__2[[#This Row],[Market]]/L$4</f>
        <v>-7.2678691979691734E-2</v>
      </c>
      <c r="G880" s="1">
        <f>L$24*Data__2[[#This Row],[Return Market]]*J$4</f>
        <v>-4.0377051099828787</v>
      </c>
      <c r="H880" s="1">
        <f>M$24*Data__2[[#This Row],[Return Market]]*K$4</f>
        <v>-4.2395903654820231</v>
      </c>
      <c r="I880" s="1"/>
      <c r="J880" s="1"/>
      <c r="K880" s="1"/>
      <c r="L880" s="1"/>
      <c r="M880" s="1"/>
    </row>
    <row r="881" spans="1:13">
      <c r="A881" s="1">
        <v>-19.176024738023234</v>
      </c>
      <c r="B881" s="1">
        <v>12.854930753788377</v>
      </c>
      <c r="C881" s="1">
        <v>356.49498364303986</v>
      </c>
      <c r="D881" s="24">
        <f>Data__2[[#This Row],[Project_1]]/J$4</f>
        <v>-0.1278401649201549</v>
      </c>
      <c r="E881" s="24">
        <f>Data__2[[#This Row],[Project_2]]/K$4</f>
        <v>8.5699538358589178E-2</v>
      </c>
      <c r="F881" s="24">
        <f>Data__2[[#This Row],[Market]]/L$4</f>
        <v>0.35649498364303989</v>
      </c>
      <c r="G881" s="1">
        <f>L$24*Data__2[[#This Row],[Return Market]]*J$4</f>
        <v>19.805276869057792</v>
      </c>
      <c r="H881" s="1">
        <f>M$24*Data__2[[#This Row],[Return Market]]*K$4</f>
        <v>20.795540712510686</v>
      </c>
      <c r="I881" s="1"/>
      <c r="J881" s="1"/>
      <c r="K881" s="1"/>
      <c r="L881" s="1"/>
      <c r="M881" s="1"/>
    </row>
    <row r="882" spans="1:13">
      <c r="A882" s="1">
        <v>45.93764747286918</v>
      </c>
      <c r="B882" s="1">
        <v>15.926371429655012</v>
      </c>
      <c r="C882" s="1">
        <v>223.60226927271827</v>
      </c>
      <c r="D882" s="24">
        <f>Data__2[[#This Row],[Project_1]]/J$4</f>
        <v>0.30625098315246119</v>
      </c>
      <c r="E882" s="24">
        <f>Data__2[[#This Row],[Project_2]]/K$4</f>
        <v>0.10617580953103341</v>
      </c>
      <c r="F882" s="24">
        <f>Data__2[[#This Row],[Market]]/L$4</f>
        <v>0.22360226927271828</v>
      </c>
      <c r="G882" s="1">
        <f>L$24*Data__2[[#This Row],[Return Market]]*J$4</f>
        <v>12.42234829292881</v>
      </c>
      <c r="H882" s="1">
        <f>M$24*Data__2[[#This Row],[Return Market]]*K$4</f>
        <v>13.043465707575251</v>
      </c>
      <c r="I882" s="1"/>
      <c r="J882" s="1"/>
      <c r="K882" s="1"/>
      <c r="L882" s="1"/>
      <c r="M882" s="1"/>
    </row>
    <row r="883" spans="1:13">
      <c r="A883" s="1">
        <v>25.013103583767318</v>
      </c>
      <c r="B883" s="1">
        <v>12.626631577318751</v>
      </c>
      <c r="C883" s="1">
        <v>131.66286054181361</v>
      </c>
      <c r="D883" s="24">
        <f>Data__2[[#This Row],[Project_1]]/J$4</f>
        <v>0.16675402389178212</v>
      </c>
      <c r="E883" s="24">
        <f>Data__2[[#This Row],[Project_2]]/K$4</f>
        <v>8.4177543848791669E-2</v>
      </c>
      <c r="F883" s="24">
        <f>Data__2[[#This Row],[Market]]/L$4</f>
        <v>0.13166286054181361</v>
      </c>
      <c r="G883" s="1">
        <f>L$24*Data__2[[#This Row],[Return Market]]*J$4</f>
        <v>7.3146033634340979</v>
      </c>
      <c r="H883" s="1">
        <f>M$24*Data__2[[#This Row],[Return Market]]*K$4</f>
        <v>7.6803335316058039</v>
      </c>
      <c r="I883" s="1"/>
      <c r="J883" s="1"/>
      <c r="K883" s="1"/>
      <c r="L883" s="1"/>
      <c r="M883" s="1"/>
    </row>
    <row r="884" spans="1:13">
      <c r="A884" s="1">
        <v>7.6254633971798134</v>
      </c>
      <c r="B884" s="1">
        <v>4.0855127312737114</v>
      </c>
      <c r="C884" s="1">
        <v>44.075603422191335</v>
      </c>
      <c r="D884" s="24">
        <f>Data__2[[#This Row],[Project_1]]/J$4</f>
        <v>5.083642264786542E-2</v>
      </c>
      <c r="E884" s="24">
        <f>Data__2[[#This Row],[Project_2]]/K$4</f>
        <v>2.7236751541824741E-2</v>
      </c>
      <c r="F884" s="24">
        <f>Data__2[[#This Row],[Market]]/L$4</f>
        <v>4.4075603422191335E-2</v>
      </c>
      <c r="G884" s="1">
        <f>L$24*Data__2[[#This Row],[Return Market]]*J$4</f>
        <v>2.4486446345661883</v>
      </c>
      <c r="H884" s="1">
        <f>M$24*Data__2[[#This Row],[Return Market]]*K$4</f>
        <v>2.5710768662944981</v>
      </c>
      <c r="I884" s="1"/>
      <c r="J884" s="1"/>
      <c r="K884" s="1"/>
      <c r="L884" s="1"/>
      <c r="M884" s="1"/>
    </row>
    <row r="885" spans="1:13">
      <c r="A885" s="1">
        <v>-26.068837229253809</v>
      </c>
      <c r="B885" s="1">
        <v>-22.949965645762717</v>
      </c>
      <c r="C885" s="1">
        <v>-188.69182855747937</v>
      </c>
      <c r="D885" s="24">
        <f>Data__2[[#This Row],[Project_1]]/J$4</f>
        <v>-0.1737922481950254</v>
      </c>
      <c r="E885" s="24">
        <f>Data__2[[#This Row],[Project_2]]/K$4</f>
        <v>-0.15299977097175144</v>
      </c>
      <c r="F885" s="24">
        <f>Data__2[[#This Row],[Market]]/L$4</f>
        <v>-0.18869182855747937</v>
      </c>
      <c r="G885" s="1">
        <f>L$24*Data__2[[#This Row],[Return Market]]*J$4</f>
        <v>-10.482879364304422</v>
      </c>
      <c r="H885" s="1">
        <f>M$24*Data__2[[#This Row],[Return Market]]*K$4</f>
        <v>-11.007023332519644</v>
      </c>
      <c r="I885" s="1"/>
      <c r="J885" s="1"/>
      <c r="K885" s="1"/>
      <c r="L885" s="1"/>
      <c r="M885" s="1"/>
    </row>
    <row r="886" spans="1:13">
      <c r="A886" s="1">
        <v>33.952631033270961</v>
      </c>
      <c r="B886" s="1">
        <v>12.774921744420753</v>
      </c>
      <c r="C886" s="1">
        <v>50.456108424819192</v>
      </c>
      <c r="D886" s="24">
        <f>Data__2[[#This Row],[Project_1]]/J$4</f>
        <v>0.22635087355513975</v>
      </c>
      <c r="E886" s="24">
        <f>Data__2[[#This Row],[Project_2]]/K$4</f>
        <v>8.5166144962805029E-2</v>
      </c>
      <c r="F886" s="24">
        <f>Data__2[[#This Row],[Market]]/L$4</f>
        <v>5.0456108424819193E-2</v>
      </c>
      <c r="G886" s="1">
        <f>L$24*Data__2[[#This Row],[Return Market]]*J$4</f>
        <v>2.8031171347121804</v>
      </c>
      <c r="H886" s="1">
        <f>M$24*Data__2[[#This Row],[Return Market]]*K$4</f>
        <v>2.9432729914477904</v>
      </c>
      <c r="I886" s="1"/>
      <c r="J886" s="1"/>
      <c r="K886" s="1"/>
      <c r="L886" s="1"/>
      <c r="M886" s="1"/>
    </row>
    <row r="887" spans="1:13">
      <c r="A887" s="1">
        <v>65.035104309505741</v>
      </c>
      <c r="B887" s="1">
        <v>47.088519582273534</v>
      </c>
      <c r="C887" s="1">
        <v>385.36035381754897</v>
      </c>
      <c r="D887" s="24">
        <f>Data__2[[#This Row],[Project_1]]/J$4</f>
        <v>0.4335673620633716</v>
      </c>
      <c r="E887" s="24">
        <f>Data__2[[#This Row],[Project_2]]/K$4</f>
        <v>0.31392346388182357</v>
      </c>
      <c r="F887" s="24">
        <f>Data__2[[#This Row],[Market]]/L$4</f>
        <v>0.38536035381754896</v>
      </c>
      <c r="G887" s="1">
        <f>L$24*Data__2[[#This Row],[Return Market]]*J$4</f>
        <v>21.408908545419411</v>
      </c>
      <c r="H887" s="1">
        <f>M$24*Data__2[[#This Row],[Return Market]]*K$4</f>
        <v>22.479353972690387</v>
      </c>
      <c r="I887" s="1"/>
      <c r="J887" s="1"/>
      <c r="K887" s="1"/>
      <c r="L887" s="1"/>
      <c r="M887" s="1"/>
    </row>
    <row r="888" spans="1:13">
      <c r="A888" s="1">
        <v>13.68030049956625</v>
      </c>
      <c r="B888" s="1">
        <v>6.9375130892520733</v>
      </c>
      <c r="C888" s="1">
        <v>307.36154489630121</v>
      </c>
      <c r="D888" s="24">
        <f>Data__2[[#This Row],[Project_1]]/J$4</f>
        <v>9.1202003330441664E-2</v>
      </c>
      <c r="E888" s="24">
        <f>Data__2[[#This Row],[Project_2]]/K$4</f>
        <v>4.6250087261680492E-2</v>
      </c>
      <c r="F888" s="24">
        <f>Data__2[[#This Row],[Market]]/L$4</f>
        <v>0.30736154489630119</v>
      </c>
      <c r="G888" s="1">
        <f>L$24*Data__2[[#This Row],[Return Market]]*J$4</f>
        <v>17.075641383127863</v>
      </c>
      <c r="H888" s="1">
        <f>M$24*Data__2[[#This Row],[Return Market]]*K$4</f>
        <v>17.929423452284258</v>
      </c>
      <c r="I888" s="1"/>
      <c r="J888" s="1"/>
      <c r="K888" s="1"/>
      <c r="L888" s="1"/>
      <c r="M888" s="1"/>
    </row>
    <row r="889" spans="1:13">
      <c r="A889" s="1">
        <v>22.12059420667925</v>
      </c>
      <c r="B889" s="1">
        <v>18.230487814874813</v>
      </c>
      <c r="C889" s="1">
        <v>72.572127056241158</v>
      </c>
      <c r="D889" s="24">
        <f>Data__2[[#This Row],[Project_1]]/J$4</f>
        <v>0.14747062804452835</v>
      </c>
      <c r="E889" s="24">
        <f>Data__2[[#This Row],[Project_2]]/K$4</f>
        <v>0.12153658543249875</v>
      </c>
      <c r="F889" s="24">
        <f>Data__2[[#This Row],[Market]]/L$4</f>
        <v>7.2572127056241151E-2</v>
      </c>
      <c r="G889" s="1">
        <f>L$24*Data__2[[#This Row],[Return Market]]*J$4</f>
        <v>4.0317848364578461</v>
      </c>
      <c r="H889" s="1">
        <f>M$24*Data__2[[#This Row],[Return Market]]*K$4</f>
        <v>4.2333740782807396</v>
      </c>
      <c r="I889" s="1"/>
      <c r="J889" s="1"/>
      <c r="K889" s="1"/>
      <c r="L889" s="1"/>
      <c r="M889" s="1"/>
    </row>
    <row r="890" spans="1:13">
      <c r="A890" s="1">
        <v>-3.3694098900486242</v>
      </c>
      <c r="B890" s="1">
        <v>4.7683293940002311</v>
      </c>
      <c r="C890" s="1">
        <v>47.733311307240562</v>
      </c>
      <c r="D890" s="24">
        <f>Data__2[[#This Row],[Project_1]]/J$4</f>
        <v>-2.2462732600324161E-2</v>
      </c>
      <c r="E890" s="24">
        <f>Data__2[[#This Row],[Project_2]]/K$4</f>
        <v>3.1788862626668205E-2</v>
      </c>
      <c r="F890" s="24">
        <f>Data__2[[#This Row],[Market]]/L$4</f>
        <v>4.773331130724056E-2</v>
      </c>
      <c r="G890" s="1">
        <f>L$24*Data__2[[#This Row],[Return Market]]*J$4</f>
        <v>2.6518506281800343</v>
      </c>
      <c r="H890" s="1">
        <f>M$24*Data__2[[#This Row],[Return Market]]*K$4</f>
        <v>2.7844431595890362</v>
      </c>
      <c r="I890" s="1"/>
      <c r="J890" s="1"/>
      <c r="K890" s="1"/>
      <c r="L890" s="1"/>
      <c r="M890" s="1"/>
    </row>
    <row r="891" spans="1:13">
      <c r="A891" s="1">
        <v>23.737884366798816</v>
      </c>
      <c r="B891" s="1">
        <v>21.594740409777966</v>
      </c>
      <c r="C891" s="1">
        <v>84.435965680351188</v>
      </c>
      <c r="D891" s="24">
        <f>Data__2[[#This Row],[Project_1]]/J$4</f>
        <v>0.15825256244532546</v>
      </c>
      <c r="E891" s="24">
        <f>Data__2[[#This Row],[Project_2]]/K$4</f>
        <v>0.14396493606518643</v>
      </c>
      <c r="F891" s="24">
        <f>Data__2[[#This Row],[Market]]/L$4</f>
        <v>8.4435965680351194E-2</v>
      </c>
      <c r="G891" s="1">
        <f>L$24*Data__2[[#This Row],[Return Market]]*J$4</f>
        <v>4.6908869822417385</v>
      </c>
      <c r="H891" s="1">
        <f>M$24*Data__2[[#This Row],[Return Market]]*K$4</f>
        <v>4.9254313313538258</v>
      </c>
      <c r="I891" s="1"/>
      <c r="J891" s="1"/>
      <c r="K891" s="1"/>
      <c r="L891" s="1"/>
      <c r="M891" s="1"/>
    </row>
    <row r="892" spans="1:13">
      <c r="A892" s="1">
        <v>-9.8324613748296237</v>
      </c>
      <c r="B892" s="1">
        <v>-8.8389739564056526</v>
      </c>
      <c r="C892" s="1">
        <v>135.88890143853203</v>
      </c>
      <c r="D892" s="24">
        <f>Data__2[[#This Row],[Project_1]]/J$4</f>
        <v>-6.5549742498864152E-2</v>
      </c>
      <c r="E892" s="24">
        <f>Data__2[[#This Row],[Project_2]]/K$4</f>
        <v>-5.892649304270435E-2</v>
      </c>
      <c r="F892" s="24">
        <f>Data__2[[#This Row],[Market]]/L$4</f>
        <v>0.13588890143853202</v>
      </c>
      <c r="G892" s="1">
        <f>L$24*Data__2[[#This Row],[Return Market]]*J$4</f>
        <v>7.5493834132517881</v>
      </c>
      <c r="H892" s="1">
        <f>M$24*Data__2[[#This Row],[Return Market]]*K$4</f>
        <v>7.9268525839143784</v>
      </c>
      <c r="I892" s="1"/>
      <c r="J892" s="1"/>
      <c r="K892" s="1"/>
      <c r="L892" s="1"/>
      <c r="M892" s="1"/>
    </row>
    <row r="893" spans="1:13">
      <c r="A893" s="1">
        <v>32.687627811483843</v>
      </c>
      <c r="B893" s="1">
        <v>25.066203129161302</v>
      </c>
      <c r="C893" s="1">
        <v>378.42467410562728</v>
      </c>
      <c r="D893" s="24">
        <f>Data__2[[#This Row],[Project_1]]/J$4</f>
        <v>0.21791751874322562</v>
      </c>
      <c r="E893" s="24">
        <f>Data__2[[#This Row],[Project_2]]/K$4</f>
        <v>0.16710802086107535</v>
      </c>
      <c r="F893" s="24">
        <f>Data__2[[#This Row],[Market]]/L$4</f>
        <v>0.3784246741056273</v>
      </c>
      <c r="G893" s="1">
        <f>L$24*Data__2[[#This Row],[Return Market]]*J$4</f>
        <v>21.023593005868207</v>
      </c>
      <c r="H893" s="1">
        <f>M$24*Data__2[[#This Row],[Return Market]]*K$4</f>
        <v>22.07477265616162</v>
      </c>
      <c r="I893" s="1"/>
      <c r="J893" s="1"/>
      <c r="K893" s="1"/>
      <c r="L893" s="1"/>
      <c r="M893" s="1"/>
    </row>
    <row r="894" spans="1:13">
      <c r="A894" s="1">
        <v>6.410536232987802</v>
      </c>
      <c r="B894" s="1">
        <v>9.0288374687609334</v>
      </c>
      <c r="C894" s="1">
        <v>-117.61415521836676</v>
      </c>
      <c r="D894" s="24">
        <f>Data__2[[#This Row],[Project_1]]/J$4</f>
        <v>4.2736908219918678E-2</v>
      </c>
      <c r="E894" s="24">
        <f>Data__2[[#This Row],[Project_2]]/K$4</f>
        <v>6.0192249791739559E-2</v>
      </c>
      <c r="F894" s="24">
        <f>Data__2[[#This Row],[Market]]/L$4</f>
        <v>-0.11761415521836677</v>
      </c>
      <c r="G894" s="1">
        <f>L$24*Data__2[[#This Row],[Return Market]]*J$4</f>
        <v>-6.5341197343537161</v>
      </c>
      <c r="H894" s="1">
        <f>M$24*Data__2[[#This Row],[Return Market]]*K$4</f>
        <v>-6.8608257210714036</v>
      </c>
      <c r="I894" s="1"/>
      <c r="J894" s="1"/>
      <c r="K894" s="1"/>
      <c r="L894" s="1"/>
      <c r="M894" s="1"/>
    </row>
    <row r="895" spans="1:13">
      <c r="A895" s="1">
        <v>29.444093053832891</v>
      </c>
      <c r="B895" s="1">
        <v>16.486625119978168</v>
      </c>
      <c r="C895" s="1">
        <v>337.80656314083961</v>
      </c>
      <c r="D895" s="24">
        <f>Data__2[[#This Row],[Project_1]]/J$4</f>
        <v>0.19629395369221928</v>
      </c>
      <c r="E895" s="24">
        <f>Data__2[[#This Row],[Project_2]]/K$4</f>
        <v>0.10991083413318779</v>
      </c>
      <c r="F895" s="24">
        <f>Data__2[[#This Row],[Market]]/L$4</f>
        <v>0.33780656314083962</v>
      </c>
      <c r="G895" s="1">
        <f>L$24*Data__2[[#This Row],[Return Market]]*J$4</f>
        <v>18.767031285602226</v>
      </c>
      <c r="H895" s="1">
        <f>M$24*Data__2[[#This Row],[Return Market]]*K$4</f>
        <v>19.705382849882337</v>
      </c>
      <c r="I895" s="1"/>
      <c r="J895" s="1"/>
      <c r="K895" s="1"/>
      <c r="L895" s="1"/>
      <c r="M895" s="1"/>
    </row>
    <row r="896" spans="1:13">
      <c r="A896" s="1">
        <v>10.921915654618289</v>
      </c>
      <c r="B896" s="1">
        <v>22.159811705895144</v>
      </c>
      <c r="C896" s="1">
        <v>165.34380173051704</v>
      </c>
      <c r="D896" s="24">
        <f>Data__2[[#This Row],[Project_1]]/J$4</f>
        <v>7.2812771030788592E-2</v>
      </c>
      <c r="E896" s="24">
        <f>Data__2[[#This Row],[Project_2]]/K$4</f>
        <v>0.14773207803930097</v>
      </c>
      <c r="F896" s="24">
        <f>Data__2[[#This Row],[Market]]/L$4</f>
        <v>0.16534380173051705</v>
      </c>
      <c r="G896" s="1">
        <f>L$24*Data__2[[#This Row],[Return Market]]*J$4</f>
        <v>9.1857667628065141</v>
      </c>
      <c r="H896" s="1">
        <f>M$24*Data__2[[#This Row],[Return Market]]*K$4</f>
        <v>9.6450551009468395</v>
      </c>
      <c r="I896" s="1"/>
      <c r="J896" s="1"/>
      <c r="K896" s="1"/>
      <c r="L896" s="1"/>
      <c r="M896" s="1"/>
    </row>
    <row r="897" spans="1:13">
      <c r="A897" s="1">
        <v>36.503758589793257</v>
      </c>
      <c r="B897" s="1">
        <v>45.340197445949855</v>
      </c>
      <c r="C897" s="1">
        <v>372.41890963237387</v>
      </c>
      <c r="D897" s="24">
        <f>Data__2[[#This Row],[Project_1]]/J$4</f>
        <v>0.24335839059862172</v>
      </c>
      <c r="E897" s="24">
        <f>Data__2[[#This Row],[Project_2]]/K$4</f>
        <v>0.30226798297299901</v>
      </c>
      <c r="F897" s="24">
        <f>Data__2[[#This Row],[Market]]/L$4</f>
        <v>0.3724189096323739</v>
      </c>
      <c r="G897" s="1">
        <f>L$24*Data__2[[#This Row],[Return Market]]*J$4</f>
        <v>20.689939424020796</v>
      </c>
      <c r="H897" s="1">
        <f>M$24*Data__2[[#This Row],[Return Market]]*K$4</f>
        <v>21.724436395221836</v>
      </c>
      <c r="I897" s="1"/>
      <c r="J897" s="1"/>
      <c r="K897" s="1"/>
      <c r="L897" s="1"/>
      <c r="M897" s="1"/>
    </row>
    <row r="898" spans="1:13">
      <c r="A898" s="1">
        <v>24.358245862607124</v>
      </c>
      <c r="B898" s="1">
        <v>3.2611880618467204</v>
      </c>
      <c r="C898" s="1">
        <v>116.40129576563847</v>
      </c>
      <c r="D898" s="24">
        <f>Data__2[[#This Row],[Project_1]]/J$4</f>
        <v>0.16238830575071417</v>
      </c>
      <c r="E898" s="24">
        <f>Data__2[[#This Row],[Project_2]]/K$4</f>
        <v>2.1741253745644801E-2</v>
      </c>
      <c r="F898" s="24">
        <f>Data__2[[#This Row],[Market]]/L$4</f>
        <v>0.11640129576563847</v>
      </c>
      <c r="G898" s="1">
        <f>L$24*Data__2[[#This Row],[Return Market]]*J$4</f>
        <v>6.4667386536465887</v>
      </c>
      <c r="H898" s="1">
        <f>M$24*Data__2[[#This Row],[Return Market]]*K$4</f>
        <v>6.7900755863289195</v>
      </c>
      <c r="I898" s="1"/>
      <c r="J898" s="1"/>
      <c r="K898" s="1"/>
      <c r="L898" s="1"/>
      <c r="M898" s="1"/>
    </row>
    <row r="899" spans="1:13">
      <c r="A899" s="1">
        <v>-3.4864825678128391</v>
      </c>
      <c r="B899" s="1">
        <v>1.9529322684940489</v>
      </c>
      <c r="C899" s="1">
        <v>-264.14891574324525</v>
      </c>
      <c r="D899" s="24">
        <f>Data__2[[#This Row],[Project_1]]/J$4</f>
        <v>-2.3243217118752262E-2</v>
      </c>
      <c r="E899" s="24">
        <f>Data__2[[#This Row],[Project_2]]/K$4</f>
        <v>1.3019548456626992E-2</v>
      </c>
      <c r="F899" s="24">
        <f>Data__2[[#This Row],[Market]]/L$4</f>
        <v>-0.26414891574324523</v>
      </c>
      <c r="G899" s="1">
        <f>L$24*Data__2[[#This Row],[Return Market]]*J$4</f>
        <v>-14.67493976351364</v>
      </c>
      <c r="H899" s="1">
        <f>M$24*Data__2[[#This Row],[Return Market]]*K$4</f>
        <v>-15.408686751689325</v>
      </c>
      <c r="I899" s="1"/>
      <c r="J899" s="1"/>
      <c r="K899" s="1"/>
      <c r="L899" s="1"/>
      <c r="M899" s="1"/>
    </row>
    <row r="900" spans="1:13">
      <c r="A900" s="1">
        <v>16.336231804571661</v>
      </c>
      <c r="B900" s="1">
        <v>21.68929794141588</v>
      </c>
      <c r="C900" s="1">
        <v>105.7621651284765</v>
      </c>
      <c r="D900" s="24">
        <f>Data__2[[#This Row],[Project_1]]/J$4</f>
        <v>0.10890821203047774</v>
      </c>
      <c r="E900" s="24">
        <f>Data__2[[#This Row],[Project_2]]/K$4</f>
        <v>0.14459531960943919</v>
      </c>
      <c r="F900" s="24">
        <f>Data__2[[#This Row],[Market]]/L$4</f>
        <v>0.1057621651284765</v>
      </c>
      <c r="G900" s="1">
        <f>L$24*Data__2[[#This Row],[Return Market]]*J$4</f>
        <v>5.8756758404709233</v>
      </c>
      <c r="H900" s="1">
        <f>M$24*Data__2[[#This Row],[Return Market]]*K$4</f>
        <v>6.1694596324944699</v>
      </c>
      <c r="I900" s="1"/>
      <c r="J900" s="1"/>
      <c r="K900" s="1"/>
      <c r="L900" s="1"/>
      <c r="M900" s="1"/>
    </row>
    <row r="901" spans="1:13">
      <c r="A901" s="1">
        <v>15.352201659132298</v>
      </c>
      <c r="B901" s="1">
        <v>17.474039992869482</v>
      </c>
      <c r="C901" s="1">
        <v>219.50274108753706</v>
      </c>
      <c r="D901" s="24">
        <f>Data__2[[#This Row],[Project_1]]/J$4</f>
        <v>0.10234801106088198</v>
      </c>
      <c r="E901" s="24">
        <f>Data__2[[#This Row],[Project_2]]/K$4</f>
        <v>0.11649359995246321</v>
      </c>
      <c r="F901" s="24">
        <f>Data__2[[#This Row],[Market]]/L$4</f>
        <v>0.21950274108753706</v>
      </c>
      <c r="G901" s="1">
        <f>L$24*Data__2[[#This Row],[Return Market]]*J$4</f>
        <v>12.194596727085406</v>
      </c>
      <c r="H901" s="1">
        <f>M$24*Data__2[[#This Row],[Return Market]]*K$4</f>
        <v>12.804326563439679</v>
      </c>
      <c r="I901" s="1"/>
      <c r="J901" s="1"/>
      <c r="K901" s="1"/>
      <c r="L901" s="1"/>
      <c r="M901" s="1"/>
    </row>
    <row r="902" spans="1:13">
      <c r="A902" s="1">
        <v>24.24219882024142</v>
      </c>
      <c r="B902" s="1">
        <v>22.058744448628886</v>
      </c>
      <c r="C902" s="1">
        <v>301.2279093619025</v>
      </c>
      <c r="D902" s="24">
        <f>Data__2[[#This Row],[Project_1]]/J$4</f>
        <v>0.16161465880160947</v>
      </c>
      <c r="E902" s="24">
        <f>Data__2[[#This Row],[Project_2]]/K$4</f>
        <v>0.14705829632419257</v>
      </c>
      <c r="F902" s="24">
        <f>Data__2[[#This Row],[Market]]/L$4</f>
        <v>0.30122790936190252</v>
      </c>
      <c r="G902" s="1">
        <f>L$24*Data__2[[#This Row],[Return Market]]*J$4</f>
        <v>16.734883853439047</v>
      </c>
      <c r="H902" s="1">
        <f>M$24*Data__2[[#This Row],[Return Market]]*K$4</f>
        <v>17.571628046111005</v>
      </c>
      <c r="I902" s="1"/>
      <c r="J902" s="1"/>
      <c r="K902" s="1"/>
      <c r="L902" s="1"/>
      <c r="M902" s="1"/>
    </row>
    <row r="903" spans="1:13">
      <c r="A903" s="1">
        <v>0.16462918402612914</v>
      </c>
      <c r="B903" s="1">
        <v>9.8394407357026541</v>
      </c>
      <c r="C903" s="1">
        <v>-36.503646492932276</v>
      </c>
      <c r="D903" s="24">
        <f>Data__2[[#This Row],[Project_1]]/J$4</f>
        <v>1.0975278935075276E-3</v>
      </c>
      <c r="E903" s="24">
        <f>Data__2[[#This Row],[Project_2]]/K$4</f>
        <v>6.5596271571351034E-2</v>
      </c>
      <c r="F903" s="24">
        <f>Data__2[[#This Row],[Market]]/L$4</f>
        <v>-3.6503646492932279E-2</v>
      </c>
      <c r="G903" s="1">
        <f>L$24*Data__2[[#This Row],[Return Market]]*J$4</f>
        <v>-2.0279803607184625</v>
      </c>
      <c r="H903" s="1">
        <f>M$24*Data__2[[#This Row],[Return Market]]*K$4</f>
        <v>-2.1293793787543858</v>
      </c>
      <c r="I903" s="1"/>
      <c r="J903" s="1"/>
      <c r="K903" s="1"/>
      <c r="L903" s="1"/>
      <c r="M903" s="1"/>
    </row>
    <row r="904" spans="1:13">
      <c r="A904" s="1">
        <v>-27.535320974544454</v>
      </c>
      <c r="B904" s="1">
        <v>-2.383895785865656</v>
      </c>
      <c r="C904" s="1">
        <v>-154.61889682391711</v>
      </c>
      <c r="D904" s="24">
        <f>Data__2[[#This Row],[Project_1]]/J$4</f>
        <v>-0.18356880649696303</v>
      </c>
      <c r="E904" s="24">
        <f>Data__2[[#This Row],[Project_2]]/K$4</f>
        <v>-1.5892638572437705E-2</v>
      </c>
      <c r="F904" s="24">
        <f>Data__2[[#This Row],[Market]]/L$4</f>
        <v>-0.15461889682391711</v>
      </c>
      <c r="G904" s="1">
        <f>L$24*Data__2[[#This Row],[Return Market]]*J$4</f>
        <v>-8.5899387124398494</v>
      </c>
      <c r="H904" s="1">
        <f>M$24*Data__2[[#This Row],[Return Market]]*K$4</f>
        <v>-9.0194356480618438</v>
      </c>
      <c r="I904" s="1"/>
      <c r="J904" s="1"/>
      <c r="K904" s="1"/>
      <c r="L904" s="1"/>
      <c r="M904" s="1"/>
    </row>
    <row r="905" spans="1:13">
      <c r="A905" s="1">
        <v>10.104713304113233</v>
      </c>
      <c r="B905" s="1">
        <v>4.2542962433014235</v>
      </c>
      <c r="C905" s="1">
        <v>33.73649203796338</v>
      </c>
      <c r="D905" s="24">
        <f>Data__2[[#This Row],[Project_1]]/J$4</f>
        <v>6.7364755360754883E-2</v>
      </c>
      <c r="E905" s="24">
        <f>Data__2[[#This Row],[Project_2]]/K$4</f>
        <v>2.8361974955342824E-2</v>
      </c>
      <c r="F905" s="24">
        <f>Data__2[[#This Row],[Market]]/L$4</f>
        <v>3.3736492037963382E-2</v>
      </c>
      <c r="G905" s="1">
        <f>L$24*Data__2[[#This Row],[Return Market]]*J$4</f>
        <v>1.8742495576646343</v>
      </c>
      <c r="H905" s="1">
        <f>M$24*Data__2[[#This Row],[Return Market]]*K$4</f>
        <v>1.9679620355478666</v>
      </c>
      <c r="I905" s="1"/>
      <c r="J905" s="1"/>
      <c r="K905" s="1"/>
      <c r="L905" s="1"/>
      <c r="M905" s="1"/>
    </row>
    <row r="906" spans="1:13">
      <c r="A906" s="1">
        <v>13.721821276075666</v>
      </c>
      <c r="B906" s="1">
        <v>20.747825171380111</v>
      </c>
      <c r="C906" s="1">
        <v>-21.448151381505923</v>
      </c>
      <c r="D906" s="24">
        <f>Data__2[[#This Row],[Project_1]]/J$4</f>
        <v>9.1478808507171105E-2</v>
      </c>
      <c r="E906" s="24">
        <f>Data__2[[#This Row],[Project_2]]/K$4</f>
        <v>0.1383188344758674</v>
      </c>
      <c r="F906" s="24">
        <f>Data__2[[#This Row],[Market]]/L$4</f>
        <v>-2.1448151381505923E-2</v>
      </c>
      <c r="G906" s="1">
        <f>L$24*Data__2[[#This Row],[Return Market]]*J$4</f>
        <v>-1.1915639656392192</v>
      </c>
      <c r="H906" s="1">
        <f>M$24*Data__2[[#This Row],[Return Market]]*K$4</f>
        <v>-1.2511421639211806</v>
      </c>
      <c r="I906" s="1"/>
      <c r="J906" s="1"/>
      <c r="K906" s="1"/>
      <c r="L906" s="1"/>
      <c r="M906" s="1"/>
    </row>
    <row r="907" spans="1:13">
      <c r="A907" s="1">
        <v>15.900433512078999</v>
      </c>
      <c r="B907" s="1">
        <v>10.99431716271072</v>
      </c>
      <c r="C907" s="1">
        <v>172.88399482929304</v>
      </c>
      <c r="D907" s="24">
        <f>Data__2[[#This Row],[Project_1]]/J$4</f>
        <v>0.10600289008052666</v>
      </c>
      <c r="E907" s="24">
        <f>Data__2[[#This Row],[Project_2]]/K$4</f>
        <v>7.3295447751404799E-2</v>
      </c>
      <c r="F907" s="24">
        <f>Data__2[[#This Row],[Market]]/L$4</f>
        <v>0.17288399482929304</v>
      </c>
      <c r="G907" s="1">
        <f>L$24*Data__2[[#This Row],[Return Market]]*J$4</f>
        <v>9.6046663794051792</v>
      </c>
      <c r="H907" s="1">
        <f>M$24*Data__2[[#This Row],[Return Market]]*K$4</f>
        <v>10.084899698375441</v>
      </c>
      <c r="I907" s="1"/>
      <c r="J907" s="1"/>
      <c r="K907" s="1"/>
      <c r="L907" s="1"/>
      <c r="M907" s="1"/>
    </row>
    <row r="908" spans="1:13">
      <c r="A908" s="1">
        <v>22.010642189897666</v>
      </c>
      <c r="B908" s="1">
        <v>2.6025983075573267</v>
      </c>
      <c r="C908" s="1">
        <v>-85.518117797914186</v>
      </c>
      <c r="D908" s="24">
        <f>Data__2[[#This Row],[Project_1]]/J$4</f>
        <v>0.14673761459931778</v>
      </c>
      <c r="E908" s="24">
        <f>Data__2[[#This Row],[Project_2]]/K$4</f>
        <v>1.735065538371551E-2</v>
      </c>
      <c r="F908" s="24">
        <f>Data__2[[#This Row],[Market]]/L$4</f>
        <v>-8.5518117797914184E-2</v>
      </c>
      <c r="G908" s="1">
        <f>L$24*Data__2[[#This Row],[Return Market]]*J$4</f>
        <v>-4.7510065443285718</v>
      </c>
      <c r="H908" s="1">
        <f>M$24*Data__2[[#This Row],[Return Market]]*K$4</f>
        <v>-4.9885568715450006</v>
      </c>
      <c r="I908" s="1"/>
      <c r="J908" s="1"/>
      <c r="K908" s="1"/>
      <c r="L908" s="1"/>
      <c r="M908" s="1"/>
    </row>
    <row r="909" spans="1:13">
      <c r="A909" s="1">
        <v>-6.8763573810799663</v>
      </c>
      <c r="B909" s="1">
        <v>17.757030905708952</v>
      </c>
      <c r="C909" s="1">
        <v>70.776364859457857</v>
      </c>
      <c r="D909" s="24">
        <f>Data__2[[#This Row],[Project_1]]/J$4</f>
        <v>-4.5842382540533105E-2</v>
      </c>
      <c r="E909" s="24">
        <f>Data__2[[#This Row],[Project_2]]/K$4</f>
        <v>0.11838020603805968</v>
      </c>
      <c r="F909" s="24">
        <f>Data__2[[#This Row],[Market]]/L$4</f>
        <v>7.077636485945786E-2</v>
      </c>
      <c r="G909" s="1">
        <f>L$24*Data__2[[#This Row],[Return Market]]*J$4</f>
        <v>3.9320202699698856</v>
      </c>
      <c r="H909" s="1">
        <f>M$24*Data__2[[#This Row],[Return Market]]*K$4</f>
        <v>4.1286212834683802</v>
      </c>
      <c r="I909" s="1"/>
      <c r="J909" s="1"/>
      <c r="K909" s="1"/>
      <c r="L909" s="1"/>
      <c r="M909" s="1"/>
    </row>
    <row r="910" spans="1:13">
      <c r="A910" s="1">
        <v>28.230081415773075</v>
      </c>
      <c r="B910" s="1">
        <v>38.445511000442259</v>
      </c>
      <c r="C910" s="1">
        <v>543.10778725920113</v>
      </c>
      <c r="D910" s="24">
        <f>Data__2[[#This Row],[Project_1]]/J$4</f>
        <v>0.18820054277182049</v>
      </c>
      <c r="E910" s="24">
        <f>Data__2[[#This Row],[Project_2]]/K$4</f>
        <v>0.25630340666961504</v>
      </c>
      <c r="F910" s="24">
        <f>Data__2[[#This Row],[Market]]/L$4</f>
        <v>0.54310778725920117</v>
      </c>
      <c r="G910" s="1">
        <f>L$24*Data__2[[#This Row],[Return Market]]*J$4</f>
        <v>30.17265484773343</v>
      </c>
      <c r="H910" s="1">
        <f>M$24*Data__2[[#This Row],[Return Market]]*K$4</f>
        <v>31.681287590120107</v>
      </c>
      <c r="I910" s="1"/>
      <c r="J910" s="1"/>
      <c r="K910" s="1"/>
      <c r="L910" s="1"/>
      <c r="M910" s="1"/>
    </row>
    <row r="911" spans="1:13">
      <c r="A911" s="1">
        <v>10.857915686398536</v>
      </c>
      <c r="B911" s="1">
        <v>19.99658757569269</v>
      </c>
      <c r="C911" s="1">
        <v>289.68720613702226</v>
      </c>
      <c r="D911" s="24">
        <f>Data__2[[#This Row],[Project_1]]/J$4</f>
        <v>7.2386104575990248E-2</v>
      </c>
      <c r="E911" s="24">
        <f>Data__2[[#This Row],[Project_2]]/K$4</f>
        <v>0.13331058383795127</v>
      </c>
      <c r="F911" s="24">
        <f>Data__2[[#This Row],[Market]]/L$4</f>
        <v>0.28968720613702226</v>
      </c>
      <c r="G911" s="1">
        <f>L$24*Data__2[[#This Row],[Return Market]]*J$4</f>
        <v>16.093733674279033</v>
      </c>
      <c r="H911" s="1">
        <f>M$24*Data__2[[#This Row],[Return Market]]*K$4</f>
        <v>16.898420357992986</v>
      </c>
      <c r="I911" s="1"/>
      <c r="J911" s="1"/>
      <c r="K911" s="1"/>
      <c r="L911" s="1"/>
      <c r="M911" s="1"/>
    </row>
    <row r="912" spans="1:13">
      <c r="A912" s="1">
        <v>51.189742083138853</v>
      </c>
      <c r="B912" s="1">
        <v>30.605978475141242</v>
      </c>
      <c r="C912" s="1">
        <v>413.31199664819212</v>
      </c>
      <c r="D912" s="24">
        <f>Data__2[[#This Row],[Project_1]]/J$4</f>
        <v>0.34126494722092571</v>
      </c>
      <c r="E912" s="24">
        <f>Data__2[[#This Row],[Project_2]]/K$4</f>
        <v>0.20403985650094161</v>
      </c>
      <c r="F912" s="24">
        <f>Data__2[[#This Row],[Market]]/L$4</f>
        <v>0.41331199664819213</v>
      </c>
      <c r="G912" s="1">
        <f>L$24*Data__2[[#This Row],[Return Market]]*J$4</f>
        <v>22.961777591566253</v>
      </c>
      <c r="H912" s="1">
        <f>M$24*Data__2[[#This Row],[Return Market]]*K$4</f>
        <v>24.109866471144574</v>
      </c>
      <c r="I912" s="1"/>
      <c r="J912" s="1"/>
      <c r="K912" s="1"/>
      <c r="L912" s="1"/>
      <c r="M912" s="1"/>
    </row>
    <row r="913" spans="1:13">
      <c r="A913" s="1">
        <v>-52.044326770472324</v>
      </c>
      <c r="B913" s="1">
        <v>-26.002922990681405</v>
      </c>
      <c r="C913" s="1">
        <v>-92.947547825108813</v>
      </c>
      <c r="D913" s="24">
        <f>Data__2[[#This Row],[Project_1]]/J$4</f>
        <v>-0.34696217846981547</v>
      </c>
      <c r="E913" s="24">
        <f>Data__2[[#This Row],[Project_2]]/K$4</f>
        <v>-0.17335281993787605</v>
      </c>
      <c r="F913" s="24">
        <f>Data__2[[#This Row],[Market]]/L$4</f>
        <v>-9.294754782510882E-2</v>
      </c>
      <c r="G913" s="1">
        <f>L$24*Data__2[[#This Row],[Return Market]]*J$4</f>
        <v>-5.1637526569504955</v>
      </c>
      <c r="H913" s="1">
        <f>M$24*Data__2[[#This Row],[Return Market]]*K$4</f>
        <v>-5.4219402897980213</v>
      </c>
      <c r="I913" s="1"/>
      <c r="J913" s="1"/>
      <c r="K913" s="1"/>
      <c r="L913" s="1"/>
      <c r="M913" s="1"/>
    </row>
    <row r="914" spans="1:13">
      <c r="A914" s="1">
        <v>-15.273274650304835</v>
      </c>
      <c r="B914" s="1">
        <v>-23.305774762934689</v>
      </c>
      <c r="C914" s="1">
        <v>-257.41110282208211</v>
      </c>
      <c r="D914" s="24">
        <f>Data__2[[#This Row],[Project_1]]/J$4</f>
        <v>-0.10182183100203224</v>
      </c>
      <c r="E914" s="24">
        <f>Data__2[[#This Row],[Project_2]]/K$4</f>
        <v>-0.15537183175289793</v>
      </c>
      <c r="F914" s="24">
        <f>Data__2[[#This Row],[Market]]/L$4</f>
        <v>-0.25741110282208213</v>
      </c>
      <c r="G914" s="1">
        <f>L$24*Data__2[[#This Row],[Return Market]]*J$4</f>
        <v>-14.300616823449023</v>
      </c>
      <c r="H914" s="1">
        <f>M$24*Data__2[[#This Row],[Return Market]]*K$4</f>
        <v>-15.015647664621477</v>
      </c>
      <c r="I914" s="1"/>
      <c r="J914" s="1"/>
      <c r="K914" s="1"/>
      <c r="L914" s="1"/>
      <c r="M914" s="1"/>
    </row>
    <row r="915" spans="1:13">
      <c r="A915" s="1">
        <v>-2.795658445451572</v>
      </c>
      <c r="B915" s="1">
        <v>4.0842404273679431</v>
      </c>
      <c r="C915" s="1">
        <v>56.408550600005114</v>
      </c>
      <c r="D915" s="24">
        <f>Data__2[[#This Row],[Project_1]]/J$4</f>
        <v>-1.8637722969677147E-2</v>
      </c>
      <c r="E915" s="24">
        <f>Data__2[[#This Row],[Project_2]]/K$4</f>
        <v>2.7228269515786288E-2</v>
      </c>
      <c r="F915" s="24">
        <f>Data__2[[#This Row],[Market]]/L$4</f>
        <v>5.6408550600005117E-2</v>
      </c>
      <c r="G915" s="1">
        <f>L$24*Data__2[[#This Row],[Return Market]]*J$4</f>
        <v>3.1338083666669547</v>
      </c>
      <c r="H915" s="1">
        <f>M$24*Data__2[[#This Row],[Return Market]]*K$4</f>
        <v>3.2904987850003029</v>
      </c>
      <c r="I915" s="1"/>
      <c r="J915" s="1"/>
      <c r="K915" s="1"/>
      <c r="L915" s="1"/>
      <c r="M915" s="1"/>
    </row>
    <row r="916" spans="1:13">
      <c r="A916" s="1">
        <v>39.813566036707201</v>
      </c>
      <c r="B916" s="1">
        <v>19.60768984839142</v>
      </c>
      <c r="C916" s="1">
        <v>60.181637192571756</v>
      </c>
      <c r="D916" s="24">
        <f>Data__2[[#This Row],[Project_1]]/J$4</f>
        <v>0.26542377357804803</v>
      </c>
      <c r="E916" s="24">
        <f>Data__2[[#This Row],[Project_2]]/K$4</f>
        <v>0.13071793232260948</v>
      </c>
      <c r="F916" s="24">
        <f>Data__2[[#This Row],[Market]]/L$4</f>
        <v>6.0181637192571753E-2</v>
      </c>
      <c r="G916" s="1">
        <f>L$24*Data__2[[#This Row],[Return Market]]*J$4</f>
        <v>3.3434242884762124</v>
      </c>
      <c r="H916" s="1">
        <f>M$24*Data__2[[#This Row],[Return Market]]*K$4</f>
        <v>3.5105955029000233</v>
      </c>
      <c r="I916" s="1"/>
      <c r="J916" s="1"/>
      <c r="K916" s="1"/>
      <c r="L916" s="1"/>
      <c r="M916" s="1"/>
    </row>
    <row r="917" spans="1:13">
      <c r="A917" s="1">
        <v>4.4773039954261318</v>
      </c>
      <c r="B917" s="1">
        <v>0.48378188975186021</v>
      </c>
      <c r="C917" s="1">
        <v>109.44314651112271</v>
      </c>
      <c r="D917" s="24">
        <f>Data__2[[#This Row],[Project_1]]/J$4</f>
        <v>2.984869330284088E-2</v>
      </c>
      <c r="E917" s="24">
        <f>Data__2[[#This Row],[Project_2]]/K$4</f>
        <v>3.2252125983457348E-3</v>
      </c>
      <c r="F917" s="24">
        <f>Data__2[[#This Row],[Market]]/L$4</f>
        <v>0.1094431465111227</v>
      </c>
      <c r="G917" s="1">
        <f>L$24*Data__2[[#This Row],[Return Market]]*J$4</f>
        <v>6.0801748061734902</v>
      </c>
      <c r="H917" s="1">
        <f>M$24*Data__2[[#This Row],[Return Market]]*K$4</f>
        <v>6.3841835464821663</v>
      </c>
      <c r="I917" s="1"/>
      <c r="J917" s="1"/>
      <c r="K917" s="1"/>
      <c r="L917" s="1"/>
      <c r="M917" s="1"/>
    </row>
    <row r="918" spans="1:13">
      <c r="A918" s="1">
        <v>37.877650821561517</v>
      </c>
      <c r="B918" s="1">
        <v>10.594978740304407</v>
      </c>
      <c r="C918" s="1">
        <v>-68.102326611038137</v>
      </c>
      <c r="D918" s="24">
        <f>Data__2[[#This Row],[Project_1]]/J$4</f>
        <v>0.25251767214374343</v>
      </c>
      <c r="E918" s="24">
        <f>Data__2[[#This Row],[Project_2]]/K$4</f>
        <v>7.0633191602029383E-2</v>
      </c>
      <c r="F918" s="24">
        <f>Data__2[[#This Row],[Market]]/L$4</f>
        <v>-6.8102326611038141E-2</v>
      </c>
      <c r="G918" s="1">
        <f>L$24*Data__2[[#This Row],[Return Market]]*J$4</f>
        <v>-3.7834625895021237</v>
      </c>
      <c r="H918" s="1">
        <f>M$24*Data__2[[#This Row],[Return Market]]*K$4</f>
        <v>-3.9726357189772301</v>
      </c>
      <c r="I918" s="1"/>
      <c r="J918" s="1"/>
      <c r="K918" s="1"/>
      <c r="L918" s="1"/>
      <c r="M918" s="1"/>
    </row>
    <row r="919" spans="1:13">
      <c r="A919" s="1">
        <v>-8.2367543694964311</v>
      </c>
      <c r="B919" s="1">
        <v>17.967245101482305</v>
      </c>
      <c r="C919" s="1">
        <v>90.138975140598362</v>
      </c>
      <c r="D919" s="24">
        <f>Data__2[[#This Row],[Project_1]]/J$4</f>
        <v>-5.4911695796642873E-2</v>
      </c>
      <c r="E919" s="24">
        <f>Data__2[[#This Row],[Project_2]]/K$4</f>
        <v>0.11978163400988204</v>
      </c>
      <c r="F919" s="24">
        <f>Data__2[[#This Row],[Market]]/L$4</f>
        <v>9.0138975140598362E-2</v>
      </c>
      <c r="G919" s="1">
        <f>L$24*Data__2[[#This Row],[Return Market]]*J$4</f>
        <v>5.0077208411443594</v>
      </c>
      <c r="H919" s="1">
        <f>M$24*Data__2[[#This Row],[Return Market]]*K$4</f>
        <v>5.2581068832015774</v>
      </c>
      <c r="I919" s="1"/>
      <c r="J919" s="1"/>
      <c r="K919" s="1"/>
      <c r="L919" s="1"/>
      <c r="M919" s="1"/>
    </row>
    <row r="920" spans="1:13">
      <c r="A920" s="1">
        <v>14.36385329575344</v>
      </c>
      <c r="B920" s="1">
        <v>1.5857392929911089</v>
      </c>
      <c r="C920" s="1">
        <v>-101.61715581826357</v>
      </c>
      <c r="D920" s="24">
        <f>Data__2[[#This Row],[Project_1]]/J$4</f>
        <v>9.5759021971689604E-2</v>
      </c>
      <c r="E920" s="24">
        <f>Data__2[[#This Row],[Project_2]]/K$4</f>
        <v>1.0571595286607394E-2</v>
      </c>
      <c r="F920" s="24">
        <f>Data__2[[#This Row],[Market]]/L$4</f>
        <v>-0.10161715581826357</v>
      </c>
      <c r="G920" s="1">
        <f>L$24*Data__2[[#This Row],[Return Market]]*J$4</f>
        <v>-5.645397545459093</v>
      </c>
      <c r="H920" s="1">
        <f>M$24*Data__2[[#This Row],[Return Market]]*K$4</f>
        <v>-5.9276674227320498</v>
      </c>
      <c r="I920" s="1"/>
      <c r="J920" s="1"/>
      <c r="K920" s="1"/>
      <c r="L920" s="1"/>
      <c r="M920" s="1"/>
    </row>
    <row r="921" spans="1:13">
      <c r="A921" s="1">
        <v>7.15368535431229</v>
      </c>
      <c r="B921" s="1">
        <v>28.595189817869922</v>
      </c>
      <c r="C921" s="1">
        <v>318.75377762306323</v>
      </c>
      <c r="D921" s="24">
        <f>Data__2[[#This Row],[Project_1]]/J$4</f>
        <v>4.7691235695415266E-2</v>
      </c>
      <c r="E921" s="24">
        <f>Data__2[[#This Row],[Project_2]]/K$4</f>
        <v>0.19063459878579947</v>
      </c>
      <c r="F921" s="24">
        <f>Data__2[[#This Row],[Market]]/L$4</f>
        <v>0.31875377762306323</v>
      </c>
      <c r="G921" s="1">
        <f>L$24*Data__2[[#This Row],[Return Market]]*J$4</f>
        <v>17.708543201281312</v>
      </c>
      <c r="H921" s="1">
        <f>M$24*Data__2[[#This Row],[Return Market]]*K$4</f>
        <v>18.593970361345381</v>
      </c>
      <c r="I921" s="1"/>
      <c r="J921" s="1"/>
      <c r="K921" s="1"/>
      <c r="L921" s="1"/>
      <c r="M921" s="1"/>
    </row>
    <row r="922" spans="1:13">
      <c r="A922" s="1">
        <v>7.7618906096121307</v>
      </c>
      <c r="B922" s="1">
        <v>3.8478958620551609</v>
      </c>
      <c r="C922" s="1">
        <v>-300.33579518649856</v>
      </c>
      <c r="D922" s="24">
        <f>Data__2[[#This Row],[Project_1]]/J$4</f>
        <v>5.1745937397414205E-2</v>
      </c>
      <c r="E922" s="24">
        <f>Data__2[[#This Row],[Project_2]]/K$4</f>
        <v>2.5652639080367738E-2</v>
      </c>
      <c r="F922" s="24">
        <f>Data__2[[#This Row],[Market]]/L$4</f>
        <v>-0.30033579518649856</v>
      </c>
      <c r="G922" s="1">
        <f>L$24*Data__2[[#This Row],[Return Market]]*J$4</f>
        <v>-16.685321954805495</v>
      </c>
      <c r="H922" s="1">
        <f>M$24*Data__2[[#This Row],[Return Market]]*K$4</f>
        <v>-17.519588052545771</v>
      </c>
      <c r="I922" s="1"/>
      <c r="J922" s="1"/>
      <c r="K922" s="1"/>
      <c r="L922" s="1"/>
      <c r="M922" s="1"/>
    </row>
    <row r="923" spans="1:13">
      <c r="A923" s="1">
        <v>18.671823358866426</v>
      </c>
      <c r="B923" s="1">
        <v>8.0640051741988739</v>
      </c>
      <c r="C923" s="1">
        <v>258.78984765357711</v>
      </c>
      <c r="D923" s="24">
        <f>Data__2[[#This Row],[Project_1]]/J$4</f>
        <v>0.12447882239244284</v>
      </c>
      <c r="E923" s="24">
        <f>Data__2[[#This Row],[Project_2]]/K$4</f>
        <v>5.3760034494659159E-2</v>
      </c>
      <c r="F923" s="24">
        <f>Data__2[[#This Row],[Market]]/L$4</f>
        <v>0.2587898476535771</v>
      </c>
      <c r="G923" s="1">
        <f>L$24*Data__2[[#This Row],[Return Market]]*J$4</f>
        <v>14.377213758532077</v>
      </c>
      <c r="H923" s="1">
        <f>M$24*Data__2[[#This Row],[Return Market]]*K$4</f>
        <v>15.096074446458685</v>
      </c>
      <c r="I923" s="1"/>
      <c r="J923" s="1"/>
      <c r="K923" s="1"/>
      <c r="L923" s="1"/>
      <c r="M923" s="1"/>
    </row>
    <row r="924" spans="1:13">
      <c r="A924" s="1">
        <v>-26.298870628852562</v>
      </c>
      <c r="B924" s="1">
        <v>-14.006142510444686</v>
      </c>
      <c r="C924" s="1">
        <v>-295.88160160484671</v>
      </c>
      <c r="D924" s="24">
        <f>Data__2[[#This Row],[Project_1]]/J$4</f>
        <v>-0.17532580419235042</v>
      </c>
      <c r="E924" s="24">
        <f>Data__2[[#This Row],[Project_2]]/K$4</f>
        <v>-9.3374283402964581E-2</v>
      </c>
      <c r="F924" s="24">
        <f>Data__2[[#This Row],[Market]]/L$4</f>
        <v>-0.29588160160484672</v>
      </c>
      <c r="G924" s="1">
        <f>L$24*Data__2[[#This Row],[Return Market]]*J$4</f>
        <v>-16.437866755824839</v>
      </c>
      <c r="H924" s="1">
        <f>M$24*Data__2[[#This Row],[Return Market]]*K$4</f>
        <v>-17.25976009361608</v>
      </c>
      <c r="I924" s="1"/>
      <c r="J924" s="1"/>
      <c r="K924" s="1"/>
      <c r="L924" s="1"/>
      <c r="M924" s="1"/>
    </row>
    <row r="925" spans="1:13">
      <c r="A925" s="1">
        <v>-6.3136978381126028</v>
      </c>
      <c r="B925" s="1">
        <v>5.688494052154045</v>
      </c>
      <c r="C925" s="1">
        <v>193.1540514220392</v>
      </c>
      <c r="D925" s="24">
        <f>Data__2[[#This Row],[Project_1]]/J$4</f>
        <v>-4.2091318920750687E-2</v>
      </c>
      <c r="E925" s="24">
        <f>Data__2[[#This Row],[Project_2]]/K$4</f>
        <v>3.7923293681026968E-2</v>
      </c>
      <c r="F925" s="24">
        <f>Data__2[[#This Row],[Market]]/L$4</f>
        <v>0.1931540514220392</v>
      </c>
      <c r="G925" s="1">
        <f>L$24*Data__2[[#This Row],[Return Market]]*J$4</f>
        <v>10.730780634557746</v>
      </c>
      <c r="H925" s="1">
        <f>M$24*Data__2[[#This Row],[Return Market]]*K$4</f>
        <v>11.267319666285633</v>
      </c>
      <c r="I925" s="1"/>
      <c r="J925" s="1"/>
      <c r="K925" s="1"/>
      <c r="L925" s="1"/>
      <c r="M925" s="1"/>
    </row>
    <row r="926" spans="1:13">
      <c r="A926" s="1">
        <v>4.4175295367705978</v>
      </c>
      <c r="B926" s="1">
        <v>18.115094789799112</v>
      </c>
      <c r="C926" s="1">
        <v>170.59746585239171</v>
      </c>
      <c r="D926" s="24">
        <f>Data__2[[#This Row],[Project_1]]/J$4</f>
        <v>2.9450196911803984E-2</v>
      </c>
      <c r="E926" s="24">
        <f>Data__2[[#This Row],[Project_2]]/K$4</f>
        <v>0.12076729859866076</v>
      </c>
      <c r="F926" s="24">
        <f>Data__2[[#This Row],[Market]]/L$4</f>
        <v>0.17059746585239172</v>
      </c>
      <c r="G926" s="1">
        <f>L$24*Data__2[[#This Row],[Return Market]]*J$4</f>
        <v>9.4776369917995513</v>
      </c>
      <c r="H926" s="1">
        <f>M$24*Data__2[[#This Row],[Return Market]]*K$4</f>
        <v>9.9515188413895306</v>
      </c>
      <c r="I926" s="1"/>
      <c r="J926" s="1"/>
      <c r="K926" s="1"/>
      <c r="L926" s="1"/>
      <c r="M926" s="1"/>
    </row>
    <row r="927" spans="1:13">
      <c r="A927" s="1">
        <v>4.8901500323775986</v>
      </c>
      <c r="B927" s="1">
        <v>8.4233821784990219</v>
      </c>
      <c r="C927" s="1">
        <v>157.32387302841585</v>
      </c>
      <c r="D927" s="24">
        <f>Data__2[[#This Row],[Project_1]]/J$4</f>
        <v>3.2601000215850655E-2</v>
      </c>
      <c r="E927" s="24">
        <f>Data__2[[#This Row],[Project_2]]/K$4</f>
        <v>5.6155881189993477E-2</v>
      </c>
      <c r="F927" s="24">
        <f>Data__2[[#This Row],[Market]]/L$4</f>
        <v>0.15732387302841586</v>
      </c>
      <c r="G927" s="1">
        <f>L$24*Data__2[[#This Row],[Return Market]]*J$4</f>
        <v>8.7402151682453351</v>
      </c>
      <c r="H927" s="1">
        <f>M$24*Data__2[[#This Row],[Return Market]]*K$4</f>
        <v>9.1772259266576039</v>
      </c>
      <c r="I927" s="1"/>
      <c r="J927" s="1"/>
      <c r="K927" s="1"/>
      <c r="L927" s="1"/>
      <c r="M927" s="1"/>
    </row>
    <row r="928" spans="1:13">
      <c r="A928" s="1">
        <v>-8.3790348819897531</v>
      </c>
      <c r="B928" s="1">
        <v>-15.146116045573692</v>
      </c>
      <c r="C928" s="1">
        <v>-28.619597513659741</v>
      </c>
      <c r="D928" s="24">
        <f>Data__2[[#This Row],[Project_1]]/J$4</f>
        <v>-5.5860232546598353E-2</v>
      </c>
      <c r="E928" s="24">
        <f>Data__2[[#This Row],[Project_2]]/K$4</f>
        <v>-0.10097410697049128</v>
      </c>
      <c r="F928" s="24">
        <f>Data__2[[#This Row],[Market]]/L$4</f>
        <v>-2.861959751365974E-2</v>
      </c>
      <c r="G928" s="1">
        <f>L$24*Data__2[[#This Row],[Return Market]]*J$4</f>
        <v>-1.5899776396477652</v>
      </c>
      <c r="H928" s="1">
        <f>M$24*Data__2[[#This Row],[Return Market]]*K$4</f>
        <v>-1.6694765216301537</v>
      </c>
      <c r="I928" s="1"/>
      <c r="J928" s="1"/>
      <c r="K928" s="1"/>
      <c r="L928" s="1"/>
      <c r="M928" s="1"/>
    </row>
    <row r="929" spans="1:13">
      <c r="A929" s="1">
        <v>4.7521794796480599</v>
      </c>
      <c r="B929" s="1">
        <v>-0.64210556018620224</v>
      </c>
      <c r="C929" s="1">
        <v>-60.465314169829242</v>
      </c>
      <c r="D929" s="24">
        <f>Data__2[[#This Row],[Project_1]]/J$4</f>
        <v>3.1681196530987069E-2</v>
      </c>
      <c r="E929" s="24">
        <f>Data__2[[#This Row],[Project_2]]/K$4</f>
        <v>-4.2807037345746817E-3</v>
      </c>
      <c r="F929" s="24">
        <f>Data__2[[#This Row],[Market]]/L$4</f>
        <v>-6.046531416982924E-2</v>
      </c>
      <c r="G929" s="1">
        <f>L$24*Data__2[[#This Row],[Return Market]]*J$4</f>
        <v>-3.3591841205460726</v>
      </c>
      <c r="H929" s="1">
        <f>M$24*Data__2[[#This Row],[Return Market]]*K$4</f>
        <v>-3.5271433265733769</v>
      </c>
      <c r="I929" s="1"/>
      <c r="J929" s="1"/>
      <c r="K929" s="1"/>
      <c r="L929" s="1"/>
      <c r="M929" s="1"/>
    </row>
    <row r="930" spans="1:13">
      <c r="A930" s="1">
        <v>-11.806085850858853</v>
      </c>
      <c r="B930" s="1">
        <v>-6.5515807853758545</v>
      </c>
      <c r="C930" s="1">
        <v>91.242184076441404</v>
      </c>
      <c r="D930" s="24">
        <f>Data__2[[#This Row],[Project_1]]/J$4</f>
        <v>-7.8707239005725682E-2</v>
      </c>
      <c r="E930" s="24">
        <f>Data__2[[#This Row],[Project_2]]/K$4</f>
        <v>-4.3677205235839033E-2</v>
      </c>
      <c r="F930" s="24">
        <f>Data__2[[#This Row],[Market]]/L$4</f>
        <v>9.1242184076441399E-2</v>
      </c>
      <c r="G930" s="1">
        <f>L$24*Data__2[[#This Row],[Return Market]]*J$4</f>
        <v>5.069010226468972</v>
      </c>
      <c r="H930" s="1">
        <f>M$24*Data__2[[#This Row],[Return Market]]*K$4</f>
        <v>5.3224607377924222</v>
      </c>
      <c r="I930" s="1"/>
      <c r="J930" s="1"/>
      <c r="K930" s="1"/>
      <c r="L930" s="1"/>
      <c r="M930" s="1"/>
    </row>
    <row r="931" spans="1:13">
      <c r="A931" s="1">
        <v>-16.603008119157998</v>
      </c>
      <c r="B931" s="1">
        <v>8.4145685299366306</v>
      </c>
      <c r="C931" s="1">
        <v>81.331642564113295</v>
      </c>
      <c r="D931" s="24">
        <f>Data__2[[#This Row],[Project_1]]/J$4</f>
        <v>-0.11068672079438666</v>
      </c>
      <c r="E931" s="24">
        <f>Data__2[[#This Row],[Project_2]]/K$4</f>
        <v>5.6097123532910874E-2</v>
      </c>
      <c r="F931" s="24">
        <f>Data__2[[#This Row],[Market]]/L$4</f>
        <v>8.1331642564113293E-2</v>
      </c>
      <c r="G931" s="1">
        <f>L$24*Data__2[[#This Row],[Return Market]]*J$4</f>
        <v>4.518424586895188</v>
      </c>
      <c r="H931" s="1">
        <f>M$24*Data__2[[#This Row],[Return Market]]*K$4</f>
        <v>4.7443458162399486</v>
      </c>
      <c r="I931" s="1"/>
      <c r="J931" s="1"/>
      <c r="K931" s="1"/>
      <c r="L931" s="1"/>
      <c r="M931" s="1"/>
    </row>
    <row r="932" spans="1:13">
      <c r="A932" s="1">
        <v>44.118615887505925</v>
      </c>
      <c r="B932" s="1">
        <v>18.259994656523531</v>
      </c>
      <c r="C932" s="1">
        <v>115.87393677801278</v>
      </c>
      <c r="D932" s="24">
        <f>Data__2[[#This Row],[Project_1]]/J$4</f>
        <v>0.29412410591670618</v>
      </c>
      <c r="E932" s="24">
        <f>Data__2[[#This Row],[Project_2]]/K$4</f>
        <v>0.12173329771015688</v>
      </c>
      <c r="F932" s="24">
        <f>Data__2[[#This Row],[Market]]/L$4</f>
        <v>0.11587393677801278</v>
      </c>
      <c r="G932" s="1">
        <f>L$24*Data__2[[#This Row],[Return Market]]*J$4</f>
        <v>6.4374409321118282</v>
      </c>
      <c r="H932" s="1">
        <f>M$24*Data__2[[#This Row],[Return Market]]*K$4</f>
        <v>6.7593129787174204</v>
      </c>
      <c r="I932" s="1"/>
      <c r="J932" s="1"/>
      <c r="K932" s="1"/>
      <c r="L932" s="1"/>
      <c r="M932" s="1"/>
    </row>
    <row r="933" spans="1:13">
      <c r="A933" s="1">
        <v>22.447293566465227</v>
      </c>
      <c r="B933" s="1">
        <v>13.385067176199694</v>
      </c>
      <c r="C933" s="1">
        <v>133.46624704759313</v>
      </c>
      <c r="D933" s="24">
        <f>Data__2[[#This Row],[Project_1]]/J$4</f>
        <v>0.14964862377643484</v>
      </c>
      <c r="E933" s="24">
        <f>Data__2[[#This Row],[Project_2]]/K$4</f>
        <v>8.9233781174664628E-2</v>
      </c>
      <c r="F933" s="24">
        <f>Data__2[[#This Row],[Market]]/L$4</f>
        <v>0.13346624704759313</v>
      </c>
      <c r="G933" s="1">
        <f>L$24*Data__2[[#This Row],[Return Market]]*J$4</f>
        <v>7.4147915026440714</v>
      </c>
      <c r="H933" s="1">
        <f>M$24*Data__2[[#This Row],[Return Market]]*K$4</f>
        <v>7.7855310777762767</v>
      </c>
      <c r="I933" s="1"/>
      <c r="J933" s="1"/>
      <c r="K933" s="1"/>
      <c r="L933" s="1"/>
      <c r="M933" s="1"/>
    </row>
    <row r="934" spans="1:13">
      <c r="A934" s="1">
        <v>45.548244850343892</v>
      </c>
      <c r="B934" s="1">
        <v>41.620927336633017</v>
      </c>
      <c r="C934" s="1">
        <v>433.57131168976963</v>
      </c>
      <c r="D934" s="24">
        <f>Data__2[[#This Row],[Project_1]]/J$4</f>
        <v>0.30365496566895928</v>
      </c>
      <c r="E934" s="24">
        <f>Data__2[[#This Row],[Project_2]]/K$4</f>
        <v>0.2774728489108868</v>
      </c>
      <c r="F934" s="24">
        <f>Data__2[[#This Row],[Market]]/L$4</f>
        <v>0.43357131168976965</v>
      </c>
      <c r="G934" s="1">
        <f>L$24*Data__2[[#This Row],[Return Market]]*J$4</f>
        <v>24.087295093876119</v>
      </c>
      <c r="H934" s="1">
        <f>M$24*Data__2[[#This Row],[Return Market]]*K$4</f>
        <v>25.291659848569928</v>
      </c>
      <c r="I934" s="1"/>
      <c r="J934" s="1"/>
      <c r="K934" s="1"/>
      <c r="L934" s="1"/>
      <c r="M934" s="1"/>
    </row>
    <row r="935" spans="1:13">
      <c r="A935" s="1">
        <v>3.5000345476292614</v>
      </c>
      <c r="B935" s="1">
        <v>11.078114802830379</v>
      </c>
      <c r="C935" s="1">
        <v>-129.71536218216372</v>
      </c>
      <c r="D935" s="24">
        <f>Data__2[[#This Row],[Project_1]]/J$4</f>
        <v>2.3333563650861741E-2</v>
      </c>
      <c r="E935" s="24">
        <f>Data__2[[#This Row],[Project_2]]/K$4</f>
        <v>7.3854098685535857E-2</v>
      </c>
      <c r="F935" s="24">
        <f>Data__2[[#This Row],[Market]]/L$4</f>
        <v>-0.12971536218216373</v>
      </c>
      <c r="G935" s="1">
        <f>L$24*Data__2[[#This Row],[Return Market]]*J$4</f>
        <v>-7.2064090101202147</v>
      </c>
      <c r="H935" s="1">
        <f>M$24*Data__2[[#This Row],[Return Market]]*K$4</f>
        <v>-7.5667294606262265</v>
      </c>
      <c r="I935" s="1"/>
      <c r="J935" s="1"/>
      <c r="K935" s="1"/>
      <c r="L935" s="1"/>
      <c r="M935" s="1"/>
    </row>
    <row r="936" spans="1:13">
      <c r="A936" s="1">
        <v>7.5875868215332885</v>
      </c>
      <c r="B936" s="1">
        <v>2.4211635308531703</v>
      </c>
      <c r="C936" s="1">
        <v>-86.998997855651197</v>
      </c>
      <c r="D936" s="24">
        <f>Data__2[[#This Row],[Project_1]]/J$4</f>
        <v>5.058391214355526E-2</v>
      </c>
      <c r="E936" s="24">
        <f>Data__2[[#This Row],[Project_2]]/K$4</f>
        <v>1.61410902056878E-2</v>
      </c>
      <c r="F936" s="24">
        <f>Data__2[[#This Row],[Market]]/L$4</f>
        <v>-8.6998997855651197E-2</v>
      </c>
      <c r="G936" s="1">
        <f>L$24*Data__2[[#This Row],[Return Market]]*J$4</f>
        <v>-4.8332776586472947</v>
      </c>
      <c r="H936" s="1">
        <f>M$24*Data__2[[#This Row],[Return Market]]*K$4</f>
        <v>-5.0749415415796602</v>
      </c>
      <c r="I936" s="1"/>
      <c r="J936" s="1"/>
      <c r="K936" s="1"/>
      <c r="L936" s="1"/>
      <c r="M936" s="1"/>
    </row>
    <row r="937" spans="1:13">
      <c r="A937" s="1">
        <v>13.873706853160648</v>
      </c>
      <c r="B937" s="1">
        <v>27.91495166592011</v>
      </c>
      <c r="C937" s="1">
        <v>307.29230392609094</v>
      </c>
      <c r="D937" s="24">
        <f>Data__2[[#This Row],[Project_1]]/J$4</f>
        <v>9.2491379021070991E-2</v>
      </c>
      <c r="E937" s="24">
        <f>Data__2[[#This Row],[Project_2]]/K$4</f>
        <v>0.18609967777280073</v>
      </c>
      <c r="F937" s="24">
        <f>Data__2[[#This Row],[Market]]/L$4</f>
        <v>0.30729230392609092</v>
      </c>
      <c r="G937" s="1">
        <f>L$24*Data__2[[#This Row],[Return Market]]*J$4</f>
        <v>17.071794662560627</v>
      </c>
      <c r="H937" s="1">
        <f>M$24*Data__2[[#This Row],[Return Market]]*K$4</f>
        <v>17.92538439568866</v>
      </c>
      <c r="I937" s="1"/>
      <c r="J937" s="1"/>
      <c r="K937" s="1"/>
      <c r="L937" s="1"/>
      <c r="M937" s="1"/>
    </row>
    <row r="938" spans="1:13">
      <c r="A938" s="1">
        <v>14.542601477242236</v>
      </c>
      <c r="B938" s="1">
        <v>17.770204976528092</v>
      </c>
      <c r="C938" s="1">
        <v>304.98887660895804</v>
      </c>
      <c r="D938" s="24">
        <f>Data__2[[#This Row],[Project_1]]/J$4</f>
        <v>9.6950676514948236E-2</v>
      </c>
      <c r="E938" s="24">
        <f>Data__2[[#This Row],[Project_2]]/K$4</f>
        <v>0.11846803317685395</v>
      </c>
      <c r="F938" s="24">
        <f>Data__2[[#This Row],[Market]]/L$4</f>
        <v>0.30498887660895801</v>
      </c>
      <c r="G938" s="1">
        <f>L$24*Data__2[[#This Row],[Return Market]]*J$4</f>
        <v>16.943826478275465</v>
      </c>
      <c r="H938" s="1">
        <f>M$24*Data__2[[#This Row],[Return Market]]*K$4</f>
        <v>17.791017802189241</v>
      </c>
      <c r="I938" s="1"/>
      <c r="J938" s="1"/>
      <c r="K938" s="1"/>
      <c r="L938" s="1"/>
      <c r="M938" s="1"/>
    </row>
    <row r="939" spans="1:13">
      <c r="A939" s="1">
        <v>-16.326502497854623</v>
      </c>
      <c r="B939" s="1">
        <v>15.015195804152796</v>
      </c>
      <c r="C939" s="1">
        <v>387.03329191614563</v>
      </c>
      <c r="D939" s="24">
        <f>Data__2[[#This Row],[Project_1]]/J$4</f>
        <v>-0.10884334998569749</v>
      </c>
      <c r="E939" s="24">
        <f>Data__2[[#This Row],[Project_2]]/K$4</f>
        <v>0.10010130536101865</v>
      </c>
      <c r="F939" s="24">
        <f>Data__2[[#This Row],[Market]]/L$4</f>
        <v>0.38703329191614561</v>
      </c>
      <c r="G939" s="1">
        <f>L$24*Data__2[[#This Row],[Return Market]]*J$4</f>
        <v>21.501849550896999</v>
      </c>
      <c r="H939" s="1">
        <f>M$24*Data__2[[#This Row],[Return Market]]*K$4</f>
        <v>22.576942028441856</v>
      </c>
      <c r="I939" s="1"/>
      <c r="J939" s="1"/>
      <c r="K939" s="1"/>
      <c r="L939" s="1"/>
      <c r="M939" s="1"/>
    </row>
    <row r="940" spans="1:13">
      <c r="A940" s="1">
        <v>4.9976077222005433</v>
      </c>
      <c r="B940" s="1">
        <v>12.462897726131079</v>
      </c>
      <c r="C940" s="1">
        <v>66.745426853209182</v>
      </c>
      <c r="D940" s="24">
        <f>Data__2[[#This Row],[Project_1]]/J$4</f>
        <v>3.3317384814670288E-2</v>
      </c>
      <c r="E940" s="24">
        <f>Data__2[[#This Row],[Project_2]]/K$4</f>
        <v>8.3085984840873858E-2</v>
      </c>
      <c r="F940" s="24">
        <f>Data__2[[#This Row],[Market]]/L$4</f>
        <v>6.674542685320918E-2</v>
      </c>
      <c r="G940" s="1">
        <f>L$24*Data__2[[#This Row],[Return Market]]*J$4</f>
        <v>3.7080792696227367</v>
      </c>
      <c r="H940" s="1">
        <f>M$24*Data__2[[#This Row],[Return Market]]*K$4</f>
        <v>3.8934832331038738</v>
      </c>
      <c r="I940" s="1"/>
      <c r="J940" s="1"/>
      <c r="K940" s="1"/>
      <c r="L940" s="1"/>
      <c r="M940" s="1"/>
    </row>
    <row r="941" spans="1:13">
      <c r="A941" s="1">
        <v>-13.205342229148581</v>
      </c>
      <c r="B941" s="1">
        <v>0.27035838003233792</v>
      </c>
      <c r="C941" s="1">
        <v>51.228448158489748</v>
      </c>
      <c r="D941" s="24">
        <f>Data__2[[#This Row],[Project_1]]/J$4</f>
        <v>-8.8035614860990541E-2</v>
      </c>
      <c r="E941" s="24">
        <f>Data__2[[#This Row],[Project_2]]/K$4</f>
        <v>1.802389200215586E-3</v>
      </c>
      <c r="F941" s="24">
        <f>Data__2[[#This Row],[Market]]/L$4</f>
        <v>5.1228448158489745E-2</v>
      </c>
      <c r="G941" s="1">
        <f>L$24*Data__2[[#This Row],[Return Market]]*J$4</f>
        <v>2.8460248976938782</v>
      </c>
      <c r="H941" s="1">
        <f>M$24*Data__2[[#This Row],[Return Market]]*K$4</f>
        <v>2.9883261425785728</v>
      </c>
      <c r="I941" s="1"/>
      <c r="J941" s="1"/>
      <c r="K941" s="1"/>
      <c r="L941" s="1"/>
      <c r="M941" s="1"/>
    </row>
    <row r="942" spans="1:13">
      <c r="A942" s="1">
        <v>40.995772154846676</v>
      </c>
      <c r="B942" s="1">
        <v>30.438780717143377</v>
      </c>
      <c r="C942" s="1">
        <v>234.37175481327577</v>
      </c>
      <c r="D942" s="24">
        <f>Data__2[[#This Row],[Project_1]]/J$4</f>
        <v>0.27330514769897785</v>
      </c>
      <c r="E942" s="24">
        <f>Data__2[[#This Row],[Project_2]]/K$4</f>
        <v>0.20292520478095585</v>
      </c>
      <c r="F942" s="24">
        <f>Data__2[[#This Row],[Market]]/L$4</f>
        <v>0.23437175481327577</v>
      </c>
      <c r="G942" s="1">
        <f>L$24*Data__2[[#This Row],[Return Market]]*J$4</f>
        <v>13.020653045182002</v>
      </c>
      <c r="H942" s="1">
        <f>M$24*Data__2[[#This Row],[Return Market]]*K$4</f>
        <v>13.671685697441104</v>
      </c>
      <c r="I942" s="1"/>
      <c r="J942" s="1"/>
      <c r="K942" s="1"/>
      <c r="L942" s="1"/>
      <c r="M942" s="1"/>
    </row>
    <row r="943" spans="1:13">
      <c r="A943" s="1">
        <v>-11.114904255519441</v>
      </c>
      <c r="B943" s="1">
        <v>-14.040708265584929</v>
      </c>
      <c r="C943" s="1">
        <v>-132.42486063356276</v>
      </c>
      <c r="D943" s="24">
        <f>Data__2[[#This Row],[Project_1]]/J$4</f>
        <v>-7.4099361703462943E-2</v>
      </c>
      <c r="E943" s="24">
        <f>Data__2[[#This Row],[Project_2]]/K$4</f>
        <v>-9.3604721770566196E-2</v>
      </c>
      <c r="F943" s="24">
        <f>Data__2[[#This Row],[Market]]/L$4</f>
        <v>-0.13242486063356276</v>
      </c>
      <c r="G943" s="1">
        <f>L$24*Data__2[[#This Row],[Return Market]]*J$4</f>
        <v>-7.3569367018646066</v>
      </c>
      <c r="H943" s="1">
        <f>M$24*Data__2[[#This Row],[Return Market]]*K$4</f>
        <v>-7.7247835369578377</v>
      </c>
      <c r="I943" s="1"/>
      <c r="J943" s="1"/>
      <c r="K943" s="1"/>
      <c r="L943" s="1"/>
      <c r="M943" s="1"/>
    </row>
    <row r="944" spans="1:13">
      <c r="A944" s="1">
        <v>12.940797850972265</v>
      </c>
      <c r="B944" s="1">
        <v>12.060305413481061</v>
      </c>
      <c r="C944" s="1">
        <v>145.49138604305443</v>
      </c>
      <c r="D944" s="24">
        <f>Data__2[[#This Row],[Project_1]]/J$4</f>
        <v>8.6271985673148435E-2</v>
      </c>
      <c r="E944" s="24">
        <f>Data__2[[#This Row],[Project_2]]/K$4</f>
        <v>8.0402036089873744E-2</v>
      </c>
      <c r="F944" s="24">
        <f>Data__2[[#This Row],[Market]]/L$4</f>
        <v>0.14549138604305442</v>
      </c>
      <c r="G944" s="1">
        <f>L$24*Data__2[[#This Row],[Return Market]]*J$4</f>
        <v>8.0828547801696988</v>
      </c>
      <c r="H944" s="1">
        <f>M$24*Data__2[[#This Row],[Return Market]]*K$4</f>
        <v>8.4869975191781855</v>
      </c>
      <c r="I944" s="1"/>
      <c r="J944" s="1"/>
      <c r="K944" s="1"/>
      <c r="L944" s="1"/>
      <c r="M944" s="1"/>
    </row>
    <row r="945" spans="1:13">
      <c r="A945" s="1">
        <v>18.035236324551313</v>
      </c>
      <c r="B945" s="1">
        <v>30.613522830634732</v>
      </c>
      <c r="C945" s="1">
        <v>194.66232019826458</v>
      </c>
      <c r="D945" s="24">
        <f>Data__2[[#This Row],[Project_1]]/J$4</f>
        <v>0.12023490883034209</v>
      </c>
      <c r="E945" s="24">
        <f>Data__2[[#This Row],[Project_2]]/K$4</f>
        <v>0.20409015220423155</v>
      </c>
      <c r="F945" s="24">
        <f>Data__2[[#This Row],[Market]]/L$4</f>
        <v>0.19466232019826457</v>
      </c>
      <c r="G945" s="1">
        <f>L$24*Data__2[[#This Row],[Return Market]]*J$4</f>
        <v>10.814573344348043</v>
      </c>
      <c r="H945" s="1">
        <f>M$24*Data__2[[#This Row],[Return Market]]*K$4</f>
        <v>11.355302011565449</v>
      </c>
      <c r="I945" s="1"/>
      <c r="J945" s="1"/>
      <c r="K945" s="1"/>
      <c r="L945" s="1"/>
      <c r="M945" s="1"/>
    </row>
    <row r="946" spans="1:13">
      <c r="A946" s="1">
        <v>19.744122833465099</v>
      </c>
      <c r="B946" s="1">
        <v>13.147979958511971</v>
      </c>
      <c r="C946" s="1">
        <v>154.82034250304656</v>
      </c>
      <c r="D946" s="24">
        <f>Data__2[[#This Row],[Project_1]]/J$4</f>
        <v>0.131627485556434</v>
      </c>
      <c r="E946" s="24">
        <f>Data__2[[#This Row],[Project_2]]/K$4</f>
        <v>8.7653199723413136E-2</v>
      </c>
      <c r="F946" s="24">
        <f>Data__2[[#This Row],[Market]]/L$4</f>
        <v>0.15482034250304655</v>
      </c>
      <c r="G946" s="1">
        <f>L$24*Data__2[[#This Row],[Return Market]]*J$4</f>
        <v>8.6011301390581512</v>
      </c>
      <c r="H946" s="1">
        <f>M$24*Data__2[[#This Row],[Return Market]]*K$4</f>
        <v>9.0311866460110597</v>
      </c>
      <c r="I946" s="1"/>
      <c r="J946" s="1"/>
      <c r="K946" s="1"/>
      <c r="L946" s="1"/>
      <c r="M946" s="1"/>
    </row>
    <row r="947" spans="1:13">
      <c r="A947" s="1">
        <v>1.1904746662507328</v>
      </c>
      <c r="B947" s="1">
        <v>15.492274092511256</v>
      </c>
      <c r="C947" s="1">
        <v>-8.9372273846549888E-2</v>
      </c>
      <c r="D947" s="24">
        <f>Data__2[[#This Row],[Project_1]]/J$4</f>
        <v>7.9364977750048856E-3</v>
      </c>
      <c r="E947" s="24">
        <f>Data__2[[#This Row],[Project_2]]/K$4</f>
        <v>0.10328182728340837</v>
      </c>
      <c r="F947" s="24">
        <f>Data__2[[#This Row],[Market]]/L$4</f>
        <v>-8.9372273846549885E-5</v>
      </c>
      <c r="G947" s="1">
        <f>L$24*Data__2[[#This Row],[Return Market]]*J$4</f>
        <v>-4.9651263248083324E-3</v>
      </c>
      <c r="H947" s="1">
        <f>M$24*Data__2[[#This Row],[Return Market]]*K$4</f>
        <v>-5.2133826410487505E-3</v>
      </c>
      <c r="I947" s="1"/>
      <c r="J947" s="1"/>
      <c r="K947" s="1"/>
      <c r="L947" s="1"/>
      <c r="M947" s="1"/>
    </row>
    <row r="948" spans="1:13">
      <c r="A948" s="1">
        <v>-17.380097219466759</v>
      </c>
      <c r="B948" s="1">
        <v>23.704616882504034</v>
      </c>
      <c r="C948" s="1">
        <v>102.11929319809744</v>
      </c>
      <c r="D948" s="24">
        <f>Data__2[[#This Row],[Project_1]]/J$4</f>
        <v>-0.11586731479644506</v>
      </c>
      <c r="E948" s="24">
        <f>Data__2[[#This Row],[Project_2]]/K$4</f>
        <v>0.15803077921669356</v>
      </c>
      <c r="F948" s="24">
        <f>Data__2[[#This Row],[Market]]/L$4</f>
        <v>0.10211929319809744</v>
      </c>
      <c r="G948" s="1">
        <f>L$24*Data__2[[#This Row],[Return Market]]*J$4</f>
        <v>5.6732940665609757</v>
      </c>
      <c r="H948" s="1">
        <f>M$24*Data__2[[#This Row],[Return Market]]*K$4</f>
        <v>5.9569587698890247</v>
      </c>
      <c r="I948" s="1"/>
      <c r="J948" s="1"/>
      <c r="K948" s="1"/>
      <c r="L948" s="1"/>
      <c r="M948" s="1"/>
    </row>
    <row r="949" spans="1:13">
      <c r="A949" s="1">
        <v>-27.581885699422273</v>
      </c>
      <c r="B949" s="1">
        <v>-6.9905684365335823</v>
      </c>
      <c r="C949" s="1">
        <v>-202.46568646179156</v>
      </c>
      <c r="D949" s="24">
        <f>Data__2[[#This Row],[Project_1]]/J$4</f>
        <v>-0.1838792379961485</v>
      </c>
      <c r="E949" s="24">
        <f>Data__2[[#This Row],[Project_2]]/K$4</f>
        <v>-4.6603789576890549E-2</v>
      </c>
      <c r="F949" s="24">
        <f>Data__2[[#This Row],[Market]]/L$4</f>
        <v>-0.20246568646179156</v>
      </c>
      <c r="G949" s="1">
        <f>L$24*Data__2[[#This Row],[Return Market]]*J$4</f>
        <v>-11.248093692321767</v>
      </c>
      <c r="H949" s="1">
        <f>M$24*Data__2[[#This Row],[Return Market]]*K$4</f>
        <v>-11.810498376937856</v>
      </c>
      <c r="I949" s="1"/>
      <c r="J949" s="1"/>
      <c r="K949" s="1"/>
      <c r="L949" s="1"/>
      <c r="M949" s="1"/>
    </row>
    <row r="950" spans="1:13">
      <c r="A950" s="1">
        <v>14.290825473159241</v>
      </c>
      <c r="B950" s="1">
        <v>6.1819441529486081</v>
      </c>
      <c r="C950" s="1">
        <v>166.27396721608073</v>
      </c>
      <c r="D950" s="24">
        <f>Data__2[[#This Row],[Project_1]]/J$4</f>
        <v>9.5272169821061611E-2</v>
      </c>
      <c r="E950" s="24">
        <f>Data__2[[#This Row],[Project_2]]/K$4</f>
        <v>4.1212961019657386E-2</v>
      </c>
      <c r="F950" s="24">
        <f>Data__2[[#This Row],[Market]]/L$4</f>
        <v>0.16627396721608073</v>
      </c>
      <c r="G950" s="1">
        <f>L$24*Data__2[[#This Row],[Return Market]]*J$4</f>
        <v>9.2374426231156068</v>
      </c>
      <c r="H950" s="1">
        <f>M$24*Data__2[[#This Row],[Return Market]]*K$4</f>
        <v>9.6993147542713896</v>
      </c>
      <c r="I950" s="1"/>
      <c r="J950" s="1"/>
      <c r="K950" s="1"/>
      <c r="L950" s="1"/>
      <c r="M950" s="1"/>
    </row>
    <row r="951" spans="1:13">
      <c r="A951" s="1">
        <v>-8.647986431390116</v>
      </c>
      <c r="B951" s="1">
        <v>-19.055798751097104</v>
      </c>
      <c r="C951" s="1">
        <v>-108.4221283428559</v>
      </c>
      <c r="D951" s="24">
        <f>Data__2[[#This Row],[Project_1]]/J$4</f>
        <v>-5.7653242875934103E-2</v>
      </c>
      <c r="E951" s="24">
        <f>Data__2[[#This Row],[Project_2]]/K$4</f>
        <v>-0.12703865834064737</v>
      </c>
      <c r="F951" s="24">
        <f>Data__2[[#This Row],[Market]]/L$4</f>
        <v>-0.1084221283428559</v>
      </c>
      <c r="G951" s="1">
        <f>L$24*Data__2[[#This Row],[Return Market]]*J$4</f>
        <v>-6.0234515746031132</v>
      </c>
      <c r="H951" s="1">
        <f>M$24*Data__2[[#This Row],[Return Market]]*K$4</f>
        <v>-6.3246241533332688</v>
      </c>
      <c r="I951" s="1"/>
      <c r="J951" s="1"/>
      <c r="K951" s="1"/>
      <c r="L951" s="1"/>
      <c r="M951" s="1"/>
    </row>
    <row r="952" spans="1:13">
      <c r="A952" s="1">
        <v>-2.298609162102677</v>
      </c>
      <c r="B952" s="1">
        <v>6.8815452999908633</v>
      </c>
      <c r="C952" s="1">
        <v>72.426769214527042</v>
      </c>
      <c r="D952" s="24">
        <f>Data__2[[#This Row],[Project_1]]/J$4</f>
        <v>-1.5324061080684513E-2</v>
      </c>
      <c r="E952" s="24">
        <f>Data__2[[#This Row],[Project_2]]/K$4</f>
        <v>4.5876968666605754E-2</v>
      </c>
      <c r="F952" s="24">
        <f>Data__2[[#This Row],[Market]]/L$4</f>
        <v>7.2426769214527037E-2</v>
      </c>
      <c r="G952" s="1">
        <f>L$24*Data__2[[#This Row],[Return Market]]*J$4</f>
        <v>4.0237094008070624</v>
      </c>
      <c r="H952" s="1">
        <f>M$24*Data__2[[#This Row],[Return Market]]*K$4</f>
        <v>4.2248948708474163</v>
      </c>
      <c r="I952" s="1"/>
      <c r="J952" s="1"/>
      <c r="K952" s="1"/>
      <c r="L952" s="1"/>
      <c r="M952" s="1"/>
    </row>
    <row r="953" spans="1:13">
      <c r="A953" s="1">
        <v>6.0244834691404225</v>
      </c>
      <c r="B953" s="1">
        <v>-12.275012028188335</v>
      </c>
      <c r="C953" s="1">
        <v>-221.00788188858934</v>
      </c>
      <c r="D953" s="24">
        <f>Data__2[[#This Row],[Project_1]]/J$4</f>
        <v>4.0163223127602815E-2</v>
      </c>
      <c r="E953" s="24">
        <f>Data__2[[#This Row],[Project_2]]/K$4</f>
        <v>-8.1833413521255574E-2</v>
      </c>
      <c r="F953" s="24">
        <f>Data__2[[#This Row],[Market]]/L$4</f>
        <v>-0.22100788188858933</v>
      </c>
      <c r="G953" s="1">
        <f>L$24*Data__2[[#This Row],[Return Market]]*J$4</f>
        <v>-12.278215660477199</v>
      </c>
      <c r="H953" s="1">
        <f>M$24*Data__2[[#This Row],[Return Market]]*K$4</f>
        <v>-12.892126443501063</v>
      </c>
      <c r="I953" s="1"/>
      <c r="J953" s="1"/>
      <c r="K953" s="1"/>
      <c r="L953" s="1"/>
      <c r="M953" s="1"/>
    </row>
    <row r="954" spans="1:13">
      <c r="A954" s="1">
        <v>-16.684265757509433</v>
      </c>
      <c r="B954" s="1">
        <v>9.5342326894997296</v>
      </c>
      <c r="C954" s="1">
        <v>-53.179034699843868</v>
      </c>
      <c r="D954" s="24">
        <f>Data__2[[#This Row],[Project_1]]/J$4</f>
        <v>-0.11122843838339622</v>
      </c>
      <c r="E954" s="24">
        <f>Data__2[[#This Row],[Project_2]]/K$4</f>
        <v>6.3561551263331531E-2</v>
      </c>
      <c r="F954" s="24">
        <f>Data__2[[#This Row],[Market]]/L$4</f>
        <v>-5.317903469984387E-2</v>
      </c>
      <c r="G954" s="1">
        <f>L$24*Data__2[[#This Row],[Return Market]]*J$4</f>
        <v>-2.9543908166579964</v>
      </c>
      <c r="H954" s="1">
        <f>M$24*Data__2[[#This Row],[Return Market]]*K$4</f>
        <v>-3.1021103574908966</v>
      </c>
      <c r="I954" s="1"/>
      <c r="J954" s="1"/>
      <c r="K954" s="1"/>
      <c r="L954" s="1"/>
      <c r="M954" s="1"/>
    </row>
    <row r="955" spans="1:13">
      <c r="A955" s="1">
        <v>15.864635713315511</v>
      </c>
      <c r="B955" s="1">
        <v>4.2373126370329448</v>
      </c>
      <c r="C955" s="1">
        <v>128.39075603975269</v>
      </c>
      <c r="D955" s="24">
        <f>Data__2[[#This Row],[Project_1]]/J$4</f>
        <v>0.10576423808877007</v>
      </c>
      <c r="E955" s="24">
        <f>Data__2[[#This Row],[Project_2]]/K$4</f>
        <v>2.8248750913552965E-2</v>
      </c>
      <c r="F955" s="24">
        <f>Data__2[[#This Row],[Market]]/L$4</f>
        <v>0.1283907560397527</v>
      </c>
      <c r="G955" s="1">
        <f>L$24*Data__2[[#This Row],[Return Market]]*J$4</f>
        <v>7.1328197799862689</v>
      </c>
      <c r="H955" s="1">
        <f>M$24*Data__2[[#This Row],[Return Market]]*K$4</f>
        <v>7.4894607689855839</v>
      </c>
      <c r="I955" s="1"/>
      <c r="J955" s="1"/>
      <c r="K955" s="1"/>
      <c r="L955" s="1"/>
      <c r="M955" s="1"/>
    </row>
    <row r="956" spans="1:13">
      <c r="A956" s="1">
        <v>47.765894770365861</v>
      </c>
      <c r="B956" s="1">
        <v>12.882055003221273</v>
      </c>
      <c r="C956" s="1">
        <v>183.15878531684848</v>
      </c>
      <c r="D956" s="24">
        <f>Data__2[[#This Row],[Project_1]]/J$4</f>
        <v>0.31843929846910574</v>
      </c>
      <c r="E956" s="24">
        <f>Data__2[[#This Row],[Project_2]]/K$4</f>
        <v>8.5880366688141821E-2</v>
      </c>
      <c r="F956" s="24">
        <f>Data__2[[#This Row],[Market]]/L$4</f>
        <v>0.18315878531684848</v>
      </c>
      <c r="G956" s="1">
        <f>L$24*Data__2[[#This Row],[Return Market]]*J$4</f>
        <v>10.175488073158261</v>
      </c>
      <c r="H956" s="1">
        <f>M$24*Data__2[[#This Row],[Return Market]]*K$4</f>
        <v>10.684262476816174</v>
      </c>
      <c r="I956" s="1"/>
      <c r="J956" s="1"/>
      <c r="K956" s="1"/>
      <c r="L956" s="1"/>
      <c r="M956" s="1"/>
    </row>
    <row r="957" spans="1:13">
      <c r="A957" s="1">
        <v>33.687584550457913</v>
      </c>
      <c r="B957" s="1">
        <v>12.989465402592018</v>
      </c>
      <c r="C957" s="1">
        <v>106.81549372264938</v>
      </c>
      <c r="D957" s="24">
        <f>Data__2[[#This Row],[Project_1]]/J$4</f>
        <v>0.22458389700305276</v>
      </c>
      <c r="E957" s="24">
        <f>Data__2[[#This Row],[Project_2]]/K$4</f>
        <v>8.6596436017280121E-2</v>
      </c>
      <c r="F957" s="24">
        <f>Data__2[[#This Row],[Market]]/L$4</f>
        <v>0.10681549372264938</v>
      </c>
      <c r="G957" s="1">
        <f>L$24*Data__2[[#This Row],[Return Market]]*J$4</f>
        <v>5.9341940957027504</v>
      </c>
      <c r="H957" s="1">
        <f>M$24*Data__2[[#This Row],[Return Market]]*K$4</f>
        <v>6.2309038004878889</v>
      </c>
      <c r="I957" s="1"/>
      <c r="J957" s="1"/>
      <c r="K957" s="1"/>
      <c r="L957" s="1"/>
      <c r="M957" s="1"/>
    </row>
    <row r="958" spans="1:13">
      <c r="A958" s="1">
        <v>-1.084802002963734</v>
      </c>
      <c r="B958" s="1">
        <v>15.813313230865036</v>
      </c>
      <c r="C958" s="1">
        <v>146.96481806247095</v>
      </c>
      <c r="D958" s="24">
        <f>Data__2[[#This Row],[Project_1]]/J$4</f>
        <v>-7.2320133530915601E-3</v>
      </c>
      <c r="E958" s="24">
        <f>Data__2[[#This Row],[Project_2]]/K$4</f>
        <v>0.10542208820576691</v>
      </c>
      <c r="F958" s="24">
        <f>Data__2[[#This Row],[Market]]/L$4</f>
        <v>0.14696481806247094</v>
      </c>
      <c r="G958" s="1">
        <f>L$24*Data__2[[#This Row],[Return Market]]*J$4</f>
        <v>8.1647121145817287</v>
      </c>
      <c r="H958" s="1">
        <f>M$24*Data__2[[#This Row],[Return Market]]*K$4</f>
        <v>8.5729477203108164</v>
      </c>
      <c r="I958" s="1"/>
      <c r="J958" s="1"/>
      <c r="K958" s="1"/>
      <c r="L958" s="1"/>
      <c r="M958" s="1"/>
    </row>
    <row r="959" spans="1:13">
      <c r="A959" s="1">
        <v>-23.448878828576163</v>
      </c>
      <c r="B959" s="1">
        <v>-4.6601013491338161</v>
      </c>
      <c r="C959" s="1">
        <v>-71.424290543418181</v>
      </c>
      <c r="D959" s="24">
        <f>Data__2[[#This Row],[Project_1]]/J$4</f>
        <v>-0.15632585885717443</v>
      </c>
      <c r="E959" s="24">
        <f>Data__2[[#This Row],[Project_2]]/K$4</f>
        <v>-3.1067342327558773E-2</v>
      </c>
      <c r="F959" s="24">
        <f>Data__2[[#This Row],[Market]]/L$4</f>
        <v>-7.1424290543418187E-2</v>
      </c>
      <c r="G959" s="1">
        <f>L$24*Data__2[[#This Row],[Return Market]]*J$4</f>
        <v>-3.9680161413010149</v>
      </c>
      <c r="H959" s="1">
        <f>M$24*Data__2[[#This Row],[Return Market]]*K$4</f>
        <v>-4.1664169483660665</v>
      </c>
      <c r="I959" s="1"/>
      <c r="J959" s="1"/>
      <c r="K959" s="1"/>
      <c r="L959" s="1"/>
      <c r="M959" s="1"/>
    </row>
    <row r="960" spans="1:13">
      <c r="A960" s="1">
        <v>-7.0330123474904873</v>
      </c>
      <c r="B960" s="1">
        <v>-10.100142778252234</v>
      </c>
      <c r="C960" s="1">
        <v>54.87941382670958</v>
      </c>
      <c r="D960" s="24">
        <f>Data__2[[#This Row],[Project_1]]/J$4</f>
        <v>-4.6886748983269916E-2</v>
      </c>
      <c r="E960" s="24">
        <f>Data__2[[#This Row],[Project_2]]/K$4</f>
        <v>-6.7334285188348234E-2</v>
      </c>
      <c r="F960" s="24">
        <f>Data__2[[#This Row],[Market]]/L$4</f>
        <v>5.4879413826709578E-2</v>
      </c>
      <c r="G960" s="1">
        <f>L$24*Data__2[[#This Row],[Return Market]]*J$4</f>
        <v>3.0488563237060911</v>
      </c>
      <c r="H960" s="1">
        <f>M$24*Data__2[[#This Row],[Return Market]]*K$4</f>
        <v>3.2012991398913964</v>
      </c>
      <c r="I960" s="1"/>
      <c r="J960" s="1"/>
      <c r="K960" s="1"/>
      <c r="L960" s="1"/>
      <c r="M960" s="1"/>
    </row>
    <row r="961" spans="1:13">
      <c r="A961" s="1">
        <v>19.284870881687233</v>
      </c>
      <c r="B961" s="1">
        <v>3.6652735048236451</v>
      </c>
      <c r="C961" s="1">
        <v>46.440642837725328</v>
      </c>
      <c r="D961" s="24">
        <f>Data__2[[#This Row],[Project_1]]/J$4</f>
        <v>0.12856580587791488</v>
      </c>
      <c r="E961" s="24">
        <f>Data__2[[#This Row],[Project_2]]/K$4</f>
        <v>2.44351566988243E-2</v>
      </c>
      <c r="F961" s="24">
        <f>Data__2[[#This Row],[Market]]/L$4</f>
        <v>4.6440642837725331E-2</v>
      </c>
      <c r="G961" s="1">
        <f>L$24*Data__2[[#This Row],[Return Market]]*J$4</f>
        <v>2.5800357132069656</v>
      </c>
      <c r="H961" s="1">
        <f>M$24*Data__2[[#This Row],[Return Market]]*K$4</f>
        <v>2.7090374988673145</v>
      </c>
      <c r="I961" s="1"/>
      <c r="J961" s="1"/>
      <c r="K961" s="1"/>
      <c r="L961" s="1"/>
      <c r="M961" s="1"/>
    </row>
    <row r="962" spans="1:13">
      <c r="A962" s="1">
        <v>23.686064189804725</v>
      </c>
      <c r="B962" s="1">
        <v>9.2719595477947774</v>
      </c>
      <c r="C962" s="1">
        <v>127.23418705332298</v>
      </c>
      <c r="D962" s="24">
        <f>Data__2[[#This Row],[Project_1]]/J$4</f>
        <v>0.15790709459869817</v>
      </c>
      <c r="E962" s="24">
        <f>Data__2[[#This Row],[Project_2]]/K$4</f>
        <v>6.1813063651965185E-2</v>
      </c>
      <c r="F962" s="24">
        <f>Data__2[[#This Row],[Market]]/L$4</f>
        <v>0.12723418705332298</v>
      </c>
      <c r="G962" s="1">
        <f>L$24*Data__2[[#This Row],[Return Market]]*J$4</f>
        <v>7.0685659474068396</v>
      </c>
      <c r="H962" s="1">
        <f>M$24*Data__2[[#This Row],[Return Market]]*K$4</f>
        <v>7.4219942447771832</v>
      </c>
      <c r="I962" s="1"/>
      <c r="J962" s="1"/>
      <c r="K962" s="1"/>
      <c r="L962" s="1"/>
      <c r="M962" s="1"/>
    </row>
    <row r="963" spans="1:13">
      <c r="A963" s="1">
        <v>-4.0971926731146873</v>
      </c>
      <c r="B963" s="1">
        <v>-2.0751868268642255</v>
      </c>
      <c r="C963" s="1">
        <v>-3.3822862996114083</v>
      </c>
      <c r="D963" s="24">
        <f>Data__2[[#This Row],[Project_1]]/J$4</f>
        <v>-2.7314617820764581E-2</v>
      </c>
      <c r="E963" s="24">
        <f>Data__2[[#This Row],[Project_2]]/K$4</f>
        <v>-1.3834578845761503E-2</v>
      </c>
      <c r="F963" s="24">
        <f>Data__2[[#This Row],[Market]]/L$4</f>
        <v>-3.3822862996114081E-3</v>
      </c>
      <c r="G963" s="1">
        <f>L$24*Data__2[[#This Row],[Return Market]]*J$4</f>
        <v>-0.18790479442285621</v>
      </c>
      <c r="H963" s="1">
        <f>M$24*Data__2[[#This Row],[Return Market]]*K$4</f>
        <v>-0.19730003414399908</v>
      </c>
      <c r="I963" s="1"/>
      <c r="J963" s="1"/>
      <c r="K963" s="1"/>
      <c r="L963" s="1"/>
      <c r="M963" s="1"/>
    </row>
    <row r="964" spans="1:13">
      <c r="A964" s="1">
        <v>33.04005201484123</v>
      </c>
      <c r="B964" s="1">
        <v>5.2252682322830308</v>
      </c>
      <c r="C964" s="1">
        <v>46.57177983317797</v>
      </c>
      <c r="D964" s="24">
        <f>Data__2[[#This Row],[Project_1]]/J$4</f>
        <v>0.22026701343227487</v>
      </c>
      <c r="E964" s="24">
        <f>Data__2[[#This Row],[Project_2]]/K$4</f>
        <v>3.483512154855354E-2</v>
      </c>
      <c r="F964" s="24">
        <f>Data__2[[#This Row],[Market]]/L$4</f>
        <v>4.6571779833177972E-2</v>
      </c>
      <c r="G964" s="1">
        <f>L$24*Data__2[[#This Row],[Return Market]]*J$4</f>
        <v>2.5873211018432238</v>
      </c>
      <c r="H964" s="1">
        <f>M$24*Data__2[[#This Row],[Return Market]]*K$4</f>
        <v>2.716687156935385</v>
      </c>
      <c r="I964" s="1"/>
      <c r="J964" s="1"/>
      <c r="K964" s="1"/>
      <c r="L964" s="1"/>
      <c r="M964" s="1"/>
    </row>
    <row r="965" spans="1:13">
      <c r="A965" s="1">
        <v>-21.842664194494667</v>
      </c>
      <c r="B965" s="1">
        <v>6.1096027322257562</v>
      </c>
      <c r="C965" s="1">
        <v>38.627336487619921</v>
      </c>
      <c r="D965" s="24">
        <f>Data__2[[#This Row],[Project_1]]/J$4</f>
        <v>-0.14561776129663112</v>
      </c>
      <c r="E965" s="24">
        <f>Data__2[[#This Row],[Project_2]]/K$4</f>
        <v>4.0730684881505039E-2</v>
      </c>
      <c r="F965" s="24">
        <f>Data__2[[#This Row],[Market]]/L$4</f>
        <v>3.8627336487619922E-2</v>
      </c>
      <c r="G965" s="1">
        <f>L$24*Data__2[[#This Row],[Return Market]]*J$4</f>
        <v>2.1459631382011093</v>
      </c>
      <c r="H965" s="1">
        <f>M$24*Data__2[[#This Row],[Return Market]]*K$4</f>
        <v>2.253261295111165</v>
      </c>
      <c r="I965" s="1"/>
      <c r="J965" s="1"/>
      <c r="K965" s="1"/>
      <c r="L965" s="1"/>
      <c r="M965" s="1"/>
    </row>
    <row r="966" spans="1:13">
      <c r="A966" s="1">
        <v>7.3436149377021049</v>
      </c>
      <c r="B966" s="1">
        <v>9.1628129246695114</v>
      </c>
      <c r="C966" s="1">
        <v>210.67121914981436</v>
      </c>
      <c r="D966" s="24">
        <f>Data__2[[#This Row],[Project_1]]/J$4</f>
        <v>4.8957432918014035E-2</v>
      </c>
      <c r="E966" s="24">
        <f>Data__2[[#This Row],[Project_2]]/K$4</f>
        <v>6.1085419497796743E-2</v>
      </c>
      <c r="F966" s="24">
        <f>Data__2[[#This Row],[Market]]/L$4</f>
        <v>0.21067121914981438</v>
      </c>
      <c r="G966" s="1">
        <f>L$24*Data__2[[#This Row],[Return Market]]*J$4</f>
        <v>11.703956619434145</v>
      </c>
      <c r="H966" s="1">
        <f>M$24*Data__2[[#This Row],[Return Market]]*K$4</f>
        <v>12.289154450405853</v>
      </c>
      <c r="I966" s="1"/>
      <c r="J966" s="1"/>
      <c r="K966" s="1"/>
      <c r="L966" s="1"/>
      <c r="M966" s="1"/>
    </row>
    <row r="967" spans="1:13">
      <c r="A967" s="1">
        <v>15.524779403983047</v>
      </c>
      <c r="B967" s="1">
        <v>2.3195719213569408</v>
      </c>
      <c r="C967" s="1">
        <v>-55.604949869056696</v>
      </c>
      <c r="D967" s="24">
        <f>Data__2[[#This Row],[Project_1]]/J$4</f>
        <v>0.10349852935988697</v>
      </c>
      <c r="E967" s="24">
        <f>Data__2[[#This Row],[Project_2]]/K$4</f>
        <v>1.5463812809046271E-2</v>
      </c>
      <c r="F967" s="24">
        <f>Data__2[[#This Row],[Market]]/L$4</f>
        <v>-5.5604949869056695E-2</v>
      </c>
      <c r="G967" s="1">
        <f>L$24*Data__2[[#This Row],[Return Market]]*J$4</f>
        <v>-3.0891638816142644</v>
      </c>
      <c r="H967" s="1">
        <f>M$24*Data__2[[#This Row],[Return Market]]*K$4</f>
        <v>-3.2436220756949781</v>
      </c>
      <c r="I967" s="1"/>
      <c r="J967" s="1"/>
      <c r="K967" s="1"/>
      <c r="L967" s="1"/>
      <c r="M967" s="1"/>
    </row>
    <row r="968" spans="1:13">
      <c r="A968" s="1">
        <v>-5.3764676634766566</v>
      </c>
      <c r="B968" s="1">
        <v>-6.1846975381229363</v>
      </c>
      <c r="C968" s="1">
        <v>-45.259352876196061</v>
      </c>
      <c r="D968" s="24">
        <f>Data__2[[#This Row],[Project_1]]/J$4</f>
        <v>-3.5843117756511042E-2</v>
      </c>
      <c r="E968" s="24">
        <f>Data__2[[#This Row],[Project_2]]/K$4</f>
        <v>-4.1231316920819577E-2</v>
      </c>
      <c r="F968" s="24">
        <f>Data__2[[#This Row],[Market]]/L$4</f>
        <v>-4.5259352876196063E-2</v>
      </c>
      <c r="G968" s="1">
        <f>L$24*Data__2[[#This Row],[Return Market]]*J$4</f>
        <v>-2.5144084931220063</v>
      </c>
      <c r="H968" s="1">
        <f>M$24*Data__2[[#This Row],[Return Market]]*K$4</f>
        <v>-2.6401289177781071</v>
      </c>
      <c r="I968" s="1"/>
      <c r="J968" s="1"/>
      <c r="K968" s="1"/>
      <c r="L968" s="1"/>
      <c r="M968" s="1"/>
    </row>
    <row r="969" spans="1:13">
      <c r="A969" s="1">
        <v>19.144760318075694</v>
      </c>
      <c r="B969" s="1">
        <v>21.090204953523987</v>
      </c>
      <c r="C969" s="1">
        <v>-50.703128027894905</v>
      </c>
      <c r="D969" s="24">
        <f>Data__2[[#This Row],[Project_1]]/J$4</f>
        <v>0.12763173545383796</v>
      </c>
      <c r="E969" s="24">
        <f>Data__2[[#This Row],[Project_2]]/K$4</f>
        <v>0.14060136635682657</v>
      </c>
      <c r="F969" s="24">
        <f>Data__2[[#This Row],[Market]]/L$4</f>
        <v>-5.0703128027894909E-2</v>
      </c>
      <c r="G969" s="1">
        <f>L$24*Data__2[[#This Row],[Return Market]]*J$4</f>
        <v>-2.8168404459941647</v>
      </c>
      <c r="H969" s="1">
        <f>M$24*Data__2[[#This Row],[Return Market]]*K$4</f>
        <v>-2.9576824682938736</v>
      </c>
      <c r="I969" s="1"/>
      <c r="J969" s="1"/>
      <c r="K969" s="1"/>
      <c r="L969" s="1"/>
      <c r="M969" s="1"/>
    </row>
    <row r="970" spans="1:13">
      <c r="A970" s="1">
        <v>12.125774086479279</v>
      </c>
      <c r="B970" s="1">
        <v>27.174875539167264</v>
      </c>
      <c r="C970" s="1">
        <v>141.30459580660627</v>
      </c>
      <c r="D970" s="24">
        <f>Data__2[[#This Row],[Project_1]]/J$4</f>
        <v>8.0838493909861864E-2</v>
      </c>
      <c r="E970" s="24">
        <f>Data__2[[#This Row],[Project_2]]/K$4</f>
        <v>0.18116583692778176</v>
      </c>
      <c r="F970" s="24">
        <f>Data__2[[#This Row],[Market]]/L$4</f>
        <v>0.14130459580660626</v>
      </c>
      <c r="G970" s="1">
        <f>L$24*Data__2[[#This Row],[Return Market]]*J$4</f>
        <v>7.8502553225892457</v>
      </c>
      <c r="H970" s="1">
        <f>M$24*Data__2[[#This Row],[Return Market]]*K$4</f>
        <v>8.2427680887187087</v>
      </c>
      <c r="I970" s="1"/>
      <c r="J970" s="1"/>
      <c r="K970" s="1"/>
      <c r="L970" s="1"/>
      <c r="M970" s="1"/>
    </row>
    <row r="971" spans="1:13">
      <c r="A971" s="1">
        <v>51.188195542440759</v>
      </c>
      <c r="B971" s="1">
        <v>31.239102046460157</v>
      </c>
      <c r="C971" s="1">
        <v>436.94781891167219</v>
      </c>
      <c r="D971" s="24">
        <f>Data__2[[#This Row],[Project_1]]/J$4</f>
        <v>0.34125463694960506</v>
      </c>
      <c r="E971" s="24">
        <f>Data__2[[#This Row],[Project_2]]/K$4</f>
        <v>0.20826068030973438</v>
      </c>
      <c r="F971" s="24">
        <f>Data__2[[#This Row],[Market]]/L$4</f>
        <v>0.43694781891167217</v>
      </c>
      <c r="G971" s="1">
        <f>L$24*Data__2[[#This Row],[Return Market]]*J$4</f>
        <v>24.274878828426257</v>
      </c>
      <c r="H971" s="1">
        <f>M$24*Data__2[[#This Row],[Return Market]]*K$4</f>
        <v>25.488622769847577</v>
      </c>
      <c r="I971" s="1"/>
      <c r="J971" s="1"/>
      <c r="K971" s="1"/>
      <c r="L971" s="1"/>
      <c r="M971" s="1"/>
    </row>
    <row r="972" spans="1:13">
      <c r="A972" s="1">
        <v>12.359023093059573</v>
      </c>
      <c r="B972" s="1">
        <v>18.692688710153739</v>
      </c>
      <c r="C972" s="1">
        <v>79.886269314244942</v>
      </c>
      <c r="D972" s="24">
        <f>Data__2[[#This Row],[Project_1]]/J$4</f>
        <v>8.2393487287063819E-2</v>
      </c>
      <c r="E972" s="24">
        <f>Data__2[[#This Row],[Project_2]]/K$4</f>
        <v>0.12461792473435826</v>
      </c>
      <c r="F972" s="24">
        <f>Data__2[[#This Row],[Market]]/L$4</f>
        <v>7.9886269314244945E-2</v>
      </c>
      <c r="G972" s="1">
        <f>L$24*Data__2[[#This Row],[Return Market]]*J$4</f>
        <v>4.4381260730136134</v>
      </c>
      <c r="H972" s="1">
        <f>M$24*Data__2[[#This Row],[Return Market]]*K$4</f>
        <v>4.6600323766642946</v>
      </c>
      <c r="I972" s="1"/>
      <c r="J972" s="1"/>
      <c r="K972" s="1"/>
      <c r="L972" s="1"/>
      <c r="M972" s="1"/>
    </row>
    <row r="973" spans="1:13">
      <c r="A973" s="1">
        <v>-2.4907518579127803</v>
      </c>
      <c r="B973" s="1">
        <v>-4.5171926220911214</v>
      </c>
      <c r="C973" s="1">
        <v>-97.837379680441671</v>
      </c>
      <c r="D973" s="24">
        <f>Data__2[[#This Row],[Project_1]]/J$4</f>
        <v>-1.6605012386085201E-2</v>
      </c>
      <c r="E973" s="24">
        <f>Data__2[[#This Row],[Project_2]]/K$4</f>
        <v>-3.0114617480607477E-2</v>
      </c>
      <c r="F973" s="24">
        <f>Data__2[[#This Row],[Market]]/L$4</f>
        <v>-9.7837379680441677E-2</v>
      </c>
      <c r="G973" s="1">
        <f>L$24*Data__2[[#This Row],[Return Market]]*J$4</f>
        <v>-5.4354099822467665</v>
      </c>
      <c r="H973" s="1">
        <f>M$24*Data__2[[#This Row],[Return Market]]*K$4</f>
        <v>-5.7071804813591056</v>
      </c>
      <c r="I973" s="1"/>
      <c r="J973" s="1"/>
      <c r="K973" s="1"/>
      <c r="L973" s="1"/>
      <c r="M973" s="1"/>
    </row>
    <row r="974" spans="1:13">
      <c r="A974" s="1">
        <v>-11.176616500137346</v>
      </c>
      <c r="B974" s="1">
        <v>6.0156661640074844</v>
      </c>
      <c r="C974" s="1">
        <v>198.87931005118477</v>
      </c>
      <c r="D974" s="24">
        <f>Data__2[[#This Row],[Project_1]]/J$4</f>
        <v>-7.451077666758231E-2</v>
      </c>
      <c r="E974" s="24">
        <f>Data__2[[#This Row],[Project_2]]/K$4</f>
        <v>4.0104441093383229E-2</v>
      </c>
      <c r="F974" s="24">
        <f>Data__2[[#This Row],[Market]]/L$4</f>
        <v>0.19887931005118478</v>
      </c>
      <c r="G974" s="1">
        <f>L$24*Data__2[[#This Row],[Return Market]]*J$4</f>
        <v>11.048850558399167</v>
      </c>
      <c r="H974" s="1">
        <f>M$24*Data__2[[#This Row],[Return Market]]*K$4</f>
        <v>11.601293086319128</v>
      </c>
      <c r="I974" s="1"/>
      <c r="J974" s="1"/>
      <c r="K974" s="1"/>
      <c r="L974" s="1"/>
      <c r="M974" s="1"/>
    </row>
    <row r="975" spans="1:13">
      <c r="A975" s="1">
        <v>37.840489924961645</v>
      </c>
      <c r="B975" s="1">
        <v>13.163400005031992</v>
      </c>
      <c r="C975" s="1">
        <v>192.7061379749091</v>
      </c>
      <c r="D975" s="24">
        <f>Data__2[[#This Row],[Project_1]]/J$4</f>
        <v>0.25226993283307764</v>
      </c>
      <c r="E975" s="24">
        <f>Data__2[[#This Row],[Project_2]]/K$4</f>
        <v>8.7756000033546611E-2</v>
      </c>
      <c r="F975" s="24">
        <f>Data__2[[#This Row],[Market]]/L$4</f>
        <v>0.1927061379749091</v>
      </c>
      <c r="G975" s="1">
        <f>L$24*Data__2[[#This Row],[Return Market]]*J$4</f>
        <v>10.70589655416163</v>
      </c>
      <c r="H975" s="1">
        <f>M$24*Data__2[[#This Row],[Return Market]]*K$4</f>
        <v>11.241191381869712</v>
      </c>
      <c r="I975" s="1"/>
      <c r="J975" s="1"/>
      <c r="K975" s="1"/>
      <c r="L975" s="1"/>
      <c r="M975" s="1"/>
    </row>
    <row r="976" spans="1:13">
      <c r="A976" s="1">
        <v>9.2973310046889228</v>
      </c>
      <c r="B976" s="1">
        <v>12.69019499157395</v>
      </c>
      <c r="C976" s="1">
        <v>-23.776166535524197</v>
      </c>
      <c r="D976" s="24">
        <f>Data__2[[#This Row],[Project_1]]/J$4</f>
        <v>6.1982206697926152E-2</v>
      </c>
      <c r="E976" s="24">
        <f>Data__2[[#This Row],[Project_2]]/K$4</f>
        <v>8.4601299943826327E-2</v>
      </c>
      <c r="F976" s="24">
        <f>Data__2[[#This Row],[Market]]/L$4</f>
        <v>-2.3776166535524196E-2</v>
      </c>
      <c r="G976" s="1">
        <f>L$24*Data__2[[#This Row],[Return Market]]*J$4</f>
        <v>-1.3208981408624567</v>
      </c>
      <c r="H976" s="1">
        <f>M$24*Data__2[[#This Row],[Return Market]]*K$4</f>
        <v>-1.38694304790558</v>
      </c>
      <c r="I976" s="1"/>
      <c r="J976" s="1"/>
      <c r="K976" s="1"/>
      <c r="L976" s="1"/>
      <c r="M976" s="1"/>
    </row>
    <row r="977" spans="1:13">
      <c r="A977" s="1">
        <v>25.07980326846663</v>
      </c>
      <c r="B977" s="1">
        <v>7.1868585889223509</v>
      </c>
      <c r="C977" s="1">
        <v>77.50321187062147</v>
      </c>
      <c r="D977" s="24">
        <f>Data__2[[#This Row],[Project_1]]/J$4</f>
        <v>0.1671986884564442</v>
      </c>
      <c r="E977" s="24">
        <f>Data__2[[#This Row],[Project_2]]/K$4</f>
        <v>4.7912390592815671E-2</v>
      </c>
      <c r="F977" s="24">
        <f>Data__2[[#This Row],[Market]]/L$4</f>
        <v>7.7503211870621466E-2</v>
      </c>
      <c r="G977" s="1">
        <f>L$24*Data__2[[#This Row],[Return Market]]*J$4</f>
        <v>4.3057339928123088</v>
      </c>
      <c r="H977" s="1">
        <f>M$24*Data__2[[#This Row],[Return Market]]*K$4</f>
        <v>4.5210206924529244</v>
      </c>
      <c r="I977" s="1"/>
      <c r="J977" s="1"/>
      <c r="K977" s="1"/>
      <c r="L977" s="1"/>
      <c r="M977" s="1"/>
    </row>
    <row r="978" spans="1:13">
      <c r="A978" s="1">
        <v>-22.645507027055203</v>
      </c>
      <c r="B978" s="1">
        <v>-12.598992660215806</v>
      </c>
      <c r="C978" s="1">
        <v>-3.0944638880849595</v>
      </c>
      <c r="D978" s="24">
        <f>Data__2[[#This Row],[Project_1]]/J$4</f>
        <v>-0.15097004684703469</v>
      </c>
      <c r="E978" s="24">
        <f>Data__2[[#This Row],[Project_2]]/K$4</f>
        <v>-8.3993284401438703E-2</v>
      </c>
      <c r="F978" s="24">
        <f>Data__2[[#This Row],[Market]]/L$4</f>
        <v>-3.0944638880849597E-3</v>
      </c>
      <c r="G978" s="1">
        <f>L$24*Data__2[[#This Row],[Return Market]]*J$4</f>
        <v>-0.17191466044916462</v>
      </c>
      <c r="H978" s="1">
        <f>M$24*Data__2[[#This Row],[Return Market]]*K$4</f>
        <v>-0.18051039347162287</v>
      </c>
      <c r="I978" s="1"/>
      <c r="J978" s="1"/>
      <c r="K978" s="1"/>
      <c r="L978" s="1"/>
      <c r="M978" s="1"/>
    </row>
    <row r="979" spans="1:13">
      <c r="A979" s="1">
        <v>-17.043345984956755</v>
      </c>
      <c r="B979" s="1">
        <v>-12.806559815789171</v>
      </c>
      <c r="C979" s="1">
        <v>-429.69448147130674</v>
      </c>
      <c r="D979" s="24">
        <f>Data__2[[#This Row],[Project_1]]/J$4</f>
        <v>-0.11362230656637837</v>
      </c>
      <c r="E979" s="24">
        <f>Data__2[[#This Row],[Project_2]]/K$4</f>
        <v>-8.5377065438594482E-2</v>
      </c>
      <c r="F979" s="24">
        <f>Data__2[[#This Row],[Market]]/L$4</f>
        <v>-0.42969448147130673</v>
      </c>
      <c r="G979" s="1">
        <f>L$24*Data__2[[#This Row],[Return Market]]*J$4</f>
        <v>-23.871915637294844</v>
      </c>
      <c r="H979" s="1">
        <f>M$24*Data__2[[#This Row],[Return Market]]*K$4</f>
        <v>-25.065511419159591</v>
      </c>
      <c r="I979" s="1"/>
      <c r="J979" s="1"/>
      <c r="K979" s="1"/>
      <c r="L979" s="1"/>
      <c r="M979" s="1"/>
    </row>
    <row r="980" spans="1:13">
      <c r="A980" s="1">
        <v>28.759088490238501</v>
      </c>
      <c r="B980" s="1">
        <v>20.717484300728486</v>
      </c>
      <c r="C980" s="1">
        <v>-46.896630921416147</v>
      </c>
      <c r="D980" s="24">
        <f>Data__2[[#This Row],[Project_1]]/J$4</f>
        <v>0.19172725660159001</v>
      </c>
      <c r="E980" s="24">
        <f>Data__2[[#This Row],[Project_2]]/K$4</f>
        <v>0.13811656200485659</v>
      </c>
      <c r="F980" s="24">
        <f>Data__2[[#This Row],[Market]]/L$4</f>
        <v>-4.6896630921416146E-2</v>
      </c>
      <c r="G980" s="1">
        <f>L$24*Data__2[[#This Row],[Return Market]]*J$4</f>
        <v>-2.6053683845231226</v>
      </c>
      <c r="H980" s="1">
        <f>M$24*Data__2[[#This Row],[Return Market]]*K$4</f>
        <v>-2.7356368037492786</v>
      </c>
      <c r="I980" s="1"/>
      <c r="J980" s="1"/>
      <c r="K980" s="1"/>
      <c r="L980" s="1"/>
      <c r="M980" s="1"/>
    </row>
    <row r="981" spans="1:13">
      <c r="A981" s="1">
        <v>25.094647787092644</v>
      </c>
      <c r="B981" s="1">
        <v>15.845312640761087</v>
      </c>
      <c r="C981" s="1">
        <v>298.21535566835172</v>
      </c>
      <c r="D981" s="24">
        <f>Data__2[[#This Row],[Project_1]]/J$4</f>
        <v>0.16729765191395096</v>
      </c>
      <c r="E981" s="24">
        <f>Data__2[[#This Row],[Project_2]]/K$4</f>
        <v>0.10563541760507392</v>
      </c>
      <c r="F981" s="24">
        <f>Data__2[[#This Row],[Market]]/L$4</f>
        <v>0.29821535566835172</v>
      </c>
      <c r="G981" s="1">
        <f>L$24*Data__2[[#This Row],[Return Market]]*J$4</f>
        <v>16.567519759352891</v>
      </c>
      <c r="H981" s="1">
        <f>M$24*Data__2[[#This Row],[Return Market]]*K$4</f>
        <v>17.395895747320541</v>
      </c>
      <c r="I981" s="1"/>
      <c r="J981" s="1"/>
      <c r="K981" s="1"/>
      <c r="L981" s="1"/>
      <c r="M981" s="1"/>
    </row>
    <row r="982" spans="1:13">
      <c r="A982" s="1">
        <v>-29.926585803808592</v>
      </c>
      <c r="B982" s="1">
        <v>-36.465941278904992</v>
      </c>
      <c r="C982" s="1">
        <v>-346.77065188398717</v>
      </c>
      <c r="D982" s="24">
        <f>Data__2[[#This Row],[Project_1]]/J$4</f>
        <v>-0.1995105720253906</v>
      </c>
      <c r="E982" s="24">
        <f>Data__2[[#This Row],[Project_2]]/K$4</f>
        <v>-0.24310627519269995</v>
      </c>
      <c r="F982" s="24">
        <f>Data__2[[#This Row],[Market]]/L$4</f>
        <v>-0.34677065188398715</v>
      </c>
      <c r="G982" s="1">
        <f>L$24*Data__2[[#This Row],[Return Market]]*J$4</f>
        <v>-19.265036215777087</v>
      </c>
      <c r="H982" s="1">
        <f>M$24*Data__2[[#This Row],[Return Market]]*K$4</f>
        <v>-20.228288026565941</v>
      </c>
      <c r="I982" s="1"/>
      <c r="J982" s="1"/>
      <c r="K982" s="1"/>
      <c r="L982" s="1"/>
      <c r="M982" s="1"/>
    </row>
    <row r="983" spans="1:13">
      <c r="A983" s="1">
        <v>37.509793078096571</v>
      </c>
      <c r="B983" s="1">
        <v>17.759193391866155</v>
      </c>
      <c r="C983" s="1">
        <v>188.57918958069979</v>
      </c>
      <c r="D983" s="24">
        <f>Data__2[[#This Row],[Project_1]]/J$4</f>
        <v>0.25006528718731047</v>
      </c>
      <c r="E983" s="24">
        <f>Data__2[[#This Row],[Project_2]]/K$4</f>
        <v>0.11839462261244103</v>
      </c>
      <c r="F983" s="24">
        <f>Data__2[[#This Row],[Market]]/L$4</f>
        <v>0.1885791895806998</v>
      </c>
      <c r="G983" s="1">
        <f>L$24*Data__2[[#This Row],[Return Market]]*J$4</f>
        <v>10.476621643372225</v>
      </c>
      <c r="H983" s="1">
        <f>M$24*Data__2[[#This Row],[Return Market]]*K$4</f>
        <v>11.000452725540836</v>
      </c>
      <c r="I983" s="1"/>
      <c r="J983" s="1"/>
      <c r="K983" s="1"/>
      <c r="L983" s="1"/>
      <c r="M983" s="1"/>
    </row>
    <row r="984" spans="1:13">
      <c r="A984" s="1">
        <v>31.37528967973525</v>
      </c>
      <c r="B984" s="1">
        <v>9.2519362854898564</v>
      </c>
      <c r="C984" s="1">
        <v>132.65370205751123</v>
      </c>
      <c r="D984" s="24">
        <f>Data__2[[#This Row],[Project_1]]/J$4</f>
        <v>0.20916859786490166</v>
      </c>
      <c r="E984" s="24">
        <f>Data__2[[#This Row],[Project_2]]/K$4</f>
        <v>6.1679575236599039E-2</v>
      </c>
      <c r="F984" s="24">
        <f>Data__2[[#This Row],[Market]]/L$4</f>
        <v>0.13265370205751123</v>
      </c>
      <c r="G984" s="1">
        <f>L$24*Data__2[[#This Row],[Return Market]]*J$4</f>
        <v>7.3696501143061877</v>
      </c>
      <c r="H984" s="1">
        <f>M$24*Data__2[[#This Row],[Return Market]]*K$4</f>
        <v>7.7381326200214984</v>
      </c>
      <c r="I984" s="1"/>
      <c r="J984" s="1"/>
      <c r="K984" s="1"/>
      <c r="L984" s="1"/>
      <c r="M984" s="1"/>
    </row>
    <row r="985" spans="1:13">
      <c r="A985" s="1">
        <v>40.441481139864933</v>
      </c>
      <c r="B985" s="1">
        <v>-6.2285375669498677</v>
      </c>
      <c r="C985" s="1">
        <v>-168.9843809807067</v>
      </c>
      <c r="D985" s="24">
        <f>Data__2[[#This Row],[Project_1]]/J$4</f>
        <v>0.26960987426576621</v>
      </c>
      <c r="E985" s="24">
        <f>Data__2[[#This Row],[Project_2]]/K$4</f>
        <v>-4.1523583779665786E-2</v>
      </c>
      <c r="F985" s="24">
        <f>Data__2[[#This Row],[Market]]/L$4</f>
        <v>-0.1689843809807067</v>
      </c>
      <c r="G985" s="1">
        <f>L$24*Data__2[[#This Row],[Return Market]]*J$4</f>
        <v>-9.3880211655948269</v>
      </c>
      <c r="H985" s="1">
        <f>M$24*Data__2[[#This Row],[Return Market]]*K$4</f>
        <v>-9.8574222238745701</v>
      </c>
      <c r="I985" s="1"/>
      <c r="J985" s="1"/>
      <c r="K985" s="1"/>
      <c r="L985" s="1"/>
      <c r="M985" s="1"/>
    </row>
    <row r="986" spans="1:13">
      <c r="A986" s="1">
        <v>27.585848850920279</v>
      </c>
      <c r="B986" s="1">
        <v>38.844832463611247</v>
      </c>
      <c r="C986" s="1">
        <v>86.589775022462845</v>
      </c>
      <c r="D986" s="24">
        <f>Data__2[[#This Row],[Project_1]]/J$4</f>
        <v>0.1839056590061352</v>
      </c>
      <c r="E986" s="24">
        <f>Data__2[[#This Row],[Project_2]]/K$4</f>
        <v>0.25896554975740832</v>
      </c>
      <c r="F986" s="24">
        <f>Data__2[[#This Row],[Market]]/L$4</f>
        <v>8.6589775022462845E-2</v>
      </c>
      <c r="G986" s="1">
        <f>L$24*Data__2[[#This Row],[Return Market]]*J$4</f>
        <v>4.810543056803497</v>
      </c>
      <c r="H986" s="1">
        <f>M$24*Data__2[[#This Row],[Return Market]]*K$4</f>
        <v>5.0510702096436724</v>
      </c>
      <c r="I986" s="1"/>
      <c r="J986" s="1"/>
      <c r="K986" s="1"/>
      <c r="L986" s="1"/>
      <c r="M986" s="1"/>
    </row>
    <row r="987" spans="1:13">
      <c r="A987" s="1">
        <v>-24.553364741998408</v>
      </c>
      <c r="B987" s="1">
        <v>-11.560146472971908</v>
      </c>
      <c r="C987" s="1">
        <v>-96.73424139816828</v>
      </c>
      <c r="D987" s="24">
        <f>Data__2[[#This Row],[Project_1]]/J$4</f>
        <v>-0.1636890982799894</v>
      </c>
      <c r="E987" s="24">
        <f>Data__2[[#This Row],[Project_2]]/K$4</f>
        <v>-7.7067643153146057E-2</v>
      </c>
      <c r="F987" s="24">
        <f>Data__2[[#This Row],[Market]]/L$4</f>
        <v>-9.6734241398168275E-2</v>
      </c>
      <c r="G987" s="1">
        <f>L$24*Data__2[[#This Row],[Return Market]]*J$4</f>
        <v>-5.3741245221204661</v>
      </c>
      <c r="H987" s="1">
        <f>M$24*Data__2[[#This Row],[Return Market]]*K$4</f>
        <v>-5.6428307482264906</v>
      </c>
      <c r="I987" s="1"/>
      <c r="J987" s="1"/>
      <c r="K987" s="1"/>
      <c r="L987" s="1"/>
      <c r="M987" s="1"/>
    </row>
    <row r="988" spans="1:13">
      <c r="A988" s="1">
        <v>24.961012023599508</v>
      </c>
      <c r="B988" s="1">
        <v>20.204616460077283</v>
      </c>
      <c r="C988" s="1">
        <v>44.256371109320817</v>
      </c>
      <c r="D988" s="24">
        <f>Data__2[[#This Row],[Project_1]]/J$4</f>
        <v>0.16640674682399673</v>
      </c>
      <c r="E988" s="24">
        <f>Data__2[[#This Row],[Project_2]]/K$4</f>
        <v>0.13469744306718187</v>
      </c>
      <c r="F988" s="24">
        <f>Data__2[[#This Row],[Market]]/L$4</f>
        <v>4.4256371109320819E-2</v>
      </c>
      <c r="G988" s="1">
        <f>L$24*Data__2[[#This Row],[Return Market]]*J$4</f>
        <v>2.4586872838511593</v>
      </c>
      <c r="H988" s="1">
        <f>M$24*Data__2[[#This Row],[Return Market]]*K$4</f>
        <v>2.581621648043718</v>
      </c>
      <c r="I988" s="1"/>
      <c r="J988" s="1"/>
      <c r="K988" s="1"/>
      <c r="L988" s="1"/>
      <c r="M988" s="1"/>
    </row>
    <row r="989" spans="1:13">
      <c r="A989" s="1">
        <v>9.2301509041730139</v>
      </c>
      <c r="B989" s="1">
        <v>15.850111919797536</v>
      </c>
      <c r="C989" s="1">
        <v>176.77113637867836</v>
      </c>
      <c r="D989" s="24">
        <f>Data__2[[#This Row],[Project_1]]/J$4</f>
        <v>6.1534339361153427E-2</v>
      </c>
      <c r="E989" s="24">
        <f>Data__2[[#This Row],[Project_2]]/K$4</f>
        <v>0.10566741279865025</v>
      </c>
      <c r="F989" s="24">
        <f>Data__2[[#This Row],[Market]]/L$4</f>
        <v>0.17677113637867836</v>
      </c>
      <c r="G989" s="1">
        <f>L$24*Data__2[[#This Row],[Return Market]]*J$4</f>
        <v>9.8206186877043642</v>
      </c>
      <c r="H989" s="1">
        <f>M$24*Data__2[[#This Row],[Return Market]]*K$4</f>
        <v>10.311649622089584</v>
      </c>
      <c r="I989" s="1"/>
      <c r="J989" s="1"/>
      <c r="K989" s="1"/>
      <c r="L989" s="1"/>
      <c r="M989" s="1"/>
    </row>
    <row r="990" spans="1:13">
      <c r="A990" s="1">
        <v>1.5863063569177456</v>
      </c>
      <c r="B990" s="1">
        <v>-5.1921974371851753</v>
      </c>
      <c r="C990" s="1">
        <v>-202.50181176752636</v>
      </c>
      <c r="D990" s="24">
        <f>Data__2[[#This Row],[Project_1]]/J$4</f>
        <v>1.057537571278497E-2</v>
      </c>
      <c r="E990" s="24">
        <f>Data__2[[#This Row],[Project_2]]/K$4</f>
        <v>-3.4614649581234502E-2</v>
      </c>
      <c r="F990" s="24">
        <f>Data__2[[#This Row],[Market]]/L$4</f>
        <v>-0.20250181176752635</v>
      </c>
      <c r="G990" s="1">
        <f>L$24*Data__2[[#This Row],[Return Market]]*J$4</f>
        <v>-11.250100653751478</v>
      </c>
      <c r="H990" s="1">
        <f>M$24*Data__2[[#This Row],[Return Market]]*K$4</f>
        <v>-11.812605686439053</v>
      </c>
      <c r="I990" s="1"/>
      <c r="J990" s="1"/>
      <c r="K990" s="1"/>
      <c r="L990" s="1"/>
      <c r="M990" s="1"/>
    </row>
    <row r="991" spans="1:13">
      <c r="A991" s="1">
        <v>46.115634053241742</v>
      </c>
      <c r="B991" s="1">
        <v>38.857272108493618</v>
      </c>
      <c r="C991" s="1">
        <v>558.87247562633081</v>
      </c>
      <c r="D991" s="24">
        <f>Data__2[[#This Row],[Project_1]]/J$4</f>
        <v>0.30743756035494496</v>
      </c>
      <c r="E991" s="24">
        <f>Data__2[[#This Row],[Project_2]]/K$4</f>
        <v>0.25904848072329079</v>
      </c>
      <c r="F991" s="24">
        <f>Data__2[[#This Row],[Market]]/L$4</f>
        <v>0.5588724756263308</v>
      </c>
      <c r="G991" s="1">
        <f>L$24*Data__2[[#This Row],[Return Market]]*J$4</f>
        <v>31.048470868129524</v>
      </c>
      <c r="H991" s="1">
        <f>M$24*Data__2[[#This Row],[Return Market]]*K$4</f>
        <v>32.600894411536011</v>
      </c>
      <c r="I991" s="1"/>
      <c r="J991" s="1"/>
      <c r="K991" s="1"/>
      <c r="L991" s="1"/>
      <c r="M991" s="1"/>
    </row>
    <row r="992" spans="1:13">
      <c r="A992" s="1">
        <v>6.0378303629160097</v>
      </c>
      <c r="B992" s="1">
        <v>19.964565299868376</v>
      </c>
      <c r="C992" s="1">
        <v>177.69821052499296</v>
      </c>
      <c r="D992" s="24">
        <f>Data__2[[#This Row],[Project_1]]/J$4</f>
        <v>4.0252202419440067E-2</v>
      </c>
      <c r="E992" s="24">
        <f>Data__2[[#This Row],[Project_2]]/K$4</f>
        <v>0.1330971019991225</v>
      </c>
      <c r="F992" s="24">
        <f>Data__2[[#This Row],[Market]]/L$4</f>
        <v>0.17769821052499296</v>
      </c>
      <c r="G992" s="1">
        <f>L$24*Data__2[[#This Row],[Return Market]]*J$4</f>
        <v>9.8721228069440645</v>
      </c>
      <c r="H992" s="1">
        <f>M$24*Data__2[[#This Row],[Return Market]]*K$4</f>
        <v>10.36572894729127</v>
      </c>
      <c r="I992" s="1"/>
      <c r="J992" s="1"/>
      <c r="K992" s="1"/>
      <c r="L992" s="1"/>
      <c r="M992" s="1"/>
    </row>
    <row r="993" spans="1:13">
      <c r="A993" s="1">
        <v>-12.141792122358261</v>
      </c>
      <c r="B993" s="1">
        <v>18.77034293691986</v>
      </c>
      <c r="C993" s="1">
        <v>57.275264002868262</v>
      </c>
      <c r="D993" s="24">
        <f>Data__2[[#This Row],[Project_1]]/J$4</f>
        <v>-8.0945280815721735E-2</v>
      </c>
      <c r="E993" s="24">
        <f>Data__2[[#This Row],[Project_2]]/K$4</f>
        <v>0.12513561957946573</v>
      </c>
      <c r="F993" s="24">
        <f>Data__2[[#This Row],[Market]]/L$4</f>
        <v>5.7275264002868261E-2</v>
      </c>
      <c r="G993" s="1">
        <f>L$24*Data__2[[#This Row],[Return Market]]*J$4</f>
        <v>3.1819591112704626</v>
      </c>
      <c r="H993" s="1">
        <f>M$24*Data__2[[#This Row],[Return Market]]*K$4</f>
        <v>3.3410570668339865</v>
      </c>
      <c r="I993" s="1"/>
      <c r="J993" s="1"/>
      <c r="K993" s="1"/>
      <c r="L993" s="1"/>
      <c r="M993" s="1"/>
    </row>
    <row r="994" spans="1:13">
      <c r="A994" s="1">
        <v>17.311768916956641</v>
      </c>
      <c r="B994" s="1">
        <v>26.228990395699721</v>
      </c>
      <c r="C994" s="1">
        <v>120.88258499696896</v>
      </c>
      <c r="D994" s="24">
        <f>Data__2[[#This Row],[Project_1]]/J$4</f>
        <v>0.11541179277971093</v>
      </c>
      <c r="E994" s="24">
        <f>Data__2[[#This Row],[Project_2]]/K$4</f>
        <v>0.17485993597133148</v>
      </c>
      <c r="F994" s="24">
        <f>Data__2[[#This Row],[Market]]/L$4</f>
        <v>0.12088258499696895</v>
      </c>
      <c r="G994" s="1">
        <f>L$24*Data__2[[#This Row],[Return Market]]*J$4</f>
        <v>6.7156991664982826</v>
      </c>
      <c r="H994" s="1">
        <f>M$24*Data__2[[#This Row],[Return Market]]*K$4</f>
        <v>7.0514841248231983</v>
      </c>
      <c r="I994" s="1"/>
      <c r="J994" s="1"/>
      <c r="K994" s="1"/>
      <c r="L994" s="1"/>
      <c r="M994" s="1"/>
    </row>
    <row r="995" spans="1:13">
      <c r="A995" s="1">
        <v>41.496452427280168</v>
      </c>
      <c r="B995" s="1">
        <v>25.130021344559047</v>
      </c>
      <c r="C995" s="1">
        <v>370.58556232830119</v>
      </c>
      <c r="D995" s="24">
        <f>Data__2[[#This Row],[Project_1]]/J$4</f>
        <v>0.27664301618186776</v>
      </c>
      <c r="E995" s="24">
        <f>Data__2[[#This Row],[Project_2]]/K$4</f>
        <v>0.16753347563039364</v>
      </c>
      <c r="F995" s="24">
        <f>Data__2[[#This Row],[Market]]/L$4</f>
        <v>0.3705855623283012</v>
      </c>
      <c r="G995" s="1">
        <f>L$24*Data__2[[#This Row],[Return Market]]*J$4</f>
        <v>20.588086796016757</v>
      </c>
      <c r="H995" s="1">
        <f>M$24*Data__2[[#This Row],[Return Market]]*K$4</f>
        <v>21.617491135817598</v>
      </c>
      <c r="I995" s="1"/>
      <c r="J995" s="1"/>
      <c r="K995" s="1"/>
      <c r="L995" s="1"/>
      <c r="M995" s="1"/>
    </row>
    <row r="996" spans="1:13">
      <c r="A996" s="1">
        <v>-0.8274899486843541</v>
      </c>
      <c r="B996" s="1">
        <v>-7.699321640528602</v>
      </c>
      <c r="C996" s="1">
        <v>-212.91554973372797</v>
      </c>
      <c r="D996" s="24">
        <f>Data__2[[#This Row],[Project_1]]/J$4</f>
        <v>-5.5165996578956942E-3</v>
      </c>
      <c r="E996" s="24">
        <f>Data__2[[#This Row],[Project_2]]/K$4</f>
        <v>-5.1328810936857344E-2</v>
      </c>
      <c r="F996" s="24">
        <f>Data__2[[#This Row],[Market]]/L$4</f>
        <v>-0.21291554973372798</v>
      </c>
      <c r="G996" s="1">
        <f>L$24*Data__2[[#This Row],[Return Market]]*J$4</f>
        <v>-11.82864165187379</v>
      </c>
      <c r="H996" s="1">
        <f>M$24*Data__2[[#This Row],[Return Market]]*K$4</f>
        <v>-12.420073734467481</v>
      </c>
      <c r="I996" s="1"/>
      <c r="J996" s="1"/>
      <c r="K996" s="1"/>
      <c r="L996" s="1"/>
      <c r="M996" s="1"/>
    </row>
    <row r="997" spans="1:13">
      <c r="A997" s="1">
        <v>1.3863053441306175</v>
      </c>
      <c r="B997" s="1">
        <v>-8.6479071253986675</v>
      </c>
      <c r="C997" s="1">
        <v>-247.36908147890466</v>
      </c>
      <c r="D997" s="24">
        <f>Data__2[[#This Row],[Project_1]]/J$4</f>
        <v>9.24203562753745E-3</v>
      </c>
      <c r="E997" s="24">
        <f>Data__2[[#This Row],[Project_2]]/K$4</f>
        <v>-5.7652714169324451E-2</v>
      </c>
      <c r="F997" s="24">
        <f>Data__2[[#This Row],[Market]]/L$4</f>
        <v>-0.24736908147890466</v>
      </c>
      <c r="G997" s="1">
        <f>L$24*Data__2[[#This Row],[Return Market]]*J$4</f>
        <v>-13.742726748828051</v>
      </c>
      <c r="H997" s="1">
        <f>M$24*Data__2[[#This Row],[Return Market]]*K$4</f>
        <v>-14.429863086269457</v>
      </c>
      <c r="I997" s="1"/>
      <c r="J997" s="1"/>
      <c r="K997" s="1"/>
      <c r="L997" s="1"/>
      <c r="M997" s="1"/>
    </row>
    <row r="998" spans="1:13">
      <c r="A998" s="1">
        <v>23.303373273146335</v>
      </c>
      <c r="B998" s="1">
        <v>11.38545221246671</v>
      </c>
      <c r="C998" s="1">
        <v>186.84655906939611</v>
      </c>
      <c r="D998" s="24">
        <f>Data__2[[#This Row],[Project_1]]/J$4</f>
        <v>0.15535582182097557</v>
      </c>
      <c r="E998" s="24">
        <f>Data__2[[#This Row],[Project_2]]/K$4</f>
        <v>7.5903014749778064E-2</v>
      </c>
      <c r="F998" s="24">
        <f>Data__2[[#This Row],[Market]]/L$4</f>
        <v>0.1868465590693961</v>
      </c>
      <c r="G998" s="1">
        <f>L$24*Data__2[[#This Row],[Return Market]]*J$4</f>
        <v>10.380364392744239</v>
      </c>
      <c r="H998" s="1">
        <f>M$24*Data__2[[#This Row],[Return Market]]*K$4</f>
        <v>10.899382612381453</v>
      </c>
      <c r="I998" s="1"/>
      <c r="J998" s="1"/>
      <c r="K998" s="1"/>
      <c r="L998" s="1"/>
      <c r="M998" s="1"/>
    </row>
    <row r="999" spans="1:13">
      <c r="A999" s="1">
        <v>-3.923367439361602</v>
      </c>
      <c r="B999" s="1">
        <v>22.316336691245922</v>
      </c>
      <c r="C999" s="1">
        <v>137.87911112611238</v>
      </c>
      <c r="D999" s="24">
        <f>Data__2[[#This Row],[Project_1]]/J$4</f>
        <v>-2.6155782929077345E-2</v>
      </c>
      <c r="E999" s="24">
        <f>Data__2[[#This Row],[Project_2]]/K$4</f>
        <v>0.14877557794163948</v>
      </c>
      <c r="F999" s="24">
        <f>Data__2[[#This Row],[Market]]/L$4</f>
        <v>0.13787911112611237</v>
      </c>
      <c r="G999" s="1">
        <f>L$24*Data__2[[#This Row],[Return Market]]*J$4</f>
        <v>7.659950618117362</v>
      </c>
      <c r="H999" s="1">
        <f>M$24*Data__2[[#This Row],[Return Market]]*K$4</f>
        <v>8.042948149023232</v>
      </c>
      <c r="I999" s="1"/>
      <c r="J999" s="1"/>
      <c r="K999" s="1"/>
      <c r="L999" s="1"/>
      <c r="M999" s="1"/>
    </row>
    <row r="1000" spans="1:13">
      <c r="A1000" s="1">
        <v>53.645347536089147</v>
      </c>
      <c r="B1000" s="1">
        <v>24.118372054888319</v>
      </c>
      <c r="C1000" s="1">
        <v>352.00845734227033</v>
      </c>
      <c r="D1000" s="24">
        <f>Data__2[[#This Row],[Project_1]]/J$4</f>
        <v>0.35763565024059429</v>
      </c>
      <c r="E1000" s="24">
        <f>Data__2[[#This Row],[Project_2]]/K$4</f>
        <v>0.16078914703258879</v>
      </c>
      <c r="F1000" s="24">
        <f>Data__2[[#This Row],[Market]]/L$4</f>
        <v>0.35200845734227032</v>
      </c>
      <c r="G1000" s="1">
        <f>L$24*Data__2[[#This Row],[Return Market]]*J$4</f>
        <v>19.556025407903928</v>
      </c>
      <c r="H1000" s="1">
        <f>M$24*Data__2[[#This Row],[Return Market]]*K$4</f>
        <v>20.533826678299132</v>
      </c>
      <c r="I1000" s="1"/>
      <c r="J1000" s="1"/>
      <c r="K1000" s="1"/>
      <c r="L1000" s="1"/>
      <c r="M1000" s="1"/>
    </row>
    <row r="1001" spans="1:13">
      <c r="A1001" s="1">
        <v>0.61462340370995783</v>
      </c>
      <c r="B1001" s="1">
        <v>6.4907984971521522</v>
      </c>
      <c r="C1001" s="1">
        <v>132.31594411212262</v>
      </c>
      <c r="D1001" s="24">
        <f>Data__2[[#This Row],[Project_1]]/J$4</f>
        <v>4.0974893580663857E-3</v>
      </c>
      <c r="E1001" s="24">
        <f>Data__2[[#This Row],[Project_2]]/K$4</f>
        <v>4.327198998101435E-2</v>
      </c>
      <c r="F1001" s="24">
        <f>Data__2[[#This Row],[Market]]/L$4</f>
        <v>0.13231594411212264</v>
      </c>
      <c r="G1001" s="1">
        <f>L$24*Data__2[[#This Row],[Return Market]]*J$4</f>
        <v>7.350885784006822</v>
      </c>
      <c r="H1001" s="1">
        <f>M$24*Data__2[[#This Row],[Return Market]]*K$4</f>
        <v>7.7184300732071636</v>
      </c>
      <c r="I1001" s="1"/>
      <c r="J1001" s="1"/>
      <c r="K1001" s="1"/>
      <c r="L1001" s="1"/>
      <c r="M1001" s="1"/>
    </row>
    <row r="1002" spans="1:13">
      <c r="A1002" s="1">
        <v>44.485208730719613</v>
      </c>
      <c r="B1002" s="1">
        <v>19.024635584153501</v>
      </c>
      <c r="C1002" s="1">
        <v>357.26140478584307</v>
      </c>
      <c r="D1002" s="24">
        <f>Data__2[[#This Row],[Project_1]]/J$4</f>
        <v>0.29656805820479742</v>
      </c>
      <c r="E1002" s="24">
        <f>Data__2[[#This Row],[Project_2]]/K$4</f>
        <v>0.12683090389435667</v>
      </c>
      <c r="F1002" s="24">
        <f>Data__2[[#This Row],[Market]]/L$4</f>
        <v>0.35726140478584306</v>
      </c>
      <c r="G1002" s="1">
        <f>L$24*Data__2[[#This Row],[Return Market]]*J$4</f>
        <v>19.847855821435751</v>
      </c>
      <c r="H1002" s="1">
        <f>M$24*Data__2[[#This Row],[Return Market]]*K$4</f>
        <v>20.840248612507537</v>
      </c>
      <c r="I1002" s="1"/>
      <c r="J1002" s="1"/>
      <c r="K1002" s="1"/>
      <c r="L1002" s="1"/>
      <c r="M1002" s="1"/>
    </row>
  </sheetData>
  <mergeCells count="7">
    <mergeCell ref="K20:L20"/>
    <mergeCell ref="J20:J28"/>
    <mergeCell ref="J10:J13"/>
    <mergeCell ref="J6:J8"/>
    <mergeCell ref="A1:M1"/>
    <mergeCell ref="J2:M2"/>
    <mergeCell ref="J15:J18"/>
  </mergeCells>
  <phoneticPr fontId="8" type="noConversion"/>
  <conditionalFormatting sqref="L8:M8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L13:M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L18:M18"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D5A42-72B3-524A-980D-33BF8FB776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M.C.2.1</vt:lpstr>
      <vt:lpstr>M.C.2.2</vt:lpstr>
      <vt:lpstr>M.C.2.3</vt:lpstr>
      <vt:lpstr>M.C.2.4</vt:lpstr>
      <vt:lpstr>M.C.2.5</vt:lpstr>
      <vt:lpstr>M.C.2.6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Бурдуков</dc:creator>
  <cp:lastModifiedBy>Олег Бурдуков</cp:lastModifiedBy>
  <dcterms:created xsi:type="dcterms:W3CDTF">2026-05-15T08:09:27Z</dcterms:created>
  <dcterms:modified xsi:type="dcterms:W3CDTF">2026-05-22T07:15:30Z</dcterms:modified>
</cp:coreProperties>
</file>