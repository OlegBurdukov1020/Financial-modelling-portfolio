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V Risk Management/Interactive part/Unit 4/Unit 4 MCs /"/>
    </mc:Choice>
  </mc:AlternateContent>
  <xr:revisionPtr revIDLastSave="0" documentId="13_ncr:1_{1E3EB2C9-4934-4D42-A323-F39B9A876781}" xr6:coauthVersionLast="47" xr6:coauthVersionMax="47" xr10:uidLastSave="{00000000-0000-0000-0000-000000000000}"/>
  <bookViews>
    <workbookView xWindow="14820" yWindow="720" windowWidth="14580" windowHeight="18400" activeTab="1" xr2:uid="{BBA2B17E-30C3-DB45-A621-09CDB838B9DF}"/>
  </bookViews>
  <sheets>
    <sheet name="M.C.4.1" sheetId="1" r:id="rId1"/>
    <sheet name="M.C.4.2" sheetId="2" r:id="rId2"/>
    <sheet name="M.C.4.3" sheetId="3" r:id="rId3"/>
    <sheet name="M.C.4.4" sheetId="4" r:id="rId4"/>
    <sheet name="M.C.4.5" sheetId="5" r:id="rId5"/>
    <sheet name="M.C.4.6" sheetId="6" r:id="rId6"/>
  </sheets>
  <definedNames>
    <definedName name="ExternalData_1" localSheetId="0" hidden="1">'M.C.4.1'!$A$2:$C$12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4" i="6" l="1"/>
  <c r="B13" i="6"/>
  <c r="E6" i="3"/>
  <c r="C13" i="6" a="1"/>
  <c r="F7" i="6"/>
  <c r="F3" i="6" a="1"/>
  <c r="E15" i="5"/>
  <c r="H5" i="5"/>
  <c r="B14" i="3"/>
  <c r="D5" i="3"/>
  <c r="D6" i="3"/>
  <c r="D7" i="3"/>
  <c r="D4" i="3"/>
  <c r="D8" i="3" a="1"/>
  <c r="F5" i="3"/>
  <c r="F6" i="3"/>
  <c r="F7" i="3"/>
  <c r="F4" i="3"/>
  <c r="D3" i="2"/>
  <c r="H9" i="2" s="1" a="1"/>
  <c r="D4" i="2"/>
  <c r="D5" i="2"/>
  <c r="D6" i="2"/>
  <c r="D7" i="2"/>
  <c r="D8" i="2"/>
  <c r="D9" i="2"/>
  <c r="D10" i="2"/>
  <c r="D19" i="1" a="1"/>
  <c r="H2" i="2" a="1"/>
  <c r="C4" i="2"/>
  <c r="C5" i="2"/>
  <c r="C6" i="2"/>
  <c r="C7" i="2"/>
  <c r="C8" i="2"/>
  <c r="C9" i="2"/>
  <c r="C10" i="2"/>
  <c r="C3" i="2"/>
  <c r="G9" i="2" s="1" a="1"/>
  <c r="D4" i="1"/>
  <c r="D5" i="1"/>
  <c r="D6" i="1"/>
  <c r="D7" i="1"/>
  <c r="D8" i="1"/>
  <c r="D9" i="1"/>
  <c r="D10" i="1"/>
  <c r="D11" i="1"/>
  <c r="D12" i="1"/>
  <c r="D3" i="1"/>
  <c r="C14" i="6" l="1"/>
  <c r="D14" i="6" s="1"/>
  <c r="D13" i="6"/>
  <c r="B15" i="3"/>
  <c r="E4" i="3"/>
  <c r="E7" i="3"/>
  <c r="F8" i="6"/>
  <c r="H10" i="2" s="1"/>
  <c r="H8" i="2" s="1"/>
  <c r="G10" i="2" s="1"/>
  <c r="A19" i="1"/>
  <c r="E5" i="3" l="1"/>
  <c r="F8" i="3" a="1"/>
  <c r="E8" i="3"/>
  <c r="F4" i="6"/>
  <c r="H11" i="2"/>
  <c r="G8" i="2"/>
  <c r="G11" i="2" s="1"/>
  <c r="H3" i="2"/>
  <c r="F10" i="3"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55B0C8-2F0D-DC46-B380-4F5D25514A72}"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736E049D-0304-6440-82D2-7B7F51694E1A}"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 id="3" xr16:uid="{0D4B3D66-C673-354D-9E35-0E26339B409D}" keepAlive="1" name="Query - Data (3)" description="Connection to the 'Data (3)' query in the workbook." type="5" refreshedVersion="0" background="1">
    <dbPr connection="Provider=Microsoft.Mashup.OleDb.1;Data Source=$Workbook$;Location=&quot;Data (3)&quot;;Extended Properties=&quot;&quot;" command="SELECT * FROM [Data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<sst xmlns="http://schemas.openxmlformats.org/spreadsheetml/2006/main" count="88" uniqueCount="61">
  <si>
    <t>Mini-Case 4.1</t>
  </si>
  <si>
    <t>Mini-Case 4.2</t>
  </si>
  <si>
    <t>Mini-Case 4.3</t>
  </si>
  <si>
    <t>Mini-Case 4.4</t>
  </si>
  <si>
    <t>Mini-Case 4.5</t>
  </si>
  <si>
    <t>Mini-Case 4.6</t>
  </si>
  <si>
    <t>Column1</t>
  </si>
  <si>
    <t>Tenor</t>
  </si>
  <si>
    <t>Rate</t>
  </si>
  <si>
    <t>Assumptions</t>
  </si>
  <si>
    <t>Remaining maturity</t>
  </si>
  <si>
    <t>Assumptions for the risk-free bond</t>
  </si>
  <si>
    <t>TASK 1</t>
  </si>
  <si>
    <t>PV of every coupon</t>
  </si>
  <si>
    <t>PV</t>
  </si>
  <si>
    <t>TASK 2</t>
  </si>
  <si>
    <t>YTM</t>
  </si>
  <si>
    <r>
      <t>Corresponding PV</t>
    </r>
    <r>
      <rPr>
        <b/>
        <sz val="8"/>
        <color rgb="FF3F3F3F"/>
        <rFont val="Aptos Narrow (Body)"/>
      </rPr>
      <t>BOND</t>
    </r>
  </si>
  <si>
    <t>Tenor_Years</t>
  </si>
  <si>
    <r>
      <rPr>
        <b/>
        <sz val="16"/>
        <color rgb="FF3F3F3F"/>
        <rFont val="Aptos Narrow (Body)"/>
      </rPr>
      <t>r</t>
    </r>
    <r>
      <rPr>
        <b/>
        <sz val="8"/>
        <color rgb="FF3F3F3F"/>
        <rFont val="Aptos Narrow (Body)"/>
      </rPr>
      <t>coupon</t>
    </r>
  </si>
  <si>
    <t>ModD</t>
  </si>
  <si>
    <t>PV01</t>
  </si>
  <si>
    <t>Rate structure</t>
  </si>
  <si>
    <t>∆PV(%)</t>
  </si>
  <si>
    <t>TASK 3</t>
  </si>
  <si>
    <t>TASK 2, 3</t>
  </si>
  <si>
    <t>Shifted rate structure (T2)</t>
  </si>
  <si>
    <t>Shifted rate structure (T3)</t>
  </si>
  <si>
    <t>Estimation error</t>
  </si>
  <si>
    <t>The difference can be explained by non-linearity of the PV function. The result of ∆PV(%) using MD holds for small changes in interest rate approximately. For signifiacntly large changes the formula loses its sense completely</t>
  </si>
  <si>
    <r>
      <t>PV</t>
    </r>
    <r>
      <rPr>
        <b/>
        <sz val="8"/>
        <color rgb="FF3F3F3F"/>
        <rFont val="Aptos Narrow (Body)"/>
      </rPr>
      <t>shifted rate</t>
    </r>
  </si>
  <si>
    <r>
      <t>∆</t>
    </r>
    <r>
      <rPr>
        <b/>
        <sz val="16"/>
        <color rgb="FF3F3F3F"/>
        <rFont val="Aptos Narrow (Body)"/>
      </rPr>
      <t>r</t>
    </r>
  </si>
  <si>
    <t>Bonds' maturities</t>
  </si>
  <si>
    <t>Type</t>
  </si>
  <si>
    <t>ZCB</t>
  </si>
  <si>
    <t>Fixed-rate annual coupon</t>
  </si>
  <si>
    <t>YTM structure</t>
  </si>
  <si>
    <t>MD</t>
  </si>
  <si>
    <t>Weight</t>
  </si>
  <si>
    <t>D/A</t>
  </si>
  <si>
    <r>
      <t>In order to choose the best option, management has to know which value of modified duration for debt they should achieve, so that the modified duration of equity equals 0. Considering the fact that MD</t>
    </r>
    <r>
      <rPr>
        <sz val="5"/>
        <color theme="1"/>
        <rFont val="Aptos Narrow (Body)"/>
      </rPr>
      <t>D</t>
    </r>
    <r>
      <rPr>
        <sz val="8"/>
        <color theme="1"/>
        <rFont val="Aptos Narrow"/>
        <family val="2"/>
        <scheme val="minor"/>
      </rPr>
      <t xml:space="preserve"> = MD</t>
    </r>
    <r>
      <rPr>
        <sz val="5"/>
        <color theme="1"/>
        <rFont val="Aptos Narrow (Body)"/>
      </rPr>
      <t>Fixed rate coupon bond</t>
    </r>
    <r>
      <rPr>
        <sz val="8"/>
        <color theme="1"/>
        <rFont val="Aptos Narrow"/>
        <family val="2"/>
        <scheme val="minor"/>
      </rPr>
      <t xml:space="preserve"> it follows that we choose exactly this instrument to finance the project </t>
    </r>
  </si>
  <si>
    <r>
      <t>MD</t>
    </r>
    <r>
      <rPr>
        <b/>
        <sz val="8"/>
        <color rgb="FF3F3F3F"/>
        <rFont val="Aptos Narrow (Body)"/>
      </rPr>
      <t>A</t>
    </r>
  </si>
  <si>
    <r>
      <t>MD</t>
    </r>
    <r>
      <rPr>
        <b/>
        <sz val="8"/>
        <color rgb="FF3F3F3F"/>
        <rFont val="Aptos Narrow (Body)"/>
      </rPr>
      <t>D</t>
    </r>
  </si>
  <si>
    <r>
      <t>MD</t>
    </r>
    <r>
      <rPr>
        <b/>
        <sz val="8"/>
        <color rgb="FF3F3F3F"/>
        <rFont val="Aptos Narrow (Body)"/>
      </rPr>
      <t>P</t>
    </r>
  </si>
  <si>
    <r>
      <rPr>
        <b/>
        <sz val="16"/>
        <color rgb="FF3F3F3F"/>
        <rFont val="Aptos Narrow (Body)"/>
      </rPr>
      <t>σ</t>
    </r>
    <r>
      <rPr>
        <b/>
        <sz val="8"/>
        <color rgb="FF3F3F3F"/>
        <rFont val="Aptos Narrow (Body)"/>
      </rPr>
      <t>EBIT</t>
    </r>
  </si>
  <si>
    <r>
      <rPr>
        <b/>
        <sz val="16"/>
        <color rgb="FF3F3F3F"/>
        <rFont val="Aptos Narrow (Body)"/>
      </rPr>
      <t>⍴</t>
    </r>
    <r>
      <rPr>
        <b/>
        <sz val="8"/>
        <color rgb="FF3F3F3F"/>
        <rFont val="Aptos Narrow (Body)"/>
      </rPr>
      <t>EBIT,I</t>
    </r>
    <r>
      <rPr>
        <b/>
        <sz val="5"/>
        <color rgb="FF3F3F3F"/>
        <rFont val="Aptos Narrow (Body)"/>
      </rPr>
      <t>FLOAT</t>
    </r>
  </si>
  <si>
    <r>
      <t xml:space="preserve">For choice of the bond that minimizes </t>
    </r>
    <r>
      <rPr>
        <sz val="16"/>
        <color theme="1"/>
        <rFont val="Aptos Narrow (Body)"/>
      </rPr>
      <t>σ</t>
    </r>
    <r>
      <rPr>
        <sz val="8"/>
        <color theme="1"/>
        <rFont val="Aptos Narrow (Body)"/>
      </rPr>
      <t>P/L</t>
    </r>
    <r>
      <rPr>
        <sz val="12"/>
        <color theme="1"/>
        <rFont val="Aptos Narrow"/>
        <family val="2"/>
        <scheme val="minor"/>
      </rPr>
      <t xml:space="preserve"> it holds</t>
    </r>
  </si>
  <si>
    <r>
      <rPr>
        <b/>
        <sz val="16"/>
        <color rgb="FF3F3F3F"/>
        <rFont val="Aptos Narrow (Body)"/>
      </rPr>
      <t>σ</t>
    </r>
    <r>
      <rPr>
        <b/>
        <sz val="8"/>
        <color rgb="FF3F3F3F"/>
        <rFont val="Aptos Narrow (Body)"/>
      </rPr>
      <t>I</t>
    </r>
    <r>
      <rPr>
        <b/>
        <sz val="5"/>
        <color rgb="FF3F3F3F"/>
        <rFont val="Aptos Narrow (Body)"/>
      </rPr>
      <t>FLOAT</t>
    </r>
    <r>
      <rPr>
        <b/>
        <sz val="12"/>
        <color rgb="FF3F3F3F"/>
        <rFont val="Aptos Narrow"/>
        <family val="2"/>
        <scheme val="minor"/>
      </rPr>
      <t xml:space="preserve"> &gt;</t>
    </r>
  </si>
  <si>
    <t>From it follows that we choose fixed rate bond if:</t>
  </si>
  <si>
    <r>
      <t xml:space="preserve">Let's first of all see the maximum possible value of </t>
    </r>
    <r>
      <rPr>
        <sz val="16"/>
        <color theme="1"/>
        <rFont val="Aptos Narrow (Body)"/>
      </rPr>
      <t>σ</t>
    </r>
    <r>
      <rPr>
        <sz val="8"/>
        <color theme="1"/>
        <rFont val="Aptos Narrow (Body)"/>
      </rPr>
      <t>I</t>
    </r>
    <r>
      <rPr>
        <sz val="5"/>
        <color theme="1"/>
        <rFont val="Aptos Narrow (Body)"/>
      </rPr>
      <t>FLOAT</t>
    </r>
    <r>
      <rPr>
        <sz val="12"/>
        <color theme="1"/>
        <rFont val="Aptos Narrow"/>
        <family val="2"/>
        <scheme val="minor"/>
      </rPr>
      <t xml:space="preserve">, since we are no longer certain about </t>
    </r>
    <r>
      <rPr>
        <sz val="16"/>
        <color theme="1"/>
        <rFont val="Aptos Narrow (Body)"/>
      </rPr>
      <t>⍴</t>
    </r>
    <r>
      <rPr>
        <sz val="12"/>
        <color theme="1"/>
        <rFont val="Aptos Narrow"/>
        <family val="2"/>
        <scheme val="minor"/>
      </rPr>
      <t xml:space="preserve">. Assume that </t>
    </r>
    <r>
      <rPr>
        <sz val="16"/>
        <color theme="1"/>
        <rFont val="Aptos Narrow (Body)"/>
      </rPr>
      <t>⍴</t>
    </r>
    <r>
      <rPr>
        <sz val="8"/>
        <color theme="1"/>
        <rFont val="Aptos Narrow (Body)"/>
      </rPr>
      <t>EBIT,I</t>
    </r>
    <r>
      <rPr>
        <sz val="5"/>
        <color theme="1"/>
        <rFont val="Aptos Narrow (Body)"/>
      </rPr>
      <t>FLOAT</t>
    </r>
    <r>
      <rPr>
        <sz val="12"/>
        <color theme="1"/>
        <rFont val="Aptos Narrow"/>
        <family val="2"/>
        <scheme val="minor"/>
      </rPr>
      <t xml:space="preserve"> = 1</t>
    </r>
  </si>
  <si>
    <r>
      <t xml:space="preserve">Since 2,5% is more than even the maximum possible bound of </t>
    </r>
    <r>
      <rPr>
        <sz val="16"/>
        <color theme="1"/>
        <rFont val="Aptos Narrow (Body)"/>
      </rPr>
      <t>σ</t>
    </r>
    <r>
      <rPr>
        <sz val="8"/>
        <color theme="1"/>
        <rFont val="Aptos Narrow (Body)"/>
      </rPr>
      <t>I</t>
    </r>
    <r>
      <rPr>
        <sz val="5"/>
        <color theme="1"/>
        <rFont val="Aptos Narrow (Body)"/>
      </rPr>
      <t>FLOAT</t>
    </r>
    <r>
      <rPr>
        <sz val="12"/>
        <color theme="1"/>
        <rFont val="Aptos Narrow"/>
        <family val="2"/>
        <scheme val="minor"/>
      </rPr>
      <t>, we can certainly choose fixed rate bond</t>
    </r>
  </si>
  <si>
    <r>
      <t>Var(P/L</t>
    </r>
    <r>
      <rPr>
        <sz val="8"/>
        <color theme="1"/>
        <rFont val="Aptos Narrow (Body)"/>
      </rPr>
      <t>Fixed</t>
    </r>
    <r>
      <rPr>
        <sz val="12"/>
        <color theme="1"/>
        <rFont val="Aptos Narrow"/>
        <family val="2"/>
        <scheme val="minor"/>
      </rPr>
      <t>) &lt; Var(P/L</t>
    </r>
    <r>
      <rPr>
        <sz val="8"/>
        <color theme="1"/>
        <rFont val="Aptos Narrow (Body)"/>
      </rPr>
      <t>Floating</t>
    </r>
    <r>
      <rPr>
        <sz val="12"/>
        <color theme="1"/>
        <rFont val="Aptos Narrow"/>
        <family val="2"/>
        <scheme val="minor"/>
      </rPr>
      <t xml:space="preserve">)  </t>
    </r>
    <r>
      <rPr>
        <u/>
        <sz val="16"/>
        <color theme="1"/>
        <rFont val="Aptos Narrow (Body)"/>
      </rPr>
      <t>IFF</t>
    </r>
    <r>
      <rPr>
        <sz val="12"/>
        <color theme="1"/>
        <rFont val="Aptos Narrow"/>
        <family val="2"/>
        <scheme val="minor"/>
      </rPr>
      <t xml:space="preserve">  </t>
    </r>
    <r>
      <rPr>
        <sz val="16"/>
        <color theme="1"/>
        <rFont val="Aptos Narrow (Body)"/>
      </rPr>
      <t>⍴</t>
    </r>
    <r>
      <rPr>
        <sz val="8"/>
        <color theme="1"/>
        <rFont val="Aptos Narrow (Body)"/>
      </rPr>
      <t>EBIT,I</t>
    </r>
    <r>
      <rPr>
        <sz val="12"/>
        <color theme="1"/>
        <rFont val="Aptos Narrow"/>
        <family val="2"/>
        <scheme val="minor"/>
      </rPr>
      <t xml:space="preserve"> &lt; </t>
    </r>
    <r>
      <rPr>
        <sz val="16"/>
        <color theme="1"/>
        <rFont val="Aptos Narrow (Body)"/>
      </rPr>
      <t>σ</t>
    </r>
    <r>
      <rPr>
        <sz val="8"/>
        <color theme="1"/>
        <rFont val="Aptos Narrow (Body)"/>
      </rPr>
      <t>I</t>
    </r>
    <r>
      <rPr>
        <sz val="5"/>
        <color theme="1"/>
        <rFont val="Aptos Narrow (Body)"/>
      </rPr>
      <t>FLOAT</t>
    </r>
    <r>
      <rPr>
        <sz val="12"/>
        <color theme="1"/>
        <rFont val="Aptos Narrow"/>
        <family val="2"/>
        <scheme val="minor"/>
      </rPr>
      <t>/</t>
    </r>
    <r>
      <rPr>
        <sz val="14"/>
        <color theme="1"/>
        <rFont val="Aptos Narrow (Body)"/>
      </rPr>
      <t>2</t>
    </r>
    <r>
      <rPr>
        <sz val="16"/>
        <color theme="1"/>
        <rFont val="Aptos Narrow (Body)"/>
      </rPr>
      <t>σ</t>
    </r>
    <r>
      <rPr>
        <sz val="8"/>
        <color theme="1"/>
        <rFont val="Aptos Narrow (Body)"/>
      </rPr>
      <t>EBIT</t>
    </r>
  </si>
  <si>
    <r>
      <rPr>
        <b/>
        <sz val="16"/>
        <color rgb="FF3F3F3F"/>
        <rFont val="Aptos Narrow (Body)"/>
      </rPr>
      <t>σ</t>
    </r>
    <r>
      <rPr>
        <b/>
        <sz val="8"/>
        <color rgb="FF3F3F3F"/>
        <rFont val="Aptos Narrow (Body)"/>
      </rPr>
      <t>I</t>
    </r>
    <r>
      <rPr>
        <b/>
        <sz val="5"/>
        <color rgb="FF3F3F3F"/>
        <rFont val="Aptos Narrow (Body)"/>
      </rPr>
      <t xml:space="preserve">FLOAT </t>
    </r>
    <r>
      <rPr>
        <b/>
        <sz val="12"/>
        <color rgb="FF3F3F3F"/>
        <rFont val="Aptos Narrow"/>
        <family val="2"/>
        <scheme val="minor"/>
      </rPr>
      <t>(Task 2)</t>
    </r>
  </si>
  <si>
    <t>r</t>
  </si>
  <si>
    <t>fixed-coupon</t>
  </si>
  <si>
    <t>T(in years)</t>
  </si>
  <si>
    <t>Bond type</t>
  </si>
  <si>
    <t>Bond alternatives</t>
  </si>
  <si>
    <t>floating-coupon</t>
  </si>
  <si>
    <t>Task</t>
  </si>
  <si>
    <r>
      <t>MD</t>
    </r>
    <r>
      <rPr>
        <b/>
        <sz val="8"/>
        <color rgb="FF3F3F3F"/>
        <rFont val="Aptos Narrow (Body)"/>
      </rPr>
      <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</si>
</sst>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0.0000%"/>
    <numFmt numFmtId="167" formatCode="0.00000%"/>
    <numFmt numFmtId="168" formatCode="0.000000%"/>
  </numFmts>
  <fonts count="18" x14ac:knownFonts="1">
    <font>
      <sz val="12"/>
      <color theme="1"/>
      <name val="Aptos Narrow"/>
      <family val="2"/>
      <scheme val="minor"/>
    </font>
    <font>
      <sz val="12"/>
      <color theme="1"/>
      <name val="Aptos Narrow"/>
      <family val="2"/>
      <scheme val="minor"/>
    </font>
    <font>
      <sz val="12"/>
      <color rgb="FF9C0006"/>
      <name val="Aptos Narrow"/>
      <family val="2"/>
      <scheme val="minor"/>
    </font>
    <font>
      <b/>
      <sz val="12"/>
      <color rgb="FF3F3F3F"/>
      <name val="Aptos Narrow"/>
      <family val="2"/>
      <scheme val="minor"/>
    </font>
    <font>
      <b/>
      <sz val="12"/>
      <color theme="0"/>
      <name val="Aptos Narrow"/>
      <family val="2"/>
      <scheme val="minor"/>
    </font>
    <font>
      <sz val="12"/>
      <color theme="0"/>
      <name val="Aptos Narrow"/>
      <family val="2"/>
      <scheme val="minor"/>
    </font>
    <font>
      <b/>
      <sz val="8"/>
      <color rgb="FF3F3F3F"/>
      <name val="Aptos Narrow (Body)"/>
    </font>
    <font>
      <b/>
      <sz val="16"/>
      <color rgb="FF3F3F3F"/>
      <name val="Aptos Narrow (Body)"/>
    </font>
    <font>
      <b/>
      <sz val="12"/>
      <color rgb="FF3F3F3F"/>
      <name val="Aptos Narrow (Body)"/>
    </font>
    <font>
      <sz val="9"/>
      <color theme="1"/>
      <name val="Aptos Narrow"/>
      <family val="2"/>
      <scheme val="minor"/>
    </font>
    <font>
      <sz val="8"/>
      <color theme="1"/>
      <name val="Aptos Narrow"/>
      <family val="2"/>
      <scheme val="minor"/>
    </font>
    <font>
      <sz val="8"/>
      <color theme="1"/>
      <name val="Aptos Narrow (Body)"/>
    </font>
    <font>
      <sz val="5"/>
      <color theme="1"/>
      <name val="Aptos Narrow (Body)"/>
    </font>
    <font>
      <b/>
      <sz val="5"/>
      <color rgb="FF3F3F3F"/>
      <name val="Aptos Narrow (Body)"/>
    </font>
    <font>
      <sz val="14"/>
      <color theme="1"/>
      <name val="Aptos Narrow (Body)"/>
    </font>
    <font>
      <sz val="16"/>
      <color theme="1"/>
      <name val="Aptos Narrow (Body)"/>
    </font>
    <font>
      <u/>
      <sz val="16"/>
      <color theme="1"/>
      <name val="Aptos Narrow (Body)"/>
    </font>
    <font>
      <b/>
      <sz val="16"/>
      <color rgb="FF3F3F3F"/>
      <name val="Aptos Narrow"/>
      <family val="2"/>
      <scheme val="minor"/>
    </font>
  </fonts>
  <fills count="10">
    <fill>
      <patternFill patternType="none"/>
    </fill>
    <fill>
      <patternFill patternType="gray125"/>
    </fill>
    <fill>
      <patternFill patternType="solid">
        <fgColor rgb="FFFFC7CE"/>
      </patternFill>
    </fill>
    <fill>
      <patternFill patternType="solid">
        <fgColor rgb="FFF2F2F2"/>
      </patternFill>
    </fill>
    <fill>
      <patternFill patternType="solid">
        <fgColor theme="7"/>
      </patternFill>
    </fill>
    <fill>
      <patternFill patternType="solid">
        <fgColor theme="7" tint="0.79998168889431442"/>
        <bgColor indexed="65"/>
      </patternFill>
    </fill>
    <fill>
      <patternFill patternType="solid">
        <fgColor theme="9"/>
        <bgColor theme="9"/>
      </patternFill>
    </fill>
    <fill>
      <patternFill patternType="solid">
        <fgColor theme="9" tint="0.79998168889431442"/>
        <bgColor theme="9" tint="0.79998168889431442"/>
      </patternFill>
    </fill>
    <fill>
      <patternFill patternType="solid">
        <fgColor theme="2" tint="-0.749992370372631"/>
        <bgColor indexed="64"/>
      </patternFill>
    </fill>
    <fill>
      <patternFill patternType="solid">
        <fgColor theme="2" tint="-0.499984740745262"/>
        <bgColor indexed="64"/>
      </patternFill>
    </fill>
  </fills>
  <borders count="11">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0" fontId="2" fillId="2" borderId="0" applyNumberFormat="0" applyBorder="0" applyAlignment="0" applyProtection="0"/>
    <xf numFmtId="0" fontId="3" fillId="3" borderId="1" applyNumberFormat="0" applyAlignment="0" applyProtection="0"/>
    <xf numFmtId="0" fontId="5" fillId="4" borderId="0" applyNumberFormat="0" applyBorder="0" applyAlignment="0" applyProtection="0"/>
    <xf numFmtId="0" fontId="1" fillId="5" borderId="0" applyNumberFormat="0" applyBorder="0" applyAlignment="0" applyProtection="0"/>
  </cellStyleXfs>
  <cellXfs count="43">
    <xf numFmtId="0" fontId="0" fillId="0" borderId="0" xfId="0"/>
    <xf numFmtId="0" fontId="0" fillId="0" borderId="0" xfId="0" applyAlignment="1">
      <alignment vertical="center"/>
    </xf>
    <xf numFmtId="0" fontId="0" fillId="0" borderId="0" xfId="0" applyAlignment="1">
      <alignment horizontal="center" vertical="center"/>
    </xf>
    <xf numFmtId="0" fontId="3" fillId="3" borderId="1" xfId="2" applyAlignment="1">
      <alignment horizontal="center" vertical="center"/>
    </xf>
    <xf numFmtId="0" fontId="0" fillId="0" borderId="2" xfId="0" applyBorder="1" applyAlignment="1">
      <alignment horizontal="center" vertical="center"/>
    </xf>
    <xf numFmtId="0" fontId="3" fillId="3" borderId="2" xfId="2" applyBorder="1" applyAlignment="1">
      <alignment horizontal="center" vertical="center"/>
    </xf>
    <xf numFmtId="0" fontId="5" fillId="9" borderId="2" xfId="0" applyFont="1" applyFill="1" applyBorder="1" applyAlignment="1">
      <alignment horizontal="center" vertical="center"/>
    </xf>
    <xf numFmtId="9" fontId="0" fillId="0" borderId="2" xfId="0" applyNumberFormat="1" applyBorder="1" applyAlignment="1">
      <alignment horizontal="center" vertical="center"/>
    </xf>
    <xf numFmtId="164" fontId="0" fillId="0" borderId="2" xfId="0" applyNumberFormat="1" applyBorder="1" applyAlignment="1">
      <alignment horizontal="center" vertical="center"/>
    </xf>
    <xf numFmtId="10" fontId="0" fillId="0" borderId="2" xfId="0" applyNumberFormat="1" applyBorder="1" applyAlignment="1">
      <alignment horizontal="center" vertical="center"/>
    </xf>
    <xf numFmtId="165" fontId="0" fillId="0" borderId="2" xfId="0" applyNumberFormat="1" applyBorder="1" applyAlignment="1">
      <alignment horizontal="center" vertical="center"/>
    </xf>
    <xf numFmtId="166" fontId="0" fillId="0" borderId="2" xfId="0" applyNumberFormat="1" applyBorder="1" applyAlignment="1">
      <alignment horizontal="center" vertical="center"/>
    </xf>
    <xf numFmtId="10" fontId="1" fillId="5" borderId="2" xfId="4" applyNumberFormat="1" applyBorder="1" applyAlignment="1">
      <alignment horizontal="center" vertical="center"/>
    </xf>
    <xf numFmtId="0" fontId="8" fillId="3" borderId="2" xfId="2" applyFont="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7" borderId="6" xfId="0" applyFill="1" applyBorder="1" applyAlignment="1">
      <alignment horizontal="center" vertical="center"/>
    </xf>
    <xf numFmtId="165" fontId="0" fillId="7" borderId="2" xfId="0" applyNumberFormat="1" applyFill="1" applyBorder="1" applyAlignment="1">
      <alignment horizontal="center" vertical="center"/>
    </xf>
    <xf numFmtId="165" fontId="0" fillId="0" borderId="7" xfId="0" applyNumberFormat="1"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165" fontId="0" fillId="0" borderId="9" xfId="0" applyNumberFormat="1" applyBorder="1" applyAlignment="1">
      <alignment horizontal="center" vertical="center"/>
    </xf>
    <xf numFmtId="165" fontId="0" fillId="0" borderId="10" xfId="0" applyNumberFormat="1" applyBorder="1" applyAlignment="1">
      <alignment horizontal="center" vertical="center"/>
    </xf>
    <xf numFmtId="167" fontId="0" fillId="0" borderId="2" xfId="0" applyNumberFormat="1" applyBorder="1" applyAlignment="1">
      <alignment horizontal="center" vertical="center"/>
    </xf>
    <xf numFmtId="168" fontId="0" fillId="0" borderId="2" xfId="0" applyNumberFormat="1" applyBorder="1" applyAlignment="1">
      <alignment horizontal="center" vertical="center"/>
    </xf>
    <xf numFmtId="166" fontId="2" fillId="2" borderId="2" xfId="1" applyNumberFormat="1" applyBorder="1" applyAlignment="1">
      <alignment horizontal="center" vertical="center"/>
    </xf>
    <xf numFmtId="0" fontId="0" fillId="0" borderId="0" xfId="0" applyAlignment="1">
      <alignment wrapText="1"/>
    </xf>
    <xf numFmtId="9" fontId="1" fillId="5" borderId="2" xfId="4" applyNumberFormat="1" applyBorder="1" applyAlignment="1">
      <alignment horizontal="center" vertical="center"/>
    </xf>
    <xf numFmtId="164" fontId="1" fillId="5" borderId="2" xfId="4" applyNumberFormat="1" applyBorder="1" applyAlignment="1">
      <alignment horizontal="center" vertical="center"/>
    </xf>
    <xf numFmtId="0" fontId="17" fillId="3" borderId="2" xfId="2" applyFont="1" applyBorder="1" applyAlignment="1">
      <alignment horizontal="center" vertical="center"/>
    </xf>
    <xf numFmtId="0" fontId="5" fillId="0" borderId="0" xfId="0" applyFont="1"/>
    <xf numFmtId="0" fontId="5" fillId="8" borderId="2" xfId="0" applyFont="1" applyFill="1" applyBorder="1" applyAlignment="1">
      <alignment horizontal="center" vertical="center"/>
    </xf>
    <xf numFmtId="0" fontId="5" fillId="9" borderId="2" xfId="0" applyFont="1" applyFill="1" applyBorder="1" applyAlignment="1">
      <alignment horizontal="center" vertical="center"/>
    </xf>
    <xf numFmtId="0" fontId="5" fillId="4" borderId="2" xfId="3" applyBorder="1" applyAlignment="1">
      <alignment horizontal="center" vertical="center"/>
    </xf>
    <xf numFmtId="0" fontId="5" fillId="4" borderId="2" xfId="3" applyBorder="1" applyAlignment="1">
      <alignment horizontal="center"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5" fillId="8" borderId="0" xfId="0" applyFont="1" applyFill="1" applyAlignment="1">
      <alignment horizontal="center"/>
    </xf>
    <xf numFmtId="0" fontId="0" fillId="0" borderId="2" xfId="0" applyBorder="1" applyAlignment="1">
      <alignment horizontal="center" vertical="center" wrapText="1"/>
    </xf>
    <xf numFmtId="0" fontId="3" fillId="3" borderId="2" xfId="2" applyBorder="1" applyAlignment="1">
      <alignment horizontal="center" vertical="center"/>
    </xf>
    <xf numFmtId="0" fontId="0" fillId="0" borderId="2" xfId="0" applyBorder="1" applyAlignment="1">
      <alignment horizontal="center" vertical="center"/>
    </xf>
  </cellXfs>
  <cellStyles count="5">
    <cellStyle name="20% - Accent4" xfId="4" builtinId="42"/>
    <cellStyle name="Accent4" xfId="3" builtinId="41"/>
    <cellStyle name="Bad" xfId="1" builtinId="27"/>
    <cellStyle name="Normal" xfId="0" builtinId="0"/>
    <cellStyle name="Output" xfId="2" builtinId="21"/>
  </cellStyles>
  <dxfs count="15">
    <dxf>
      <numFmt numFmtId="165" formatCode="0.000%"/>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165" formatCode="0.000%"/>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0" formatCode="General"/>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dxf>
    <dxf>
      <border>
        <bottom style="thin">
          <color indexed="64"/>
        </bottom>
      </border>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4" formatCode="0.00%"/>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F3CDCF"/>
      <color rgb="FFC0F0F0"/>
      <color rgb="FFECA2A7"/>
      <color rgb="FF99C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546100</xdr:colOff>
      <xdr:row>1</xdr:row>
      <xdr:rowOff>0</xdr:rowOff>
    </xdr:from>
    <xdr:to>
      <xdr:col>17</xdr:col>
      <xdr:colOff>257382</xdr:colOff>
      <xdr:row>50</xdr:row>
      <xdr:rowOff>101600</xdr:rowOff>
    </xdr:to>
    <xdr:pic>
      <xdr:nvPicPr>
        <xdr:cNvPr id="2" name="Picture 1">
          <a:extLst>
            <a:ext uri="{FF2B5EF4-FFF2-40B4-BE49-F238E27FC236}">
              <a16:creationId xmlns:a16="http://schemas.microsoft.com/office/drawing/2014/main" id="{7598C737-8D24-3872-2A31-B4C9B7D024F7}"/>
            </a:ext>
          </a:extLst>
        </xdr:cNvPr>
        <xdr:cNvPicPr>
          <a:picLocks noChangeAspect="1"/>
        </xdr:cNvPicPr>
      </xdr:nvPicPr>
      <xdr:blipFill>
        <a:blip xmlns:r="http://schemas.openxmlformats.org/officeDocument/2006/relationships" r:embed="rId1"/>
        <a:stretch>
          <a:fillRect/>
        </a:stretch>
      </xdr:blipFill>
      <xdr:spPr>
        <a:xfrm>
          <a:off x="7150100" y="203200"/>
          <a:ext cx="7140782" cy="10058400"/>
        </a:xfrm>
        <a:prstGeom prst="rect">
          <a:avLst/>
        </a:prstGeom>
      </xdr:spPr>
    </xdr:pic>
    <xdr:clientData/>
  </xdr:twoCellAnchor>
  <xdr:twoCellAnchor editAs="oneCell">
    <xdr:from>
      <xdr:col>0</xdr:col>
      <xdr:colOff>0</xdr:colOff>
      <xdr:row>1</xdr:row>
      <xdr:rowOff>0</xdr:rowOff>
    </xdr:from>
    <xdr:to>
      <xdr:col>8</xdr:col>
      <xdr:colOff>536782</xdr:colOff>
      <xdr:row>50</xdr:row>
      <xdr:rowOff>101600</xdr:rowOff>
    </xdr:to>
    <xdr:pic>
      <xdr:nvPicPr>
        <xdr:cNvPr id="3" name="Picture 2">
          <a:extLst>
            <a:ext uri="{FF2B5EF4-FFF2-40B4-BE49-F238E27FC236}">
              <a16:creationId xmlns:a16="http://schemas.microsoft.com/office/drawing/2014/main" id="{7F64A027-52F9-BCFC-7636-1A516C98208D}"/>
            </a:ext>
          </a:extLst>
        </xdr:cNvPr>
        <xdr:cNvPicPr>
          <a:picLocks noChangeAspect="1"/>
        </xdr:cNvPicPr>
      </xdr:nvPicPr>
      <xdr:blipFill>
        <a:blip xmlns:r="http://schemas.openxmlformats.org/officeDocument/2006/relationships" r:embed="rId2"/>
        <a:stretch>
          <a:fillRect/>
        </a:stretch>
      </xdr:blipFill>
      <xdr:spPr>
        <a:xfrm>
          <a:off x="0" y="203200"/>
          <a:ext cx="7140782" cy="10058400"/>
        </a:xfrm>
        <a:prstGeom prst="rect">
          <a:avLst/>
        </a:prstGeom>
      </xdr:spPr>
    </xdr:pic>
    <xdr:clientData/>
  </xdr:twoCellAnchor>
  <xdr:twoCellAnchor editAs="oneCell">
    <xdr:from>
      <xdr:col>17</xdr:col>
      <xdr:colOff>254000</xdr:colOff>
      <xdr:row>1</xdr:row>
      <xdr:rowOff>0</xdr:rowOff>
    </xdr:from>
    <xdr:to>
      <xdr:col>25</xdr:col>
      <xdr:colOff>790782</xdr:colOff>
      <xdr:row>50</xdr:row>
      <xdr:rowOff>101600</xdr:rowOff>
    </xdr:to>
    <xdr:pic>
      <xdr:nvPicPr>
        <xdr:cNvPr id="4" name="Picture 3">
          <a:extLst>
            <a:ext uri="{FF2B5EF4-FFF2-40B4-BE49-F238E27FC236}">
              <a16:creationId xmlns:a16="http://schemas.microsoft.com/office/drawing/2014/main" id="{128D7F0E-329C-9C10-DED3-5BF6001D51A4}"/>
            </a:ext>
          </a:extLst>
        </xdr:cNvPr>
        <xdr:cNvPicPr>
          <a:picLocks noChangeAspect="1"/>
        </xdr:cNvPicPr>
      </xdr:nvPicPr>
      <xdr:blipFill>
        <a:blip xmlns:r="http://schemas.openxmlformats.org/officeDocument/2006/relationships" r:embed="rId3"/>
        <a:stretch>
          <a:fillRect/>
        </a:stretch>
      </xdr:blipFill>
      <xdr:spPr>
        <a:xfrm>
          <a:off x="14287500" y="203200"/>
          <a:ext cx="7140782" cy="1005840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371C64C-D52B-1A4D-8E94-566E5027F0DE}" autoFormatId="16" applyNumberFormats="0" applyBorderFormats="0" applyFontFormats="0" applyPatternFormats="0" applyAlignmentFormats="0" applyWidthHeightFormats="0">
  <queryTableRefresh nextId="5" unboundColumnsRight="1">
    <queryTableFields count="4">
      <queryTableField id="1" name="Column1" tableColumnId="1"/>
      <queryTableField id="2" name="Tenor" tableColumnId="2"/>
      <queryTableField id="3" name="Rate"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D30B8C-BAC4-CC4B-9547-4D732C69F00A}" name="Data3" displayName="Data3" ref="A2:D12" tableType="queryTable" totalsRowShown="0" headerRowDxfId="14" dataDxfId="13">
  <autoFilter ref="A2:D12" xr:uid="{75D30B8C-BAC4-CC4B-9547-4D732C69F00A}"/>
  <tableColumns count="4">
    <tableColumn id="1" xr3:uid="{56E4DD0D-11C1-DB4D-AF2E-F485933E0D11}" uniqueName="1" name="Column1" queryTableFieldId="1" dataDxfId="12"/>
    <tableColumn id="2" xr3:uid="{A5889EE6-87C3-EA46-B047-F338670E0D1C}" uniqueName="2" name="Tenor" queryTableFieldId="2" dataDxfId="11"/>
    <tableColumn id="3" xr3:uid="{A437228B-7460-BA4A-8570-BD39206624BC}" uniqueName="3" name="Rate" queryTableFieldId="3" dataDxfId="10"/>
    <tableColumn id="4" xr3:uid="{3744C92E-FB79-7542-8661-85B01B28B272}" uniqueName="4" name="PV of every coupon" queryTableFieldId="4" dataDxfId="9">
      <calculatedColumnFormula>$D$15/(1+Data3[[#This Row],[Rate]])^Data3[[#This Row],[Tenor]]</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B31ED6-0E63-6947-BEB4-4BFE90630782}" name="Table5" displayName="Table5" ref="A2:D10" totalsRowShown="0" headerRowDxfId="8" dataDxfId="6" headerRowBorderDxfId="7" tableBorderDxfId="5" totalsRowBorderDxfId="4">
  <autoFilter ref="A2:D10" xr:uid="{D8B31ED6-0E63-6947-BEB4-4BFE90630782}"/>
  <tableColumns count="4">
    <tableColumn id="1" xr3:uid="{28B2CCE9-54F0-2A43-B1DF-3EF8E8E4CB01}" name="Tenor_Years" dataDxfId="3"/>
    <tableColumn id="2" xr3:uid="{652EA294-54B5-E744-85E1-C374A616E6B6}" name="Rate structure" dataDxfId="2"/>
    <tableColumn id="3" xr3:uid="{8334B9C9-3E69-8742-96DE-D78FD8546643}" name="Shifted rate structure (T2)" dataDxfId="1">
      <calculatedColumnFormula>B3+$G$7</calculatedColumnFormula>
    </tableColumn>
    <tableColumn id="4" xr3:uid="{A24F109C-62E3-9E4C-9F48-8B004017A36A}" name="Shifted rate structure (T3)" dataDxfId="0">
      <calculatedColumnFormula>Table5[[#This Row],[Rate structure]]+$H$7</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508F-3767-0948-B0A5-95C4162E4831}">
  <sheetPr>
    <tabColor theme="6" tint="0.79998168889431442"/>
  </sheetPr>
  <dimension ref="A1:D19"/>
  <sheetViews>
    <sheetView zoomScale="142" zoomScaleNormal="142" workbookViewId="0">
      <pane ySplit="1" topLeftCell="A2" activePane="bottomLeft" state="frozen"/>
      <selection pane="bottomLeft" activeCell="E22" sqref="E22"/>
    </sheetView>
  </sheetViews>
  <sheetFormatPr baseColWidth="10" defaultRowHeight="16" x14ac:dyDescent="0.2"/>
  <cols>
    <col min="3" max="3" width="19.5" bestFit="1" customWidth="1"/>
    <col min="4" max="4" width="21.6640625" bestFit="1" customWidth="1"/>
  </cols>
  <sheetData>
    <row r="1" spans="1:4" x14ac:dyDescent="0.2">
      <c r="A1" s="33" t="s">
        <v>0</v>
      </c>
      <c r="B1" s="33"/>
      <c r="C1" s="33"/>
      <c r="D1" s="33"/>
    </row>
    <row r="2" spans="1:4" x14ac:dyDescent="0.2">
      <c r="A2" s="4" t="s">
        <v>6</v>
      </c>
      <c r="B2" s="4" t="s">
        <v>7</v>
      </c>
      <c r="C2" s="4" t="s">
        <v>8</v>
      </c>
      <c r="D2" s="4" t="s">
        <v>13</v>
      </c>
    </row>
    <row r="3" spans="1:4" x14ac:dyDescent="0.2">
      <c r="A3" s="4">
        <v>1</v>
      </c>
      <c r="B3" s="4">
        <v>0.7</v>
      </c>
      <c r="C3" s="9">
        <v>2.3700000000000001E-3</v>
      </c>
      <c r="D3" s="9">
        <f>$D$15/(1+Data3[[#This Row],[Rate]])^Data3[[#This Row],[Tenor]]</f>
        <v>3.9933773397699539E-2</v>
      </c>
    </row>
    <row r="4" spans="1:4" x14ac:dyDescent="0.2">
      <c r="A4" s="4">
        <v>2</v>
      </c>
      <c r="B4" s="4">
        <v>1.7</v>
      </c>
      <c r="C4" s="9">
        <v>2.9199999999999999E-3</v>
      </c>
      <c r="D4" s="9">
        <f>$D$15/(1+Data3[[#This Row],[Rate]])^Data3[[#This Row],[Tenor]]</f>
        <v>3.9802219914311071E-2</v>
      </c>
    </row>
    <row r="5" spans="1:4" x14ac:dyDescent="0.2">
      <c r="A5" s="4">
        <v>3</v>
      </c>
      <c r="B5" s="4">
        <v>2.7</v>
      </c>
      <c r="C5" s="9">
        <v>5.1000000000000004E-3</v>
      </c>
      <c r="D5" s="9">
        <f>$D$15/(1+Data3[[#This Row],[Rate]])^Data3[[#This Row],[Tenor]]</f>
        <v>3.9454355575299284E-2</v>
      </c>
    </row>
    <row r="6" spans="1:4" x14ac:dyDescent="0.2">
      <c r="A6" s="4">
        <v>4</v>
      </c>
      <c r="B6" s="4">
        <v>3.7</v>
      </c>
      <c r="C6" s="9">
        <v>7.79E-3</v>
      </c>
      <c r="D6" s="9">
        <f>$D$15/(1+Data3[[#This Row],[Rate]])^Data3[[#This Row],[Tenor]]</f>
        <v>3.8867877568885205E-2</v>
      </c>
    </row>
    <row r="7" spans="1:4" x14ac:dyDescent="0.2">
      <c r="A7" s="4">
        <v>5</v>
      </c>
      <c r="B7" s="4">
        <v>4.7</v>
      </c>
      <c r="C7" s="9">
        <v>1.0330000000000001E-2</v>
      </c>
      <c r="D7" s="9">
        <f>$D$15/(1+Data3[[#This Row],[Rate]])^Data3[[#This Row],[Tenor]]</f>
        <v>3.8113841356573239E-2</v>
      </c>
    </row>
    <row r="8" spans="1:4" x14ac:dyDescent="0.2">
      <c r="A8" s="4">
        <v>6</v>
      </c>
      <c r="B8" s="4">
        <v>5.7</v>
      </c>
      <c r="C8" s="9">
        <v>1.248E-2</v>
      </c>
      <c r="D8" s="9">
        <f>$D$15/(1+Data3[[#This Row],[Rate]])^Data3[[#This Row],[Tenor]]</f>
        <v>3.7269812544880203E-2</v>
      </c>
    </row>
    <row r="9" spans="1:4" x14ac:dyDescent="0.2">
      <c r="A9" s="4">
        <v>7</v>
      </c>
      <c r="B9" s="4">
        <v>6.7</v>
      </c>
      <c r="C9" s="9">
        <v>1.421E-2</v>
      </c>
      <c r="D9" s="9">
        <f>$D$15/(1+Data3[[#This Row],[Rate]])^Data3[[#This Row],[Tenor]]</f>
        <v>3.6391766688482638E-2</v>
      </c>
    </row>
    <row r="10" spans="1:4" x14ac:dyDescent="0.2">
      <c r="A10" s="4">
        <v>8</v>
      </c>
      <c r="B10" s="4">
        <v>7.7</v>
      </c>
      <c r="C10" s="9">
        <v>1.558E-2</v>
      </c>
      <c r="D10" s="9">
        <f>$D$15/(1+Data3[[#This Row],[Rate]])^Data3[[#This Row],[Tenor]]</f>
        <v>3.5510853941296792E-2</v>
      </c>
    </row>
    <row r="11" spans="1:4" x14ac:dyDescent="0.2">
      <c r="A11" s="4">
        <v>9</v>
      </c>
      <c r="B11" s="4">
        <v>8.6999999999999993</v>
      </c>
      <c r="C11" s="9">
        <v>1.6670000000000001E-2</v>
      </c>
      <c r="D11" s="9">
        <f>$D$15/(1+Data3[[#This Row],[Rate]])^Data3[[#This Row],[Tenor]]</f>
        <v>3.4641278894330142E-2</v>
      </c>
    </row>
    <row r="12" spans="1:4" x14ac:dyDescent="0.2">
      <c r="A12" s="4">
        <v>10</v>
      </c>
      <c r="B12" s="4">
        <v>9.6999999999999993</v>
      </c>
      <c r="C12" s="9">
        <v>1.7559999999999999E-2</v>
      </c>
      <c r="D12" s="9">
        <f>$D$15/(1+Data3[[#This Row],[Rate]])^Data3[[#This Row],[Tenor]]</f>
        <v>3.3785296361832418E-2</v>
      </c>
    </row>
    <row r="13" spans="1:4" x14ac:dyDescent="0.2">
      <c r="A13" s="2"/>
      <c r="B13" s="2"/>
      <c r="C13" s="2"/>
      <c r="D13" s="2"/>
    </row>
    <row r="14" spans="1:4" x14ac:dyDescent="0.2">
      <c r="A14" s="36" t="s">
        <v>11</v>
      </c>
      <c r="B14" s="36"/>
      <c r="C14" s="5" t="s">
        <v>10</v>
      </c>
      <c r="D14" s="4">
        <v>9.6999999999999993</v>
      </c>
    </row>
    <row r="15" spans="1:4" ht="16" customHeight="1" x14ac:dyDescent="0.2">
      <c r="A15" s="36"/>
      <c r="B15" s="36"/>
      <c r="C15" s="13" t="s">
        <v>19</v>
      </c>
      <c r="D15" s="7">
        <v>0.04</v>
      </c>
    </row>
    <row r="16" spans="1:4" x14ac:dyDescent="0.2">
      <c r="A16" s="2"/>
      <c r="B16" s="2"/>
      <c r="C16" s="2"/>
      <c r="D16" s="2"/>
    </row>
    <row r="17" spans="1:4" x14ac:dyDescent="0.2">
      <c r="A17" s="6" t="s">
        <v>12</v>
      </c>
      <c r="B17" s="2"/>
      <c r="C17" s="34" t="s">
        <v>15</v>
      </c>
      <c r="D17" s="34"/>
    </row>
    <row r="18" spans="1:4" x14ac:dyDescent="0.2">
      <c r="A18" s="5" t="s">
        <v>14</v>
      </c>
      <c r="B18" s="2"/>
      <c r="C18" s="5" t="s">
        <v>16</v>
      </c>
      <c r="D18" s="12">
        <v>1.6757696860806994E-2</v>
      </c>
    </row>
    <row r="19" spans="1:4" x14ac:dyDescent="0.2">
      <c r="A19" s="9">
        <f>SUM(Data3[PV of every coupon])+1/(1+C12)^B12</f>
        <v>1.218403485289401</v>
      </c>
      <c r="B19" s="2"/>
      <c r="C19" s="5" t="s">
        <v>17</v>
      </c>
      <c r="D19" s="9" cm="1">
        <f t="array" ref="D19">SUM(D15*(1+D18)^(-B3:B11))+(1+D15)*(1+D18)^-B12</f>
        <v>1.2184219674657586</v>
      </c>
    </row>
  </sheetData>
  <mergeCells count="3">
    <mergeCell ref="A14:B15"/>
    <mergeCell ref="A1:D1"/>
    <mergeCell ref="C17:D1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6792-C0F9-2B4C-8F81-55774C597298}">
  <sheetPr>
    <tabColor theme="8" tint="0.79998168889431442"/>
  </sheetPr>
  <dimension ref="A1:H15"/>
  <sheetViews>
    <sheetView tabSelected="1" topLeftCell="B1" zoomScale="158" zoomScaleNormal="158" workbookViewId="0">
      <pane ySplit="1" topLeftCell="A2" activePane="bottomLeft" state="frozen"/>
      <selection pane="bottomLeft" activeCell="D21" sqref="D21"/>
    </sheetView>
  </sheetViews>
  <sheetFormatPr baseColWidth="10" defaultRowHeight="16" x14ac:dyDescent="0.2"/>
  <cols>
    <col min="1" max="1" width="13.6640625" bestFit="1" customWidth="1"/>
    <col min="2" max="2" width="15.5" bestFit="1" customWidth="1"/>
    <col min="3" max="4" width="25" bestFit="1" customWidth="1"/>
    <col min="6" max="6" width="14.1640625" bestFit="1" customWidth="1"/>
    <col min="7" max="7" width="12.33203125" customWidth="1"/>
    <col min="8" max="8" width="14.6640625" customWidth="1"/>
  </cols>
  <sheetData>
    <row r="1" spans="1:8" x14ac:dyDescent="0.2">
      <c r="A1" s="33" t="s">
        <v>1</v>
      </c>
      <c r="B1" s="33"/>
      <c r="C1" s="33"/>
      <c r="D1" s="33"/>
      <c r="E1" s="33"/>
      <c r="F1" s="33"/>
      <c r="G1" s="33"/>
      <c r="H1" s="33"/>
    </row>
    <row r="2" spans="1:8" x14ac:dyDescent="0.2">
      <c r="A2" s="14" t="s">
        <v>18</v>
      </c>
      <c r="B2" s="15" t="s">
        <v>22</v>
      </c>
      <c r="C2" s="16" t="s">
        <v>26</v>
      </c>
      <c r="D2" s="17" t="s">
        <v>27</v>
      </c>
      <c r="E2" s="2"/>
      <c r="F2" s="34" t="s">
        <v>12</v>
      </c>
      <c r="G2" s="5" t="s">
        <v>20</v>
      </c>
      <c r="H2" s="4" cm="1">
        <f t="array" ref="H2">(SUM(A3:A9*D12*(1+D14)^(-A3:A9)/D13)+A10*(1+D12)*(1+D14)^(-A10)/D13)/(1+D14)</f>
        <v>7.4833667763997518</v>
      </c>
    </row>
    <row r="3" spans="1:8" x14ac:dyDescent="0.2">
      <c r="A3" s="18">
        <v>1</v>
      </c>
      <c r="B3" s="19">
        <v>2.3700000000000001E-3</v>
      </c>
      <c r="C3" s="10">
        <f t="shared" ref="C3:C10" si="0">B3+$G$7</f>
        <v>-2.63E-3</v>
      </c>
      <c r="D3" s="20">
        <f>Table5[[#This Row],[Rate structure]]+$H$7</f>
        <v>-4.7630000000000006E-2</v>
      </c>
      <c r="E3" s="2"/>
      <c r="F3" s="34"/>
      <c r="G3" s="5" t="s">
        <v>21</v>
      </c>
      <c r="H3" s="26">
        <f>H2*D13/10000</f>
        <v>7.4674444169096064E-4</v>
      </c>
    </row>
    <row r="4" spans="1:8" x14ac:dyDescent="0.2">
      <c r="A4" s="21">
        <v>2</v>
      </c>
      <c r="B4" s="10">
        <v>2.9199999999999999E-3</v>
      </c>
      <c r="C4" s="10">
        <f t="shared" si="0"/>
        <v>-2.0800000000000003E-3</v>
      </c>
      <c r="D4" s="20">
        <f>Table5[[#This Row],[Rate structure]]+$H$7</f>
        <v>-4.7080000000000004E-2</v>
      </c>
      <c r="E4" s="2"/>
      <c r="F4" s="2"/>
      <c r="G4" s="2"/>
      <c r="H4" s="2"/>
    </row>
    <row r="5" spans="1:8" x14ac:dyDescent="0.2">
      <c r="A5" s="18">
        <v>3</v>
      </c>
      <c r="B5" s="19">
        <v>5.1000000000000004E-3</v>
      </c>
      <c r="C5" s="10">
        <f t="shared" si="0"/>
        <v>1.0000000000000026E-4</v>
      </c>
      <c r="D5" s="20">
        <f>Table5[[#This Row],[Rate structure]]+$H$7</f>
        <v>-4.4900000000000002E-2</v>
      </c>
      <c r="E5" s="2"/>
      <c r="F5" s="2"/>
      <c r="G5" s="2"/>
      <c r="H5" s="2"/>
    </row>
    <row r="6" spans="1:8" x14ac:dyDescent="0.2">
      <c r="A6" s="21">
        <v>4</v>
      </c>
      <c r="B6" s="10">
        <v>7.79E-3</v>
      </c>
      <c r="C6" s="10">
        <f t="shared" si="0"/>
        <v>2.7899999999999999E-3</v>
      </c>
      <c r="D6" s="20">
        <f>Table5[[#This Row],[Rate structure]]+$H$7</f>
        <v>-4.2210000000000004E-2</v>
      </c>
      <c r="E6" s="2"/>
      <c r="F6" s="34" t="s">
        <v>25</v>
      </c>
      <c r="G6" s="34"/>
      <c r="H6" s="34"/>
    </row>
    <row r="7" spans="1:8" s="1" customFormat="1" ht="16" customHeight="1" x14ac:dyDescent="0.2">
      <c r="A7" s="18">
        <v>5</v>
      </c>
      <c r="B7" s="19">
        <v>1.0330000000000001E-2</v>
      </c>
      <c r="C7" s="10">
        <f t="shared" si="0"/>
        <v>5.3300000000000005E-3</v>
      </c>
      <c r="D7" s="20">
        <f>Table5[[#This Row],[Rate structure]]+$H$7</f>
        <v>-3.9670000000000004E-2</v>
      </c>
      <c r="E7" s="2"/>
      <c r="F7" s="5" t="s">
        <v>31</v>
      </c>
      <c r="G7" s="8">
        <v>-5.0000000000000001E-3</v>
      </c>
      <c r="H7" s="7">
        <v>-0.05</v>
      </c>
    </row>
    <row r="8" spans="1:8" x14ac:dyDescent="0.2">
      <c r="A8" s="21">
        <v>6</v>
      </c>
      <c r="B8" s="10">
        <v>1.248E-2</v>
      </c>
      <c r="C8" s="10">
        <f t="shared" si="0"/>
        <v>7.4799999999999997E-3</v>
      </c>
      <c r="D8" s="20">
        <f>Table5[[#This Row],[Rate structure]]+$H$7</f>
        <v>-3.7520000000000005E-2</v>
      </c>
      <c r="E8" s="2"/>
      <c r="F8" s="5" t="s">
        <v>23</v>
      </c>
      <c r="G8" s="11">
        <f>-$H$2*G7</f>
        <v>3.7416833881998762E-2</v>
      </c>
      <c r="H8" s="11">
        <f>-$H$2*H7</f>
        <v>0.37416833881998762</v>
      </c>
    </row>
    <row r="9" spans="1:8" x14ac:dyDescent="0.2">
      <c r="A9" s="18">
        <v>7</v>
      </c>
      <c r="B9" s="19">
        <v>1.421E-2</v>
      </c>
      <c r="C9" s="10">
        <f t="shared" si="0"/>
        <v>9.2099999999999994E-3</v>
      </c>
      <c r="D9" s="20">
        <f>Table5[[#This Row],[Rate structure]]+$H$7</f>
        <v>-3.5790000000000002E-2</v>
      </c>
      <c r="E9" s="2"/>
      <c r="F9" s="5" t="s">
        <v>30</v>
      </c>
      <c r="G9" s="9" cm="1">
        <f t="array" ref="G9">SUM(D12*(1+C3:C9)^(-A3:A9))+(1+D12)*(1+C10)^-A10</f>
        <v>1.0359900698320135</v>
      </c>
      <c r="H9" s="10" cm="1">
        <f t="array" ref="H9">SUM(D12*(1+D3:D9)^(-A3:A9))+(1+D12)*(1+D10)^-A10</f>
        <v>1.4671621326034587</v>
      </c>
    </row>
    <row r="10" spans="1:8" x14ac:dyDescent="0.2">
      <c r="A10" s="22">
        <v>8</v>
      </c>
      <c r="B10" s="23">
        <v>1.558E-2</v>
      </c>
      <c r="C10" s="23">
        <f t="shared" si="0"/>
        <v>1.0579999999999999E-2</v>
      </c>
      <c r="D10" s="24">
        <f>Table5[[#This Row],[Rate structure]]+$H$7</f>
        <v>-3.4420000000000006E-2</v>
      </c>
      <c r="E10" s="2"/>
      <c r="F10" s="5" t="s">
        <v>23</v>
      </c>
      <c r="G10" s="11">
        <f>G9-D13</f>
        <v>3.8117769832013426E-2</v>
      </c>
      <c r="H10" s="25">
        <f>H9-D13</f>
        <v>0.46928983260345869</v>
      </c>
    </row>
    <row r="11" spans="1:8" x14ac:dyDescent="0.2">
      <c r="A11" s="2"/>
      <c r="B11" s="2"/>
      <c r="C11" s="2"/>
      <c r="D11" s="2"/>
      <c r="E11" s="2"/>
      <c r="F11" s="5" t="s">
        <v>28</v>
      </c>
      <c r="G11" s="27">
        <f>G10-G8</f>
        <v>7.0093595001466391E-4</v>
      </c>
      <c r="H11" s="27">
        <f>H10-H8</f>
        <v>9.5121493783471067E-2</v>
      </c>
    </row>
    <row r="12" spans="1:8" ht="16" customHeight="1" x14ac:dyDescent="0.2">
      <c r="A12" s="35" t="s">
        <v>9</v>
      </c>
      <c r="B12" s="35"/>
      <c r="C12" s="13" t="s">
        <v>19</v>
      </c>
      <c r="D12" s="8">
        <v>1.4999999999999999E-2</v>
      </c>
      <c r="E12" s="2"/>
      <c r="F12" s="37" t="s">
        <v>29</v>
      </c>
      <c r="G12" s="37"/>
      <c r="H12" s="37"/>
    </row>
    <row r="13" spans="1:8" x14ac:dyDescent="0.2">
      <c r="A13" s="35"/>
      <c r="B13" s="35"/>
      <c r="C13" s="5" t="s">
        <v>14</v>
      </c>
      <c r="D13" s="25">
        <v>0.99787230000000005</v>
      </c>
      <c r="E13" s="2"/>
      <c r="F13" s="37"/>
      <c r="G13" s="37"/>
      <c r="H13" s="37"/>
    </row>
    <row r="14" spans="1:8" x14ac:dyDescent="0.2">
      <c r="A14" s="35"/>
      <c r="B14" s="35"/>
      <c r="C14" s="5" t="s">
        <v>16</v>
      </c>
      <c r="D14" s="26">
        <v>1.5283730000000001E-2</v>
      </c>
      <c r="E14" s="2"/>
      <c r="F14" s="37"/>
      <c r="G14" s="37"/>
      <c r="H14" s="37"/>
    </row>
    <row r="15" spans="1:8" x14ac:dyDescent="0.2">
      <c r="A15" s="2"/>
      <c r="B15" s="2"/>
      <c r="C15" s="2"/>
      <c r="D15" s="2"/>
      <c r="E15" s="2"/>
      <c r="F15" s="37"/>
      <c r="G15" s="37"/>
      <c r="H15" s="37"/>
    </row>
  </sheetData>
  <mergeCells count="5">
    <mergeCell ref="F12:H15"/>
    <mergeCell ref="A1:H1"/>
    <mergeCell ref="F6:H6"/>
    <mergeCell ref="F2:F3"/>
    <mergeCell ref="A12:B14"/>
  </mergeCells>
  <conditionalFormatting sqref="G8 G10">
    <cfRule type="iconSet" priority="8">
      <iconSet iconSet="3Symbols2">
        <cfvo type="percent" val="0"/>
        <cfvo type="percent" val="0"/>
        <cfvo type="percent" val="3.7999999999999999E-2"/>
      </iconSet>
    </cfRule>
  </conditionalFormatting>
  <conditionalFormatting sqref="H8 H10">
    <cfRule type="iconSet" priority="7">
      <iconSet iconSet="3Symbols2">
        <cfvo type="percent" val="0"/>
        <cfvo type="percent" val="33"/>
        <cfvo type="percent" val="67"/>
      </iconSet>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2613-7AA1-1F45-9612-899259940D4B}">
  <sheetPr>
    <tabColor theme="5" tint="0.79998168889431442"/>
  </sheetPr>
  <dimension ref="A1:F15"/>
  <sheetViews>
    <sheetView zoomScale="211" zoomScaleNormal="211" workbookViewId="0">
      <pane ySplit="1" topLeftCell="A2" activePane="bottomLeft" state="frozen"/>
      <selection pane="bottomLeft" activeCell="H12" sqref="H12"/>
    </sheetView>
  </sheetViews>
  <sheetFormatPr baseColWidth="10" defaultRowHeight="16" x14ac:dyDescent="0.2"/>
  <cols>
    <col min="1" max="1" width="15.1640625" bestFit="1" customWidth="1"/>
    <col min="2" max="2" width="22" bestFit="1" customWidth="1"/>
    <col min="3" max="3" width="12.33203125" bestFit="1" customWidth="1"/>
  </cols>
  <sheetData>
    <row r="1" spans="1:6" x14ac:dyDescent="0.2">
      <c r="A1" s="33" t="s">
        <v>2</v>
      </c>
      <c r="B1" s="33"/>
      <c r="C1" s="33"/>
      <c r="D1" s="33"/>
      <c r="E1" s="33"/>
      <c r="F1" s="33"/>
    </row>
    <row r="2" spans="1:6" x14ac:dyDescent="0.2">
      <c r="A2" s="35" t="s">
        <v>9</v>
      </c>
      <c r="B2" s="35"/>
      <c r="C2" s="35"/>
      <c r="D2" s="35"/>
      <c r="E2" s="34" t="s">
        <v>12</v>
      </c>
      <c r="F2" s="34"/>
    </row>
    <row r="3" spans="1:6" x14ac:dyDescent="0.2">
      <c r="A3" s="3" t="s">
        <v>32</v>
      </c>
      <c r="B3" s="3" t="s">
        <v>33</v>
      </c>
      <c r="C3" s="3" t="s">
        <v>36</v>
      </c>
      <c r="D3" s="3" t="s">
        <v>14</v>
      </c>
      <c r="E3" s="3" t="s">
        <v>38</v>
      </c>
      <c r="F3" s="3" t="s">
        <v>37</v>
      </c>
    </row>
    <row r="4" spans="1:6" x14ac:dyDescent="0.2">
      <c r="A4" s="4">
        <v>1</v>
      </c>
      <c r="B4" s="4" t="s">
        <v>34</v>
      </c>
      <c r="C4" s="7">
        <v>0.02</v>
      </c>
      <c r="D4" s="9">
        <f>1/(1+C4)^A4</f>
        <v>0.98039215686274506</v>
      </c>
      <c r="E4" s="10">
        <f>D4/SUM($D$4:$D$8)</f>
        <v>0.20392002509065957</v>
      </c>
      <c r="F4" s="4">
        <f>A4/(1+C4)</f>
        <v>0.98039215686274506</v>
      </c>
    </row>
    <row r="5" spans="1:6" x14ac:dyDescent="0.2">
      <c r="A5" s="4">
        <v>2</v>
      </c>
      <c r="B5" s="4" t="s">
        <v>34</v>
      </c>
      <c r="C5" s="7">
        <v>0.02</v>
      </c>
      <c r="D5" s="9">
        <f t="shared" ref="D5:D7" si="0">1/(1+C5)^A5</f>
        <v>0.96116878123798544</v>
      </c>
      <c r="E5" s="10">
        <f>D5/SUM($D$4:$D$8)</f>
        <v>0.19992159322613684</v>
      </c>
      <c r="F5" s="4">
        <f>A5/(1+C5)</f>
        <v>1.9607843137254901</v>
      </c>
    </row>
    <row r="6" spans="1:6" x14ac:dyDescent="0.2">
      <c r="A6" s="4">
        <v>3</v>
      </c>
      <c r="B6" s="4" t="s">
        <v>34</v>
      </c>
      <c r="C6" s="7">
        <v>0.02</v>
      </c>
      <c r="D6" s="9">
        <f t="shared" si="0"/>
        <v>0.94232233454704462</v>
      </c>
      <c r="E6" s="8">
        <f>D6/SUM($D$4:$D$8)</f>
        <v>0.19600156198640867</v>
      </c>
      <c r="F6" s="4">
        <f>A6/(1+C6)</f>
        <v>2.9411764705882351</v>
      </c>
    </row>
    <row r="7" spans="1:6" x14ac:dyDescent="0.2">
      <c r="A7" s="4">
        <v>4</v>
      </c>
      <c r="B7" s="4" t="s">
        <v>34</v>
      </c>
      <c r="C7" s="7">
        <v>0.02</v>
      </c>
      <c r="D7" s="9">
        <f t="shared" si="0"/>
        <v>0.9238454260265142</v>
      </c>
      <c r="E7" s="10">
        <f>D7/SUM($D$4:$D$8)</f>
        <v>0.1921583941043222</v>
      </c>
      <c r="F7" s="4">
        <f>A7/(1+C7)</f>
        <v>3.9215686274509802</v>
      </c>
    </row>
    <row r="8" spans="1:6" x14ac:dyDescent="0.2">
      <c r="A8" s="4">
        <v>5</v>
      </c>
      <c r="B8" s="4" t="s">
        <v>35</v>
      </c>
      <c r="C8" s="7">
        <v>0.02</v>
      </c>
      <c r="D8" s="7" cm="1">
        <f t="array" ref="D8">SUM(C4:C7*(1+C4:C7)^(-A4:A7))+(1+C8)*(1+C8)^-A8</f>
        <v>1</v>
      </c>
      <c r="E8" s="8">
        <f>D8/SUM($D$4:$D$8)</f>
        <v>0.20799842559247275</v>
      </c>
      <c r="F8" s="4" cm="1">
        <f t="array" ref="F8">(SUM(A4:A7*C4:C7*(1+C4:C7)^(-A4:A7)/D8)+(A8*(1+C8)*(1+C8)^-A8)/D8)/(1+C8)</f>
        <v>4.7134595085042053</v>
      </c>
    </row>
    <row r="9" spans="1:6" x14ac:dyDescent="0.2">
      <c r="A9" s="2"/>
      <c r="B9" s="2"/>
      <c r="C9" s="2"/>
      <c r="D9" s="2"/>
      <c r="E9" s="2"/>
      <c r="F9" s="2"/>
    </row>
    <row r="10" spans="1:6" x14ac:dyDescent="0.2">
      <c r="A10" s="2"/>
      <c r="B10" s="2"/>
      <c r="C10" s="2"/>
      <c r="D10" s="2"/>
      <c r="E10" s="3" t="s">
        <v>43</v>
      </c>
      <c r="F10" s="4" cm="1">
        <f t="array" ref="F10">SUM(E4:E8*F4:F8)</f>
        <v>2.9023543861955372</v>
      </c>
    </row>
    <row r="11" spans="1:6" x14ac:dyDescent="0.2">
      <c r="A11" s="2"/>
      <c r="B11" s="2"/>
      <c r="C11" s="2"/>
      <c r="D11" s="2"/>
      <c r="E11" s="2"/>
      <c r="F11" s="2"/>
    </row>
    <row r="12" spans="1:6" x14ac:dyDescent="0.2">
      <c r="A12" s="34" t="s">
        <v>15</v>
      </c>
      <c r="B12" s="34"/>
      <c r="C12" s="34"/>
      <c r="D12" s="34"/>
      <c r="E12" s="34"/>
      <c r="F12" s="34"/>
    </row>
    <row r="13" spans="1:6" x14ac:dyDescent="0.2">
      <c r="A13" s="3" t="s">
        <v>41</v>
      </c>
      <c r="B13" s="4">
        <v>3.1423063299999998</v>
      </c>
      <c r="C13" s="38" t="s">
        <v>40</v>
      </c>
      <c r="D13" s="38"/>
      <c r="E13" s="38"/>
      <c r="F13" s="38"/>
    </row>
    <row r="14" spans="1:6" x14ac:dyDescent="0.2">
      <c r="A14" s="3" t="s">
        <v>39</v>
      </c>
      <c r="B14" s="7">
        <f>2/3</f>
        <v>0.66666666666666663</v>
      </c>
      <c r="C14" s="38"/>
      <c r="D14" s="38"/>
      <c r="E14" s="38"/>
      <c r="F14" s="38"/>
    </row>
    <row r="15" spans="1:6" x14ac:dyDescent="0.2">
      <c r="A15" s="3" t="s">
        <v>42</v>
      </c>
      <c r="B15" s="4">
        <f>B13/B14</f>
        <v>4.7134594950000004</v>
      </c>
      <c r="C15" s="38"/>
      <c r="D15" s="38"/>
      <c r="E15" s="38"/>
      <c r="F15" s="38"/>
    </row>
  </sheetData>
  <mergeCells count="5">
    <mergeCell ref="C13:F15"/>
    <mergeCell ref="A12:F12"/>
    <mergeCell ref="E2:F2"/>
    <mergeCell ref="A1:F1"/>
    <mergeCell ref="A2:D2"/>
  </mergeCells>
  <conditionalFormatting sqref="F8 B15">
    <cfRule type="iconSet" priority="1">
      <iconSet iconSet="3Symbols2">
        <cfvo type="percent" val="0"/>
        <cfvo type="num" val="0"/>
        <cfvo type="num" val="4"/>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050CC-B8FF-A641-8843-00DB1856BF88}">
  <sheetPr>
    <tabColor theme="2" tint="-9.9978637043366805E-2"/>
  </sheetPr>
  <dimension ref="A1:Z1"/>
  <sheetViews>
    <sheetView zoomScale="69" zoomScaleNormal="69" workbookViewId="0">
      <pane ySplit="1" topLeftCell="A2" activePane="bottomLeft" state="frozen"/>
      <selection pane="bottomLeft" activeCell="AD15" sqref="AD15"/>
    </sheetView>
  </sheetViews>
  <sheetFormatPr baseColWidth="10" defaultRowHeight="16" x14ac:dyDescent="0.2"/>
  <sheetData>
    <row r="1" spans="1:26" x14ac:dyDescent="0.2">
      <c r="A1" s="39" t="s">
        <v>3</v>
      </c>
      <c r="B1" s="39"/>
      <c r="C1" s="39"/>
      <c r="D1" s="39"/>
      <c r="E1" s="39"/>
      <c r="F1" s="39"/>
      <c r="G1" s="39"/>
      <c r="H1" s="39"/>
      <c r="I1" s="39"/>
      <c r="J1" s="39"/>
      <c r="K1" s="39"/>
      <c r="L1" s="39"/>
      <c r="M1" s="39"/>
      <c r="N1" s="39"/>
      <c r="O1" s="39"/>
      <c r="P1" s="39"/>
      <c r="Q1" s="39"/>
      <c r="R1" s="39"/>
      <c r="S1" s="39"/>
      <c r="T1" s="39"/>
      <c r="U1" s="39"/>
      <c r="V1" s="39"/>
      <c r="W1" s="39"/>
      <c r="X1" s="39"/>
      <c r="Y1" s="39"/>
      <c r="Z1" s="39"/>
    </row>
  </sheetData>
  <mergeCells count="1">
    <mergeCell ref="A1:Z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15A51-7D53-CD44-8051-CAC6993714CE}">
  <sheetPr>
    <tabColor rgb="FFC0F0F0"/>
  </sheetPr>
  <dimension ref="A1:H17"/>
  <sheetViews>
    <sheetView zoomScale="234" zoomScaleNormal="234" workbookViewId="0">
      <pane ySplit="1" topLeftCell="A2" activePane="bottomLeft" state="frozen"/>
      <selection pane="bottomLeft" activeCell="E7" sqref="E7"/>
    </sheetView>
  </sheetViews>
  <sheetFormatPr baseColWidth="10" defaultRowHeight="16" x14ac:dyDescent="0.2"/>
  <cols>
    <col min="1" max="1" width="11.5" bestFit="1" customWidth="1"/>
  </cols>
  <sheetData>
    <row r="1" spans="1:8" x14ac:dyDescent="0.2">
      <c r="A1" s="33" t="s">
        <v>4</v>
      </c>
      <c r="B1" s="33"/>
      <c r="C1" s="33"/>
      <c r="D1" s="33"/>
      <c r="E1" s="33"/>
      <c r="F1" s="33"/>
      <c r="G1" s="33"/>
      <c r="H1" s="33"/>
    </row>
    <row r="2" spans="1:8" x14ac:dyDescent="0.2">
      <c r="A2" s="35" t="s">
        <v>9</v>
      </c>
      <c r="B2" s="35"/>
      <c r="C2" s="2"/>
      <c r="D2" s="34" t="s">
        <v>12</v>
      </c>
      <c r="E2" s="34"/>
      <c r="F2" s="34"/>
      <c r="G2" s="34"/>
      <c r="H2" s="34"/>
    </row>
    <row r="3" spans="1:8" ht="16" customHeight="1" x14ac:dyDescent="0.2">
      <c r="A3" s="13" t="s">
        <v>44</v>
      </c>
      <c r="B3" s="7">
        <v>0.01</v>
      </c>
      <c r="C3" s="2"/>
      <c r="D3" s="40" t="s">
        <v>46</v>
      </c>
      <c r="E3" s="40"/>
      <c r="F3" s="40"/>
      <c r="G3" s="40"/>
      <c r="H3" s="41" t="s">
        <v>47</v>
      </c>
    </row>
    <row r="4" spans="1:8" ht="22" x14ac:dyDescent="0.2">
      <c r="A4" s="13" t="s">
        <v>45</v>
      </c>
      <c r="B4" s="4">
        <v>0.4</v>
      </c>
      <c r="C4" s="2"/>
      <c r="D4" s="42" t="s">
        <v>51</v>
      </c>
      <c r="E4" s="42"/>
      <c r="F4" s="42"/>
      <c r="G4" s="42"/>
      <c r="H4" s="41"/>
    </row>
    <row r="5" spans="1:8" ht="22" x14ac:dyDescent="0.2">
      <c r="A5" s="5" t="s">
        <v>52</v>
      </c>
      <c r="B5" s="8">
        <v>2.5000000000000001E-2</v>
      </c>
      <c r="C5" s="2"/>
      <c r="D5" s="42" t="s">
        <v>48</v>
      </c>
      <c r="E5" s="42"/>
      <c r="F5" s="42"/>
      <c r="G5" s="42"/>
      <c r="H5" s="30">
        <f>2*B3*B4</f>
        <v>8.0000000000000002E-3</v>
      </c>
    </row>
    <row r="6" spans="1:8" x14ac:dyDescent="0.2">
      <c r="A6" s="2"/>
      <c r="B6" s="2"/>
      <c r="C6" s="2"/>
      <c r="D6" s="2"/>
      <c r="E6" s="2"/>
      <c r="F6" s="2"/>
      <c r="G6" s="2"/>
      <c r="H6" s="2"/>
    </row>
    <row r="7" spans="1:8" ht="16" customHeight="1" x14ac:dyDescent="0.2">
      <c r="A7" s="2"/>
      <c r="B7" s="2"/>
      <c r="C7" s="2"/>
      <c r="D7" s="2"/>
      <c r="E7" s="2"/>
      <c r="F7" s="2"/>
      <c r="G7" s="2"/>
      <c r="H7" s="2"/>
    </row>
    <row r="8" spans="1:8" x14ac:dyDescent="0.2">
      <c r="A8" s="2"/>
      <c r="B8" s="2"/>
      <c r="C8" s="2"/>
      <c r="D8" s="2"/>
      <c r="E8" s="2"/>
      <c r="F8" s="2"/>
      <c r="G8" s="2"/>
      <c r="H8" s="2"/>
    </row>
    <row r="9" spans="1:8" x14ac:dyDescent="0.2">
      <c r="A9" s="2"/>
      <c r="B9" s="2"/>
      <c r="C9" s="2"/>
      <c r="D9" s="2"/>
      <c r="E9" s="2"/>
      <c r="F9" s="2"/>
      <c r="G9" s="2"/>
      <c r="H9" s="2"/>
    </row>
    <row r="10" spans="1:8" x14ac:dyDescent="0.2">
      <c r="A10" s="2"/>
      <c r="B10" s="2"/>
      <c r="C10" s="2"/>
      <c r="D10" s="2"/>
      <c r="E10" s="2"/>
      <c r="F10" s="2"/>
      <c r="G10" s="2"/>
      <c r="H10" s="2"/>
    </row>
    <row r="11" spans="1:8" x14ac:dyDescent="0.2">
      <c r="A11" s="34" t="s">
        <v>15</v>
      </c>
      <c r="B11" s="34"/>
      <c r="C11" s="34"/>
      <c r="D11" s="34"/>
      <c r="E11" s="34"/>
      <c r="F11" s="34"/>
      <c r="G11" s="34"/>
      <c r="H11" s="34"/>
    </row>
    <row r="12" spans="1:8" ht="16" customHeight="1" x14ac:dyDescent="0.2">
      <c r="A12" s="40" t="s">
        <v>49</v>
      </c>
      <c r="B12" s="40"/>
      <c r="C12" s="40"/>
      <c r="D12" s="40"/>
      <c r="E12" s="41" t="s">
        <v>47</v>
      </c>
      <c r="F12" s="40" t="s">
        <v>50</v>
      </c>
      <c r="G12" s="40"/>
      <c r="H12" s="40"/>
    </row>
    <row r="13" spans="1:8" x14ac:dyDescent="0.2">
      <c r="A13" s="40"/>
      <c r="B13" s="40"/>
      <c r="C13" s="40"/>
      <c r="D13" s="40"/>
      <c r="E13" s="41"/>
      <c r="F13" s="40"/>
      <c r="G13" s="40"/>
      <c r="H13" s="40"/>
    </row>
    <row r="14" spans="1:8" x14ac:dyDescent="0.2">
      <c r="A14" s="40"/>
      <c r="B14" s="40"/>
      <c r="C14" s="40"/>
      <c r="D14" s="40"/>
      <c r="E14" s="41"/>
      <c r="F14" s="40"/>
      <c r="G14" s="40"/>
      <c r="H14" s="40"/>
    </row>
    <row r="15" spans="1:8" x14ac:dyDescent="0.2">
      <c r="A15" s="40"/>
      <c r="B15" s="40"/>
      <c r="C15" s="40"/>
      <c r="D15" s="40"/>
      <c r="E15" s="29">
        <f>2*B3*1</f>
        <v>0.02</v>
      </c>
      <c r="F15" s="40"/>
      <c r="G15" s="40"/>
      <c r="H15" s="40"/>
    </row>
    <row r="16" spans="1:8" x14ac:dyDescent="0.2">
      <c r="A16" s="28"/>
      <c r="B16" s="28"/>
      <c r="C16" s="28"/>
      <c r="D16" s="28"/>
      <c r="E16" s="28"/>
    </row>
    <row r="17" spans="1:6" x14ac:dyDescent="0.2">
      <c r="A17" s="28"/>
      <c r="B17" s="28"/>
      <c r="C17" s="28"/>
      <c r="D17" s="28"/>
      <c r="E17" s="28"/>
      <c r="F17" s="28"/>
    </row>
  </sheetData>
  <mergeCells count="11">
    <mergeCell ref="D2:H2"/>
    <mergeCell ref="A1:H1"/>
    <mergeCell ref="A2:B2"/>
    <mergeCell ref="A12:D15"/>
    <mergeCell ref="F12:H15"/>
    <mergeCell ref="E12:E14"/>
    <mergeCell ref="D3:G3"/>
    <mergeCell ref="D4:G4"/>
    <mergeCell ref="D5:G5"/>
    <mergeCell ref="A11:H11"/>
    <mergeCell ref="H3:H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8221-FE6F-A848-B9A1-FB3FDF93F505}">
  <sheetPr>
    <tabColor rgb="FFF3CDCF"/>
  </sheetPr>
  <dimension ref="A1:I17"/>
  <sheetViews>
    <sheetView zoomScale="162" zoomScaleNormal="162" workbookViewId="0">
      <pane ySplit="1" topLeftCell="A2" activePane="bottomLeft" state="frozen"/>
      <selection pane="bottomLeft" activeCell="E11" sqref="E11"/>
    </sheetView>
  </sheetViews>
  <sheetFormatPr baseColWidth="10" defaultRowHeight="16" x14ac:dyDescent="0.2"/>
  <cols>
    <col min="2" max="2" width="11.6640625" bestFit="1" customWidth="1"/>
    <col min="3" max="3" width="13.83203125" bestFit="1" customWidth="1"/>
  </cols>
  <sheetData>
    <row r="1" spans="1:9" x14ac:dyDescent="0.2">
      <c r="A1" s="33" t="s">
        <v>5</v>
      </c>
      <c r="B1" s="33"/>
      <c r="C1" s="33"/>
      <c r="D1" s="33"/>
      <c r="E1" s="33"/>
      <c r="F1" s="33"/>
    </row>
    <row r="2" spans="1:9" x14ac:dyDescent="0.2">
      <c r="A2" s="35" t="s">
        <v>9</v>
      </c>
      <c r="B2" s="35"/>
      <c r="C2" s="2"/>
      <c r="D2" s="2"/>
      <c r="E2" s="34" t="s">
        <v>12</v>
      </c>
      <c r="F2" s="34"/>
    </row>
    <row r="3" spans="1:9" x14ac:dyDescent="0.2">
      <c r="A3" s="5" t="s">
        <v>41</v>
      </c>
      <c r="B3" s="4">
        <v>5</v>
      </c>
      <c r="C3" s="2"/>
      <c r="D3" s="2"/>
      <c r="E3" s="5" t="s">
        <v>42</v>
      </c>
      <c r="F3" s="4" cm="1">
        <f t="array" ref="F3">(SUM(I8:I16*B8*(1+B8)^(-I8:I16)/1)+(B9*(1+B8)*(1+B8)^-I17)/1)/(1+B8)</f>
        <v>6.7100813989414405</v>
      </c>
    </row>
    <row r="4" spans="1:9" x14ac:dyDescent="0.2">
      <c r="A4" s="5" t="s">
        <v>39</v>
      </c>
      <c r="B4" s="7">
        <v>0.5</v>
      </c>
      <c r="C4" s="2"/>
      <c r="D4" s="2"/>
      <c r="E4" s="5" t="s">
        <v>60</v>
      </c>
      <c r="F4" s="4">
        <f>B3/(1-B4)-F3</f>
        <v>3.2899186010585595</v>
      </c>
    </row>
    <row r="5" spans="1:9" x14ac:dyDescent="0.2">
      <c r="A5" s="2"/>
      <c r="B5" s="2"/>
      <c r="C5" s="2"/>
      <c r="D5" s="2"/>
      <c r="E5" s="2"/>
      <c r="F5" s="2"/>
    </row>
    <row r="6" spans="1:9" x14ac:dyDescent="0.2">
      <c r="A6" s="35" t="s">
        <v>57</v>
      </c>
      <c r="B6" s="35"/>
      <c r="C6" s="35"/>
      <c r="D6" s="2"/>
      <c r="E6" s="34" t="s">
        <v>15</v>
      </c>
      <c r="F6" s="34"/>
    </row>
    <row r="7" spans="1:9" x14ac:dyDescent="0.2">
      <c r="A7" s="5" t="s">
        <v>56</v>
      </c>
      <c r="B7" s="4" t="s">
        <v>54</v>
      </c>
      <c r="C7" s="4" t="s">
        <v>58</v>
      </c>
      <c r="D7" s="2"/>
      <c r="E7" s="5" t="s">
        <v>42</v>
      </c>
      <c r="F7" s="4">
        <f>1/(1+C8)</f>
        <v>0.97236537601369077</v>
      </c>
    </row>
    <row r="8" spans="1:9" x14ac:dyDescent="0.2">
      <c r="A8" s="5" t="s">
        <v>53</v>
      </c>
      <c r="B8" s="7">
        <v>0.08</v>
      </c>
      <c r="C8" s="10">
        <v>2.8420000000000001E-2</v>
      </c>
      <c r="D8" s="2"/>
      <c r="E8" s="5" t="s">
        <v>60</v>
      </c>
      <c r="F8" s="4">
        <f>B3/(1-B4)-F7</f>
        <v>9.0276346239863088</v>
      </c>
      <c r="I8" s="32">
        <v>1</v>
      </c>
    </row>
    <row r="9" spans="1:9" x14ac:dyDescent="0.2">
      <c r="A9" s="5" t="s">
        <v>55</v>
      </c>
      <c r="B9" s="4">
        <v>10</v>
      </c>
      <c r="C9" s="4">
        <v>5</v>
      </c>
      <c r="D9" s="2"/>
      <c r="E9" s="2"/>
      <c r="F9" s="2"/>
      <c r="I9" s="32">
        <v>2</v>
      </c>
    </row>
    <row r="10" spans="1:9" x14ac:dyDescent="0.2">
      <c r="A10" s="2"/>
      <c r="B10" s="2"/>
      <c r="C10" s="2"/>
      <c r="D10" s="2"/>
      <c r="E10" s="2"/>
      <c r="F10" s="2"/>
      <c r="I10" s="32">
        <v>3</v>
      </c>
    </row>
    <row r="11" spans="1:9" x14ac:dyDescent="0.2">
      <c r="A11" s="34" t="s">
        <v>24</v>
      </c>
      <c r="B11" s="34"/>
      <c r="C11" s="34"/>
      <c r="D11" s="34"/>
      <c r="E11" s="2"/>
      <c r="F11" s="2"/>
      <c r="I11" s="32">
        <v>4</v>
      </c>
    </row>
    <row r="12" spans="1:9" ht="16" customHeight="1" x14ac:dyDescent="0.2">
      <c r="A12" s="5" t="s">
        <v>59</v>
      </c>
      <c r="B12" s="31" t="s">
        <v>53</v>
      </c>
      <c r="C12" s="5" t="s">
        <v>42</v>
      </c>
      <c r="D12" s="5" t="s">
        <v>60</v>
      </c>
      <c r="E12" s="2"/>
      <c r="F12" s="2"/>
      <c r="I12" s="32">
        <v>5</v>
      </c>
    </row>
    <row r="13" spans="1:9" x14ac:dyDescent="0.2">
      <c r="A13" s="4">
        <v>1</v>
      </c>
      <c r="B13" s="7">
        <f>B8+0.05</f>
        <v>0.13</v>
      </c>
      <c r="C13" s="4" cm="1">
        <f t="array" ref="C13">(SUM(I8:I16*B13*(1+B13)^(-I8:I16))+I17*(1+B13)*(1+B13)^-I17)/(1+B13)</f>
        <v>5.4262434759528881</v>
      </c>
      <c r="D13" s="4">
        <f>$B$3/(1-$B$4)-C13</f>
        <v>4.5737565240471119</v>
      </c>
      <c r="E13" s="2"/>
      <c r="F13" s="2"/>
      <c r="I13" s="32">
        <v>6</v>
      </c>
    </row>
    <row r="14" spans="1:9" x14ac:dyDescent="0.2">
      <c r="A14" s="4">
        <v>2</v>
      </c>
      <c r="B14" s="10">
        <f>C8+0.05</f>
        <v>7.8420000000000004E-2</v>
      </c>
      <c r="C14" s="4">
        <f>1/(1+B14)</f>
        <v>0.92728250588824401</v>
      </c>
      <c r="D14" s="4">
        <f>$B$3/(1-$B$4)-C14</f>
        <v>9.0727174941117568</v>
      </c>
      <c r="E14" s="2"/>
      <c r="F14" s="2"/>
      <c r="I14" s="32">
        <v>7</v>
      </c>
    </row>
    <row r="15" spans="1:9" x14ac:dyDescent="0.2">
      <c r="I15" s="32">
        <v>8</v>
      </c>
    </row>
    <row r="16" spans="1:9" x14ac:dyDescent="0.2">
      <c r="I16" s="32">
        <v>9</v>
      </c>
    </row>
    <row r="17" spans="9:9" x14ac:dyDescent="0.2">
      <c r="I17" s="32">
        <v>10</v>
      </c>
    </row>
  </sheetData>
  <mergeCells count="6">
    <mergeCell ref="A1:F1"/>
    <mergeCell ref="A11:D11"/>
    <mergeCell ref="A2:B2"/>
    <mergeCell ref="A6:C6"/>
    <mergeCell ref="E6:F6"/>
    <mergeCell ref="E2: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5C66F2-AFDA-B24E-8625-C9EF26E433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M.C.4.1</vt:lpstr>
      <vt:lpstr>M.C.4.2</vt:lpstr>
      <vt:lpstr>M.C.4.3</vt:lpstr>
      <vt:lpstr>M.C.4.4</vt:lpstr>
      <vt:lpstr>M.C.4.5</vt:lpstr>
      <vt:lpstr>M.C.4.6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2026-06-01T11:12:45Z</dcterms:created>
  <dcterms:modified xsi:type="dcterms:W3CDTF">2026-06-21T15:08:41Z</dcterms:modified>
</cp:coreProperties>
</file>