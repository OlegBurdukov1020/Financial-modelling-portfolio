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I Corporate Finance/Interactive part/Unit 2/"/>
    </mc:Choice>
  </mc:AlternateContent>
  <xr:revisionPtr revIDLastSave="0" documentId="13_ncr:1_{744D7EC2-8BDB-A146-B726-D283F6B80F15}" xr6:coauthVersionLast="47" xr6:coauthVersionMax="47" xr10:uidLastSave="{00000000-0000-0000-0000-000000000000}"/>
  <bookViews>
    <workbookView xWindow="0" yWindow="720" windowWidth="29400" windowHeight="18400" activeTab="2" xr2:uid="{5BD5D1D8-21BB-8F4E-9E68-AA5A0F11379B}"/>
  </bookViews>
  <sheets>
    <sheet name="M.C.2.1" sheetId="1" r:id="rId1"/>
    <sheet name="M.C.2.2" sheetId="2" r:id="rId2"/>
    <sheet name="M.C.2.3" sheetId="7" r:id="rId3"/>
    <sheet name="M.C.2.4" sheetId="4" r:id="rId4"/>
    <sheet name="M.C.2.5" sheetId="5" r:id="rId5"/>
    <sheet name="M.C.2.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 r="B14" i="1"/>
  <c r="D9" i="2"/>
  <c r="L23" i="5"/>
  <c r="L16" i="5"/>
  <c r="K16" i="5"/>
  <c r="L17" i="5"/>
  <c r="K12" i="5"/>
  <c r="K20" i="5" s="1"/>
  <c r="K21" i="5" s="1"/>
  <c r="L12" i="5"/>
  <c r="L20" i="5" s="1"/>
  <c r="L21" i="5" s="1"/>
  <c r="L13" i="5"/>
  <c r="J4" i="5"/>
  <c r="C18" i="5"/>
  <c r="C17" i="5"/>
  <c r="D13" i="5"/>
  <c r="D12" i="5"/>
  <c r="B13" i="5"/>
  <c r="B12" i="5"/>
  <c r="B17" i="5" s="1"/>
  <c r="H2" i="6"/>
  <c r="H12" i="6"/>
  <c r="H11" i="6"/>
  <c r="H10" i="6"/>
  <c r="H8" i="6"/>
  <c r="H7" i="6"/>
  <c r="B9" i="6"/>
  <c r="H6" i="6"/>
  <c r="H5" i="6"/>
  <c r="D13" i="6"/>
  <c r="H4" i="6"/>
  <c r="B13" i="6"/>
  <c r="H3" i="6"/>
  <c r="C21" i="4"/>
  <c r="C22" i="4"/>
  <c r="C20" i="4"/>
  <c r="B21" i="4"/>
  <c r="B22" i="4"/>
  <c r="B20" i="4"/>
  <c r="E11" i="4"/>
  <c r="E12" i="4" s="1"/>
  <c r="E13" i="4" s="1"/>
  <c r="J15" i="4"/>
  <c r="J14" i="4"/>
  <c r="E4" i="4"/>
  <c r="B13" i="4"/>
  <c r="B14" i="4"/>
  <c r="B15" i="4" s="1"/>
  <c r="B16" i="4" s="1"/>
  <c r="B22" i="7"/>
  <c r="B21" i="7"/>
  <c r="D25" i="7"/>
  <c r="E27" i="7"/>
  <c r="E23" i="7"/>
  <c r="E18" i="7"/>
  <c r="E17" i="7"/>
  <c r="E13" i="7"/>
  <c r="D15" i="7"/>
  <c r="B13" i="7"/>
  <c r="E8" i="7"/>
  <c r="E7" i="7"/>
  <c r="E6" i="7"/>
  <c r="E3" i="7"/>
  <c r="B12" i="7"/>
  <c r="B8" i="7"/>
  <c r="D7" i="2"/>
  <c r="D8" i="2" s="1"/>
  <c r="C9" i="2"/>
  <c r="C7" i="2"/>
  <c r="C8" i="2" s="1"/>
  <c r="B7" i="2"/>
  <c r="B8" i="2" s="1"/>
  <c r="B9" i="2"/>
  <c r="C15" i="1"/>
  <c r="C16" i="1"/>
  <c r="C17" i="1"/>
  <c r="C14" i="1"/>
  <c r="B15" i="1"/>
  <c r="B16" i="1"/>
  <c r="B17" i="1"/>
  <c r="B10" i="1"/>
  <c r="B18" i="5" l="1"/>
  <c r="D18" i="5" s="1"/>
  <c r="D17" i="5"/>
  <c r="K4" i="5"/>
  <c r="H7" i="5"/>
  <c r="I7" i="5" l="1"/>
  <c r="J7" i="5" s="1"/>
  <c r="H8" i="5"/>
  <c r="I8" i="5"/>
  <c r="J8" i="5" l="1"/>
</calcChain>
</file>

<file path=xl/sharedStrings.xml><?xml version="1.0" encoding="utf-8"?>
<sst xmlns="http://schemas.openxmlformats.org/spreadsheetml/2006/main" count="215" uniqueCount="159">
  <si>
    <t>Mini-case 2.1</t>
  </si>
  <si>
    <t>Mini-case 2.2</t>
  </si>
  <si>
    <t>Mini-case 2.3</t>
  </si>
  <si>
    <t>Mini-case 2.4</t>
  </si>
  <si>
    <t>Mini-case 2.5</t>
  </si>
  <si>
    <t>Mini-case 2.6</t>
  </si>
  <si>
    <t>Assumptions</t>
  </si>
  <si>
    <t>Debt level</t>
  </si>
  <si>
    <t>Associated distress cost</t>
  </si>
  <si>
    <t>Tax rates</t>
  </si>
  <si>
    <t>TASK 1</t>
  </si>
  <si>
    <t>Scenario</t>
  </si>
  <si>
    <t>D=0</t>
  </si>
  <si>
    <t>D=50</t>
  </si>
  <si>
    <t>D=100</t>
  </si>
  <si>
    <t>D=150</t>
  </si>
  <si>
    <t>TASK 2,3,4</t>
  </si>
  <si>
    <t>In the first case, the value of the levered firm is greater at debt level 50, due to associated distress cost being less then the effective tax advantage only in this scenario (2,4&gt;1). In second case, we employ merely the corporate tax rate. With this rate, the total tax advantage is greater than ADC in every scenario</t>
  </si>
  <si>
    <r>
      <t>T</t>
    </r>
    <r>
      <rPr>
        <sz val="8"/>
        <color theme="1"/>
        <rFont val="Aptos Narrow (Body)"/>
      </rPr>
      <t>C</t>
    </r>
  </si>
  <si>
    <r>
      <t>T</t>
    </r>
    <r>
      <rPr>
        <sz val="8"/>
        <color theme="1"/>
        <rFont val="Aptos Narrow (Body)"/>
      </rPr>
      <t>D</t>
    </r>
  </si>
  <si>
    <r>
      <t>T</t>
    </r>
    <r>
      <rPr>
        <sz val="8"/>
        <color theme="1"/>
        <rFont val="Aptos Narrow (Body)"/>
      </rPr>
      <t>E</t>
    </r>
  </si>
  <si>
    <r>
      <t>T</t>
    </r>
    <r>
      <rPr>
        <sz val="8"/>
        <color theme="1"/>
        <rFont val="Aptos Narrow (Body)"/>
      </rPr>
      <t>g</t>
    </r>
  </si>
  <si>
    <r>
      <t>V</t>
    </r>
    <r>
      <rPr>
        <sz val="8"/>
        <color theme="1"/>
        <rFont val="Aptos Narrow (Body)"/>
      </rPr>
      <t>U</t>
    </r>
  </si>
  <si>
    <r>
      <t>V</t>
    </r>
    <r>
      <rPr>
        <sz val="8"/>
        <color theme="1"/>
        <rFont val="Aptos Narrow (Body)"/>
      </rPr>
      <t>L</t>
    </r>
    <r>
      <rPr>
        <sz val="12"/>
        <color theme="1"/>
        <rFont val="Aptos Narrow"/>
        <family val="2"/>
        <scheme val="minor"/>
      </rPr>
      <t>(incl. personal taxes)</t>
    </r>
  </si>
  <si>
    <r>
      <t>V</t>
    </r>
    <r>
      <rPr>
        <sz val="8"/>
        <color theme="1"/>
        <rFont val="Aptos Narrow (Body)"/>
      </rPr>
      <t>L</t>
    </r>
    <r>
      <rPr>
        <sz val="12"/>
        <color theme="1"/>
        <rFont val="Aptos Narrow"/>
        <family val="2"/>
        <scheme val="minor"/>
      </rPr>
      <t xml:space="preserve"> (no personal taxes)</t>
    </r>
  </si>
  <si>
    <t>Debt's principal</t>
  </si>
  <si>
    <t>Type of debt</t>
  </si>
  <si>
    <t>Perpetuity</t>
  </si>
  <si>
    <t>TS (yearly)</t>
  </si>
  <si>
    <t>PV(Tax shield)</t>
  </si>
  <si>
    <t>Coupon</t>
  </si>
  <si>
    <t>TASK 2</t>
  </si>
  <si>
    <t xml:space="preserve">TASK </t>
  </si>
  <si>
    <t>TASK 3</t>
  </si>
  <si>
    <r>
      <t>r</t>
    </r>
    <r>
      <rPr>
        <sz val="8"/>
        <color theme="1"/>
        <rFont val="Aptos Narrow (Body)"/>
      </rPr>
      <t>D</t>
    </r>
    <r>
      <rPr>
        <sz val="12"/>
        <color theme="1"/>
        <rFont val="Aptos Narrow"/>
        <family val="2"/>
        <scheme val="minor"/>
      </rPr>
      <t xml:space="preserve"> (p.a.)</t>
    </r>
  </si>
  <si>
    <t>Investment cost</t>
  </si>
  <si>
    <t>Financed with</t>
  </si>
  <si>
    <t>ZCB</t>
  </si>
  <si>
    <t>π (up-state)</t>
  </si>
  <si>
    <t>1-π (down-state)</t>
  </si>
  <si>
    <t>T = 0</t>
  </si>
  <si>
    <t>T = 1</t>
  </si>
  <si>
    <t>Face value</t>
  </si>
  <si>
    <t>up</t>
  </si>
  <si>
    <t>Company's FV (up-state)</t>
  </si>
  <si>
    <t>Company's FV (down-state)</t>
  </si>
  <si>
    <t>Equity</t>
  </si>
  <si>
    <t>Face value of debt</t>
  </si>
  <si>
    <r>
      <t>r</t>
    </r>
    <r>
      <rPr>
        <sz val="8"/>
        <color theme="1"/>
        <rFont val="Aptos Narrow (Body)"/>
      </rPr>
      <t>E</t>
    </r>
  </si>
  <si>
    <r>
      <t>r</t>
    </r>
    <r>
      <rPr>
        <sz val="8"/>
        <color theme="1"/>
        <rFont val="Aptos Narrow (Body)"/>
      </rPr>
      <t>U</t>
    </r>
  </si>
  <si>
    <r>
      <t>r</t>
    </r>
    <r>
      <rPr>
        <sz val="8"/>
        <color theme="1"/>
        <rFont val="Aptos Narrow (Body)"/>
      </rPr>
      <t>D</t>
    </r>
  </si>
  <si>
    <t>Bancruptcy costs</t>
  </si>
  <si>
    <t>TASK 4</t>
  </si>
  <si>
    <t>TASK 5</t>
  </si>
  <si>
    <t>Initial value of the firm's equity</t>
  </si>
  <si>
    <t>The debt claim of debt holders</t>
  </si>
  <si>
    <t>Essentially, the debt is not negotiable. It always has to be paid in full. However many losses a company faces, it's equity holders who will loose their income. Therefore, the equity holders bear the bancruptcy costs</t>
  </si>
  <si>
    <t>The firm value (bancruptcy)</t>
  </si>
  <si>
    <r>
      <t>V</t>
    </r>
    <r>
      <rPr>
        <sz val="8"/>
        <color theme="1"/>
        <rFont val="Aptos Narrow (Body)"/>
      </rPr>
      <t>L</t>
    </r>
  </si>
  <si>
    <t>Value lost due to expected bancruptcy</t>
  </si>
  <si>
    <t xml:space="preserve">      down</t>
  </si>
  <si>
    <t xml:space="preserve">        down</t>
  </si>
  <si>
    <t xml:space="preserve">           up</t>
  </si>
  <si>
    <t>Perpetuity CF</t>
  </si>
  <si>
    <t>Poor</t>
  </si>
  <si>
    <t>Middle-class</t>
  </si>
  <si>
    <t>Rich</t>
  </si>
  <si>
    <t>a) Total annual tax bill</t>
  </si>
  <si>
    <t>c) Equity value</t>
  </si>
  <si>
    <t>PV (interest tax shield)</t>
  </si>
  <si>
    <t>Taxable income</t>
  </si>
  <si>
    <t>Annual interest expence on debt</t>
  </si>
  <si>
    <t>a) In order to answer this question, there are couple important assumptions to mind: first, there are no personal taxes on equity. Perhaps there is corporate tax on it. Secondly, interest payments are taxed defferently among three groups. Since middle-class and poor investors have a lesser tax rate on interest than on equity (40%&lt;50% and 0%&lt;50%), these groups are going to prefer debt investments to equity. In equilibrium, the debt would be held by the poor, as their interest income (rD) is the least among all groups.</t>
  </si>
  <si>
    <t>a) it's again the poor group who'll have all the debt in equilibrium. Their interest rate they'd require is 10% as shown. Perhaps the middle class would demand the intrerest premium of 0,1/(1-0,4)=16,67%</t>
  </si>
  <si>
    <r>
      <t>b) PV</t>
    </r>
    <r>
      <rPr>
        <sz val="8"/>
        <color theme="1"/>
        <rFont val="Aptos Narrow (Body)"/>
      </rPr>
      <t>U</t>
    </r>
    <r>
      <rPr>
        <sz val="12"/>
        <color theme="1"/>
        <rFont val="Aptos Narrow"/>
        <family val="2"/>
        <scheme val="minor"/>
      </rPr>
      <t>(all firms)</t>
    </r>
  </si>
  <si>
    <t>b)</t>
  </si>
  <si>
    <t xml:space="preserve">b) Given identity </t>
  </si>
  <si>
    <t>E=2D</t>
  </si>
  <si>
    <t>Balance sheet identity</t>
  </si>
  <si>
    <t>A=E+D</t>
  </si>
  <si>
    <t>A = E + D</t>
  </si>
  <si>
    <t>A = 2D + D</t>
  </si>
  <si>
    <t>A = 3D</t>
  </si>
  <si>
    <t>D = 1/3 A</t>
  </si>
  <si>
    <t>E = 2D</t>
  </si>
  <si>
    <t>D = 1/2 E</t>
  </si>
  <si>
    <t>A = E + 1/2 E</t>
  </si>
  <si>
    <t>A = 3/2 E</t>
  </si>
  <si>
    <t>E = 2/3 A</t>
  </si>
  <si>
    <t>A = 3D = 1500 + 0,5 D</t>
  </si>
  <si>
    <t>2,5D = 1500</t>
  </si>
  <si>
    <t>D = 600</t>
  </si>
  <si>
    <t>E = 2*600 = 1200</t>
  </si>
  <si>
    <t>D = A/3</t>
  </si>
  <si>
    <t>PV(interest tax shield)</t>
  </si>
  <si>
    <r>
      <t>r</t>
    </r>
    <r>
      <rPr>
        <sz val="8"/>
        <color theme="1"/>
        <rFont val="Aptos Narrow (Body)"/>
      </rPr>
      <t>f</t>
    </r>
  </si>
  <si>
    <r>
      <t>T</t>
    </r>
    <r>
      <rPr>
        <sz val="8"/>
        <color theme="0"/>
        <rFont val="Aptos Narrow (Body)"/>
      </rPr>
      <t>D</t>
    </r>
    <r>
      <rPr>
        <sz val="12"/>
        <color theme="0"/>
        <rFont val="Aptos Narrow"/>
        <family val="2"/>
        <scheme val="minor"/>
      </rPr>
      <t>(personal) in %</t>
    </r>
  </si>
  <si>
    <r>
      <t>r</t>
    </r>
    <r>
      <rPr>
        <sz val="8"/>
        <color theme="1"/>
        <rFont val="Aptos Narrow (Body)"/>
      </rPr>
      <t>U</t>
    </r>
    <r>
      <rPr>
        <sz val="12"/>
        <color theme="1"/>
        <rFont val="Aptos Narrow"/>
        <family val="2"/>
        <scheme val="minor"/>
      </rPr>
      <t>=r</t>
    </r>
    <r>
      <rPr>
        <sz val="8"/>
        <color theme="1"/>
        <rFont val="Aptos Narrow (Body)"/>
      </rPr>
      <t>E</t>
    </r>
    <r>
      <rPr>
        <sz val="12"/>
        <color theme="1"/>
        <rFont val="Aptos Narrow"/>
        <family val="2"/>
        <scheme val="minor"/>
      </rPr>
      <t>=r</t>
    </r>
    <r>
      <rPr>
        <sz val="8"/>
        <color theme="1"/>
        <rFont val="Aptos Narrow (Body)"/>
      </rPr>
      <t>f</t>
    </r>
  </si>
  <si>
    <r>
      <t>b) r</t>
    </r>
    <r>
      <rPr>
        <sz val="8"/>
        <color theme="1"/>
        <rFont val="Aptos Narrow (Body)"/>
      </rPr>
      <t>D</t>
    </r>
  </si>
  <si>
    <r>
      <t>c) V</t>
    </r>
    <r>
      <rPr>
        <sz val="8"/>
        <color theme="1"/>
        <rFont val="Aptos Narrow (Body)"/>
      </rPr>
      <t>L</t>
    </r>
  </si>
  <si>
    <r>
      <t>A = V</t>
    </r>
    <r>
      <rPr>
        <sz val="8"/>
        <color theme="1"/>
        <rFont val="Aptos Narrow (Body)"/>
      </rPr>
      <t>L</t>
    </r>
    <r>
      <rPr>
        <sz val="12"/>
        <color theme="1"/>
        <rFont val="Aptos Narrow"/>
        <family val="2"/>
        <scheme val="minor"/>
      </rPr>
      <t xml:space="preserve"> = V</t>
    </r>
    <r>
      <rPr>
        <sz val="8"/>
        <color theme="1"/>
        <rFont val="Aptos Narrow (Body)"/>
      </rPr>
      <t>U</t>
    </r>
    <r>
      <rPr>
        <sz val="12"/>
        <color theme="1"/>
        <rFont val="Aptos Narrow"/>
        <family val="2"/>
        <scheme val="minor"/>
      </rPr>
      <t xml:space="preserve"> + PV(i.t.s.)= 1500 + 0,5 D</t>
    </r>
  </si>
  <si>
    <t>c) Debt value</t>
  </si>
  <si>
    <t>Gross interest rate</t>
  </si>
  <si>
    <r>
      <rPr>
        <sz val="9.5"/>
        <color theme="1"/>
        <rFont val="Aptos Narrow (Body)"/>
      </rPr>
      <t>rE</t>
    </r>
    <r>
      <rPr>
        <sz val="9.5"/>
        <color theme="1"/>
        <rFont val="Aptos Narrow"/>
        <family val="2"/>
        <scheme val="minor"/>
      </rPr>
      <t xml:space="preserve"> is 10% for every group due to abscence of personal taxes on equity. Since only poor investors are not taxed on interest payments, they'll get the same 10% from debt investment. In contrast, the middle-class and rich investors should pay tax on this income which reduces their gains. Thus, no other investor could be induced to hold debt, as it would harm either investor or company. In order to get the same premium investing in debt, one should increase the interest rate s.t. after subtraction of personal tax on interest payment one would gain the same 10%. Additionally, it follows that 3 groups of investors would not hold debt in equilibrium.</t>
    </r>
  </si>
  <si>
    <t>Investor group</t>
  </si>
  <si>
    <t>Tax-adjusted interest rate</t>
  </si>
  <si>
    <t>D/A(company A)</t>
  </si>
  <si>
    <t>Company</t>
  </si>
  <si>
    <t>D/E</t>
  </si>
  <si>
    <t>A</t>
  </si>
  <si>
    <t>B</t>
  </si>
  <si>
    <t>C</t>
  </si>
  <si>
    <t>FV(A) adjustment</t>
  </si>
  <si>
    <t>E/A</t>
  </si>
  <si>
    <t>Financial distress probability</t>
  </si>
  <si>
    <t>TASK 6</t>
  </si>
  <si>
    <t>TASK 7</t>
  </si>
  <si>
    <r>
      <t>~R</t>
    </r>
    <r>
      <rPr>
        <sz val="8"/>
        <color theme="1"/>
        <rFont val="Aptos Narrow (Body)"/>
      </rPr>
      <t>M</t>
    </r>
  </si>
  <si>
    <r>
      <t>E[~FCF</t>
    </r>
    <r>
      <rPr>
        <sz val="8"/>
        <color theme="1"/>
        <rFont val="Aptos Narrow (Body)"/>
      </rPr>
      <t>A</t>
    </r>
    <r>
      <rPr>
        <sz val="12"/>
        <color theme="1"/>
        <rFont val="Aptos Narrow"/>
        <family val="2"/>
        <scheme val="minor"/>
      </rPr>
      <t>], T = 1</t>
    </r>
  </si>
  <si>
    <r>
      <t>ß</t>
    </r>
    <r>
      <rPr>
        <sz val="8"/>
        <color theme="1"/>
        <rFont val="Aptos Narrow (Body)"/>
      </rPr>
      <t>E</t>
    </r>
  </si>
  <si>
    <r>
      <t>ß</t>
    </r>
    <r>
      <rPr>
        <sz val="8"/>
        <color theme="1"/>
        <rFont val="Aptos Narrow (Body)"/>
      </rPr>
      <t>D</t>
    </r>
  </si>
  <si>
    <r>
      <t>ß</t>
    </r>
    <r>
      <rPr>
        <sz val="8"/>
        <color theme="1"/>
        <rFont val="Aptos Narrow (Body)"/>
      </rPr>
      <t>U</t>
    </r>
    <r>
      <rPr>
        <sz val="12"/>
        <color theme="1"/>
        <rFont val="Aptos Narrow"/>
        <family val="2"/>
        <scheme val="minor"/>
      </rPr>
      <t>(B)</t>
    </r>
  </si>
  <si>
    <r>
      <t>ß</t>
    </r>
    <r>
      <rPr>
        <sz val="8"/>
        <color theme="1"/>
        <rFont val="Aptos Narrow (Body)"/>
      </rPr>
      <t>U</t>
    </r>
    <r>
      <rPr>
        <sz val="12"/>
        <color theme="1"/>
        <rFont val="Aptos Narrow"/>
        <family val="2"/>
        <scheme val="minor"/>
      </rPr>
      <t>(C)</t>
    </r>
  </si>
  <si>
    <r>
      <t>ß</t>
    </r>
    <r>
      <rPr>
        <sz val="8"/>
        <color theme="1"/>
        <rFont val="Aptos Narrow (Body)"/>
      </rPr>
      <t>U</t>
    </r>
    <r>
      <rPr>
        <sz val="12"/>
        <color theme="1"/>
        <rFont val="Aptos Narrow"/>
        <family val="2"/>
        <scheme val="minor"/>
      </rPr>
      <t>(A)</t>
    </r>
  </si>
  <si>
    <r>
      <t>r</t>
    </r>
    <r>
      <rPr>
        <sz val="8"/>
        <color theme="1"/>
        <rFont val="Aptos Narrow (Body)"/>
      </rPr>
      <t>E</t>
    </r>
    <r>
      <rPr>
        <sz val="12"/>
        <color theme="1"/>
        <rFont val="Aptos Narrow"/>
        <family val="2"/>
        <scheme val="minor"/>
      </rPr>
      <t>(A)</t>
    </r>
  </si>
  <si>
    <r>
      <t>r</t>
    </r>
    <r>
      <rPr>
        <sz val="8"/>
        <color theme="1"/>
        <rFont val="Aptos Narrow (Body)"/>
      </rPr>
      <t>U</t>
    </r>
    <r>
      <rPr>
        <sz val="12"/>
        <color theme="1"/>
        <rFont val="Aptos Narrow"/>
        <family val="2"/>
        <scheme val="minor"/>
      </rPr>
      <t>(A)</t>
    </r>
  </si>
  <si>
    <r>
      <t>V</t>
    </r>
    <r>
      <rPr>
        <sz val="8"/>
        <color theme="1"/>
        <rFont val="Aptos Narrow (Body)"/>
      </rPr>
      <t>U</t>
    </r>
    <r>
      <rPr>
        <sz val="12"/>
        <color theme="1"/>
        <rFont val="Aptos Narrow"/>
        <family val="2"/>
        <scheme val="minor"/>
      </rPr>
      <t>(A)</t>
    </r>
  </si>
  <si>
    <r>
      <t>V</t>
    </r>
    <r>
      <rPr>
        <sz val="8"/>
        <color theme="1"/>
        <rFont val="Aptos Narrow (Body)"/>
      </rPr>
      <t>L</t>
    </r>
    <r>
      <rPr>
        <sz val="12"/>
        <color theme="1"/>
        <rFont val="Aptos Narrow"/>
        <family val="2"/>
        <scheme val="minor"/>
      </rPr>
      <t>(A), APV</t>
    </r>
  </si>
  <si>
    <r>
      <t>r</t>
    </r>
    <r>
      <rPr>
        <sz val="8"/>
        <color theme="1"/>
        <rFont val="Aptos Narrow (Body)"/>
      </rPr>
      <t>WACC</t>
    </r>
  </si>
  <si>
    <r>
      <t>V</t>
    </r>
    <r>
      <rPr>
        <sz val="8"/>
        <color theme="1"/>
        <rFont val="Aptos Narrow (Body)"/>
      </rPr>
      <t>L</t>
    </r>
    <r>
      <rPr>
        <sz val="12"/>
        <color theme="1"/>
        <rFont val="Aptos Narrow"/>
        <family val="2"/>
        <scheme val="minor"/>
      </rPr>
      <t>(A), WACC-method</t>
    </r>
  </si>
  <si>
    <r>
      <t>V</t>
    </r>
    <r>
      <rPr>
        <sz val="8"/>
        <color theme="1"/>
        <rFont val="Aptos Narrow (Body)"/>
      </rPr>
      <t>L</t>
    </r>
    <r>
      <rPr>
        <sz val="12"/>
        <color theme="1"/>
        <rFont val="Aptos Narrow"/>
        <family val="2"/>
        <scheme val="minor"/>
      </rPr>
      <t>(A) after distress costs</t>
    </r>
  </si>
  <si>
    <t>State</t>
  </si>
  <si>
    <t>CFs</t>
  </si>
  <si>
    <t>Probabilities</t>
  </si>
  <si>
    <t>Bad-state</t>
  </si>
  <si>
    <t>Good-state</t>
  </si>
  <si>
    <t>Payoff (E)</t>
  </si>
  <si>
    <t>Payoff (D)</t>
  </si>
  <si>
    <t>All-equity case</t>
  </si>
  <si>
    <t>Debt finance case</t>
  </si>
  <si>
    <t>TASK 1a</t>
  </si>
  <si>
    <t>TASK 1b</t>
  </si>
  <si>
    <t>MV(D)</t>
  </si>
  <si>
    <t>MV(enterprise)</t>
  </si>
  <si>
    <t>MV(E)</t>
  </si>
  <si>
    <t xml:space="preserve">E[~FCF] </t>
  </si>
  <si>
    <t>D (perpetuity)</t>
  </si>
  <si>
    <t>All-equity financing</t>
  </si>
  <si>
    <t>Debt-financing</t>
  </si>
  <si>
    <t>After-tax CF (E)</t>
  </si>
  <si>
    <t>After-tax CF (D)</t>
  </si>
  <si>
    <t>a)</t>
  </si>
  <si>
    <t>After-tax rate (E)</t>
  </si>
  <si>
    <t>After-tax rate (D)</t>
  </si>
  <si>
    <t>c)</t>
  </si>
  <si>
    <t>V(E)</t>
  </si>
  <si>
    <t>d)</t>
  </si>
  <si>
    <t>Tax shield</t>
  </si>
  <si>
    <r>
      <t>r</t>
    </r>
    <r>
      <rPr>
        <sz val="8"/>
        <color theme="1"/>
        <rFont val="Aptos Narrow (Body)"/>
      </rPr>
      <t>WACC</t>
    </r>
    <r>
      <rPr>
        <sz val="12"/>
        <color theme="1"/>
        <rFont val="Aptos Narrow"/>
        <family val="2"/>
        <scheme val="minor"/>
      </rPr>
      <t xml:space="preserve"> under MM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</si>
</sst>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164" formatCode="_-[$$-409]* #,##0.00_ ;_-[$$-409]* \-#,##0.00\ ;_-[$$-409]* &quot;-&quot;??_ ;_-@_ "/>
    <numFmt numFmtId="165" formatCode="_-[$$-C09]* #,##0.00_-;\-[$$-C09]* #,##0.00_-;_-[$$-C09]* &quot;-&quot;??_-;_-@_-"/>
    <numFmt numFmtId="166" formatCode="0.00000"/>
    <numFmt numFmtId="167" formatCode="0.0000"/>
    <numFmt numFmtId="168" formatCode="0.000"/>
  </numFmts>
  <fonts count="8" x14ac:knownFonts="1">
    <font>
      <sz val="12"/>
      <color theme="1"/>
      <name val="Aptos Narrow"/>
      <family val="2"/>
      <scheme val="minor"/>
    </font>
    <font>
      <sz val="12"/>
      <color theme="0"/>
      <name val="Aptos Narrow"/>
      <family val="2"/>
      <scheme val="minor"/>
    </font>
    <font>
      <sz val="9"/>
      <color theme="1"/>
      <name val="Aptos Narrow"/>
      <family val="2"/>
      <scheme val="minor"/>
    </font>
    <font>
      <sz val="8"/>
      <color theme="1"/>
      <name val="Aptos Narrow (Body)"/>
    </font>
    <font>
      <sz val="12"/>
      <color theme="1"/>
      <name val="Aptos Narrow (Body)"/>
    </font>
    <font>
      <sz val="8"/>
      <color theme="0"/>
      <name val="Aptos Narrow (Body)"/>
    </font>
    <font>
      <sz val="9.5"/>
      <color theme="1"/>
      <name val="Aptos Narrow"/>
      <family val="2"/>
      <scheme val="minor"/>
    </font>
    <font>
      <sz val="9.5"/>
      <color theme="1"/>
      <name val="Aptos Narrow (Body)"/>
    </font>
  </fonts>
  <fills count="11">
    <fill>
      <patternFill patternType="none"/>
    </fill>
    <fill>
      <patternFill patternType="gray125"/>
    </fill>
    <fill>
      <patternFill patternType="solid">
        <fgColor theme="2" tint="-0.749992370372631"/>
        <bgColor indexed="64"/>
      </patternFill>
    </fill>
    <fill>
      <patternFill patternType="solid">
        <fgColor theme="3" tint="0.499984740745262"/>
        <bgColor indexed="64"/>
      </patternFill>
    </fill>
    <fill>
      <patternFill patternType="solid">
        <fgColor theme="2" tint="-0.499984740745262"/>
        <bgColor indexed="64"/>
      </patternFill>
    </fill>
    <fill>
      <patternFill patternType="solid">
        <fgColor theme="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0" fillId="5" borderId="1" xfId="0" applyFill="1" applyBorder="1" applyAlignment="1">
      <alignment horizontal="center" vertical="center"/>
    </xf>
    <xf numFmtId="0" fontId="1" fillId="4"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0" borderId="0" xfId="0" applyAlignment="1">
      <alignment horizontal="center" vertical="center"/>
    </xf>
    <xf numFmtId="8" fontId="0" fillId="0" borderId="1" xfId="0" applyNumberFormat="1" applyBorder="1" applyAlignment="1">
      <alignment horizontal="center" vertical="center"/>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8" fontId="0" fillId="0" borderId="0" xfId="0" applyNumberFormat="1"/>
    <xf numFmtId="0" fontId="0" fillId="8" borderId="2" xfId="0" applyFill="1" applyBorder="1"/>
    <xf numFmtId="0" fontId="0" fillId="8" borderId="5" xfId="0" applyFill="1" applyBorder="1"/>
    <xf numFmtId="0" fontId="0" fillId="8" borderId="6" xfId="0" applyFill="1" applyBorder="1"/>
    <xf numFmtId="8" fontId="0" fillId="8" borderId="6" xfId="0" applyNumberFormat="1" applyFill="1" applyBorder="1"/>
    <xf numFmtId="0" fontId="0" fillId="8" borderId="7" xfId="0" applyFill="1" applyBorder="1"/>
    <xf numFmtId="0" fontId="0" fillId="8" borderId="5" xfId="0" applyFill="1" applyBorder="1" applyAlignment="1">
      <alignment horizontal="right"/>
    </xf>
    <xf numFmtId="0" fontId="0" fillId="5" borderId="10" xfId="0" applyFill="1" applyBorder="1" applyAlignment="1">
      <alignment horizontal="center" vertical="center"/>
    </xf>
    <xf numFmtId="8" fontId="0" fillId="5" borderId="1" xfId="0" applyNumberFormat="1" applyFill="1" applyBorder="1" applyAlignment="1">
      <alignment horizontal="center" vertical="center"/>
    </xf>
    <xf numFmtId="0" fontId="0" fillId="8" borderId="6" xfId="0" applyFill="1" applyBorder="1" applyAlignment="1">
      <alignment horizontal="center"/>
    </xf>
    <xf numFmtId="8" fontId="0" fillId="6" borderId="1" xfId="0" applyNumberFormat="1" applyFill="1" applyBorder="1" applyAlignment="1">
      <alignment horizontal="center" vertical="center"/>
    </xf>
    <xf numFmtId="164" fontId="0" fillId="0" borderId="1" xfId="0" applyNumberFormat="1" applyBorder="1" applyAlignment="1">
      <alignment horizontal="center" vertical="center"/>
    </xf>
    <xf numFmtId="164" fontId="0" fillId="0" borderId="10" xfId="0" applyNumberFormat="1" applyBorder="1" applyAlignment="1">
      <alignment horizontal="center" vertical="center"/>
    </xf>
    <xf numFmtId="164" fontId="0" fillId="8" borderId="4" xfId="0" applyNumberFormat="1" applyFill="1" applyBorder="1"/>
    <xf numFmtId="164" fontId="1" fillId="9" borderId="9" xfId="0" applyNumberFormat="1" applyFont="1" applyFill="1" applyBorder="1"/>
    <xf numFmtId="164" fontId="0" fillId="6" borderId="1" xfId="0" applyNumberFormat="1" applyFill="1" applyBorder="1" applyAlignment="1">
      <alignment horizontal="center" vertical="center"/>
    </xf>
    <xf numFmtId="164" fontId="0" fillId="8" borderId="5" xfId="0" applyNumberFormat="1" applyFill="1" applyBorder="1" applyAlignment="1">
      <alignment horizontal="left"/>
    </xf>
    <xf numFmtId="0" fontId="0" fillId="8" borderId="6" xfId="0" applyFill="1" applyBorder="1" applyAlignment="1">
      <alignment horizontal="left"/>
    </xf>
    <xf numFmtId="165" fontId="0" fillId="8" borderId="9" xfId="0" applyNumberFormat="1" applyFill="1" applyBorder="1"/>
    <xf numFmtId="0" fontId="0" fillId="0" borderId="0" xfId="0" applyAlignment="1">
      <alignment wrapText="1"/>
    </xf>
    <xf numFmtId="0" fontId="0" fillId="0" borderId="1" xfId="0" applyBorder="1" applyAlignment="1">
      <alignment horizontal="center" vertical="center" wrapText="1"/>
    </xf>
    <xf numFmtId="0" fontId="0" fillId="8" borderId="12"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4"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4" fillId="5" borderId="1" xfId="0"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0" fillId="8" borderId="14" xfId="0" applyFill="1" applyBorder="1" applyAlignment="1">
      <alignment horizontal="center" vertical="center"/>
    </xf>
    <xf numFmtId="167" fontId="0" fillId="6" borderId="1" xfId="0" applyNumberFormat="1" applyFill="1" applyBorder="1" applyAlignment="1">
      <alignment horizontal="center" vertical="center"/>
    </xf>
    <xf numFmtId="168" fontId="0" fillId="0" borderId="1" xfId="0" applyNumberFormat="1" applyBorder="1" applyAlignment="1">
      <alignment horizontal="center" vertical="center"/>
    </xf>
    <xf numFmtId="8" fontId="0" fillId="0" borderId="0" xfId="0" applyNumberFormat="1" applyAlignment="1">
      <alignment horizontal="center" vertical="center"/>
    </xf>
    <xf numFmtId="166" fontId="0" fillId="0" borderId="1" xfId="0" applyNumberFormat="1" applyBorder="1" applyAlignment="1">
      <alignment horizontal="center" vertical="center"/>
    </xf>
    <xf numFmtId="0" fontId="1" fillId="3" borderId="11" xfId="0" applyFont="1" applyFill="1" applyBorder="1" applyAlignment="1">
      <alignment horizontal="center" vertical="center"/>
    </xf>
    <xf numFmtId="0" fontId="1" fillId="2" borderId="1" xfId="0" applyFont="1" applyFill="1" applyBorder="1" applyAlignment="1">
      <alignment horizontal="center" vertical="center"/>
    </xf>
    <xf numFmtId="0" fontId="0" fillId="8" borderId="1" xfId="0" applyFill="1" applyBorder="1" applyAlignment="1">
      <alignment horizontal="center" vertical="center" wrapText="1"/>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5" borderId="1" xfId="0" applyFill="1" applyBorder="1" applyAlignment="1">
      <alignment horizontal="center" vertical="center"/>
    </xf>
    <xf numFmtId="0" fontId="1" fillId="4" borderId="12" xfId="0" applyFont="1" applyFill="1" applyBorder="1" applyAlignment="1">
      <alignment horizontal="center" vertical="center"/>
    </xf>
    <xf numFmtId="0" fontId="1" fillId="4" borderId="14" xfId="0" applyFont="1"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0" fillId="6" borderId="1" xfId="0" applyFill="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1" fillId="4" borderId="0" xfId="0" applyFont="1" applyFill="1" applyAlignment="1">
      <alignment horizontal="center" vertical="center"/>
    </xf>
    <xf numFmtId="0" fontId="0" fillId="5" borderId="1" xfId="0" applyFill="1" applyBorder="1" applyAlignment="1">
      <alignment horizontal="center" vertical="center" wrapText="1"/>
    </xf>
    <xf numFmtId="0" fontId="0" fillId="5" borderId="12" xfId="0" applyFill="1" applyBorder="1" applyAlignment="1">
      <alignment horizontal="center" vertical="center"/>
    </xf>
    <xf numFmtId="0" fontId="0" fillId="5" borderId="14"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1182843</xdr:colOff>
      <xdr:row>12</xdr:row>
      <xdr:rowOff>192990</xdr:rowOff>
    </xdr:from>
    <xdr:to>
      <xdr:col>4</xdr:col>
      <xdr:colOff>311274</xdr:colOff>
      <xdr:row>14</xdr:row>
      <xdr:rowOff>31128</xdr:rowOff>
    </xdr:to>
    <xdr:cxnSp macro="">
      <xdr:nvCxnSpPr>
        <xdr:cNvPr id="3" name="Straight Connector 2">
          <a:extLst>
            <a:ext uri="{FF2B5EF4-FFF2-40B4-BE49-F238E27FC236}">
              <a16:creationId xmlns:a16="http://schemas.microsoft.com/office/drawing/2014/main" id="{0CE42044-4A79-CDD2-DC53-B3882652FCFA}"/>
            </a:ext>
          </a:extLst>
        </xdr:cNvPr>
        <xdr:cNvCxnSpPr/>
      </xdr:nvCxnSpPr>
      <xdr:spPr>
        <a:xfrm flipV="1">
          <a:off x="5926667" y="2670735"/>
          <a:ext cx="385980" cy="2490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1195294</xdr:colOff>
      <xdr:row>14</xdr:row>
      <xdr:rowOff>168089</xdr:rowOff>
    </xdr:from>
    <xdr:to>
      <xdr:col>4</xdr:col>
      <xdr:colOff>348627</xdr:colOff>
      <xdr:row>16</xdr:row>
      <xdr:rowOff>80931</xdr:rowOff>
    </xdr:to>
    <xdr:cxnSp macro="">
      <xdr:nvCxnSpPr>
        <xdr:cNvPr id="5" name="Straight Connector 4">
          <a:extLst>
            <a:ext uri="{FF2B5EF4-FFF2-40B4-BE49-F238E27FC236}">
              <a16:creationId xmlns:a16="http://schemas.microsoft.com/office/drawing/2014/main" id="{101CCFAD-3377-C623-6AE6-4EF13F594971}"/>
            </a:ext>
          </a:extLst>
        </xdr:cNvPr>
        <xdr:cNvCxnSpPr/>
      </xdr:nvCxnSpPr>
      <xdr:spPr>
        <a:xfrm>
          <a:off x="5939118" y="3056716"/>
          <a:ext cx="410882" cy="3237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1240916</xdr:colOff>
      <xdr:row>22</xdr:row>
      <xdr:rowOff>174504</xdr:rowOff>
    </xdr:from>
    <xdr:to>
      <xdr:col>4</xdr:col>
      <xdr:colOff>484733</xdr:colOff>
      <xdr:row>24</xdr:row>
      <xdr:rowOff>29083</xdr:rowOff>
    </xdr:to>
    <xdr:cxnSp macro="">
      <xdr:nvCxnSpPr>
        <xdr:cNvPr id="7" name="Straight Connector 6">
          <a:extLst>
            <a:ext uri="{FF2B5EF4-FFF2-40B4-BE49-F238E27FC236}">
              <a16:creationId xmlns:a16="http://schemas.microsoft.com/office/drawing/2014/main" id="{ADA57B64-318D-3BA8-AB78-CE0480343BD1}"/>
            </a:ext>
          </a:extLst>
        </xdr:cNvPr>
        <xdr:cNvCxnSpPr/>
      </xdr:nvCxnSpPr>
      <xdr:spPr>
        <a:xfrm flipV="1">
          <a:off x="5981603" y="4663130"/>
          <a:ext cx="504122" cy="26175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1250611</xdr:colOff>
      <xdr:row>24</xdr:row>
      <xdr:rowOff>174503</xdr:rowOff>
    </xdr:from>
    <xdr:to>
      <xdr:col>4</xdr:col>
      <xdr:colOff>1018223</xdr:colOff>
      <xdr:row>26</xdr:row>
      <xdr:rowOff>77462</xdr:rowOff>
    </xdr:to>
    <xdr:cxnSp macro="">
      <xdr:nvCxnSpPr>
        <xdr:cNvPr id="10" name="Straight Connector 9">
          <a:extLst>
            <a:ext uri="{FF2B5EF4-FFF2-40B4-BE49-F238E27FC236}">
              <a16:creationId xmlns:a16="http://schemas.microsoft.com/office/drawing/2014/main" id="{9964BF77-65CB-89DA-022A-9C1DFFC05938}"/>
            </a:ext>
          </a:extLst>
        </xdr:cNvPr>
        <xdr:cNvCxnSpPr/>
      </xdr:nvCxnSpPr>
      <xdr:spPr>
        <a:xfrm>
          <a:off x="5991298" y="5070305"/>
          <a:ext cx="1027917" cy="3101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382-00FA-D442-84F8-C82E6B9C2668}">
  <sheetPr>
    <tabColor theme="4"/>
  </sheetPr>
  <dimension ref="A1:F17"/>
  <sheetViews>
    <sheetView zoomScale="210" zoomScaleNormal="210" workbookViewId="0">
      <pane ySplit="1" topLeftCell="A2" activePane="bottomLeft" state="frozen"/>
      <selection pane="bottomLeft" activeCell="G10" sqref="G10"/>
    </sheetView>
  </sheetViews>
  <sheetFormatPr baseColWidth="10" defaultRowHeight="16" x14ac:dyDescent="0.2"/>
  <cols>
    <col min="2" max="2" width="20.6640625" bestFit="1" customWidth="1"/>
    <col min="3" max="3" width="18.83203125" bestFit="1" customWidth="1"/>
    <col min="6" max="6" width="15.33203125" bestFit="1" customWidth="1"/>
  </cols>
  <sheetData>
    <row r="1" spans="1:6" x14ac:dyDescent="0.2">
      <c r="A1" s="46" t="s">
        <v>0</v>
      </c>
      <c r="B1" s="46"/>
      <c r="C1" s="46"/>
      <c r="D1" s="46"/>
      <c r="E1" s="46"/>
      <c r="F1" s="46"/>
    </row>
    <row r="2" spans="1:6" x14ac:dyDescent="0.2">
      <c r="A2" s="49" t="s">
        <v>6</v>
      </c>
      <c r="B2" s="49"/>
      <c r="C2" s="49"/>
      <c r="D2" s="49"/>
      <c r="E2" s="49"/>
      <c r="F2" s="49"/>
    </row>
    <row r="3" spans="1:6" ht="17" x14ac:dyDescent="0.2">
      <c r="A3" s="1" t="s">
        <v>7</v>
      </c>
      <c r="B3" s="3" t="s">
        <v>8</v>
      </c>
      <c r="C3" s="4"/>
      <c r="D3" s="59" t="s">
        <v>22</v>
      </c>
      <c r="E3" s="59"/>
      <c r="F3" s="5">
        <v>200000000</v>
      </c>
    </row>
    <row r="4" spans="1:6" x14ac:dyDescent="0.2">
      <c r="A4" s="6">
        <v>0</v>
      </c>
      <c r="B4" s="6">
        <v>0</v>
      </c>
      <c r="C4" s="4"/>
      <c r="D4" s="4"/>
      <c r="E4" s="4"/>
      <c r="F4" s="4"/>
    </row>
    <row r="5" spans="1:6" x14ac:dyDescent="0.2">
      <c r="A5" s="6">
        <v>50</v>
      </c>
      <c r="B5" s="6">
        <v>1</v>
      </c>
      <c r="C5" s="4"/>
      <c r="D5" s="59" t="s">
        <v>9</v>
      </c>
      <c r="E5" s="1" t="s">
        <v>18</v>
      </c>
      <c r="F5" s="6">
        <v>0.3</v>
      </c>
    </row>
    <row r="6" spans="1:6" x14ac:dyDescent="0.2">
      <c r="A6" s="6">
        <v>100</v>
      </c>
      <c r="B6" s="6">
        <v>5</v>
      </c>
      <c r="C6" s="4"/>
      <c r="D6" s="59"/>
      <c r="E6" s="1" t="s">
        <v>19</v>
      </c>
      <c r="F6" s="6">
        <v>0.375</v>
      </c>
    </row>
    <row r="7" spans="1:6" x14ac:dyDescent="0.2">
      <c r="A7" s="6">
        <v>150</v>
      </c>
      <c r="B7" s="6">
        <v>14</v>
      </c>
      <c r="C7" s="4"/>
      <c r="D7" s="59"/>
      <c r="E7" s="1" t="s">
        <v>20</v>
      </c>
      <c r="F7" s="6">
        <v>0.15</v>
      </c>
    </row>
    <row r="8" spans="1:6" x14ac:dyDescent="0.2">
      <c r="A8" s="4"/>
      <c r="B8" s="4"/>
      <c r="C8" s="4"/>
      <c r="D8" s="4"/>
      <c r="E8" s="4"/>
      <c r="F8" s="4"/>
    </row>
    <row r="9" spans="1:6" x14ac:dyDescent="0.2">
      <c r="A9" s="48" t="s">
        <v>10</v>
      </c>
      <c r="B9" s="48"/>
      <c r="C9" s="4"/>
      <c r="D9" s="4"/>
      <c r="E9" s="4"/>
      <c r="F9" s="4"/>
    </row>
    <row r="10" spans="1:6" x14ac:dyDescent="0.2">
      <c r="A10" s="8" t="s">
        <v>21</v>
      </c>
      <c r="B10" s="7">
        <f>1-((1-F5)*(1-F7)/(1-F6))</f>
        <v>4.8000000000000043E-2</v>
      </c>
      <c r="C10" s="4"/>
      <c r="D10" s="4"/>
      <c r="E10" s="4"/>
      <c r="F10" s="4"/>
    </row>
    <row r="11" spans="1:6" x14ac:dyDescent="0.2">
      <c r="A11" s="4"/>
      <c r="B11" s="4"/>
      <c r="C11" s="4"/>
      <c r="D11" s="4"/>
      <c r="E11" s="4"/>
      <c r="F11" s="4"/>
    </row>
    <row r="12" spans="1:6" x14ac:dyDescent="0.2">
      <c r="A12" s="48" t="s">
        <v>16</v>
      </c>
      <c r="B12" s="48"/>
      <c r="C12" s="48"/>
      <c r="D12" s="48"/>
      <c r="E12" s="48"/>
      <c r="F12" s="48"/>
    </row>
    <row r="13" spans="1:6" x14ac:dyDescent="0.2">
      <c r="A13" s="1" t="s">
        <v>11</v>
      </c>
      <c r="B13" s="1" t="s">
        <v>23</v>
      </c>
      <c r="C13" s="1" t="s">
        <v>24</v>
      </c>
      <c r="D13" s="50" t="s">
        <v>17</v>
      </c>
      <c r="E13" s="51"/>
      <c r="F13" s="52"/>
    </row>
    <row r="14" spans="1:6" x14ac:dyDescent="0.2">
      <c r="A14" s="1" t="s">
        <v>12</v>
      </c>
      <c r="B14" s="5">
        <f>$F$3+$B$10*A4-B4</f>
        <v>200000000</v>
      </c>
      <c r="C14" s="5">
        <f>$F$3+$F$5*A4-B4</f>
        <v>200000000</v>
      </c>
      <c r="D14" s="53"/>
      <c r="E14" s="54"/>
      <c r="F14" s="55"/>
    </row>
    <row r="15" spans="1:6" x14ac:dyDescent="0.2">
      <c r="A15" s="1" t="s">
        <v>13</v>
      </c>
      <c r="B15" s="5">
        <f>$F$3+$B$10*A5-B5</f>
        <v>200000001.40000001</v>
      </c>
      <c r="C15" s="5">
        <f t="shared" ref="C15:C17" si="0">$F$3+$F$5*A5-B5</f>
        <v>200000014</v>
      </c>
      <c r="D15" s="53"/>
      <c r="E15" s="54"/>
      <c r="F15" s="55"/>
    </row>
    <row r="16" spans="1:6" x14ac:dyDescent="0.2">
      <c r="A16" s="1" t="s">
        <v>14</v>
      </c>
      <c r="B16" s="5">
        <f t="shared" ref="B16:B17" si="1">$F$3+$B$10*A6-B6</f>
        <v>199999999.80000001</v>
      </c>
      <c r="C16" s="5">
        <f t="shared" si="0"/>
        <v>200000025</v>
      </c>
      <c r="D16" s="53"/>
      <c r="E16" s="54"/>
      <c r="F16" s="55"/>
    </row>
    <row r="17" spans="1:6" x14ac:dyDescent="0.2">
      <c r="A17" s="1" t="s">
        <v>15</v>
      </c>
      <c r="B17" s="5">
        <f t="shared" si="1"/>
        <v>199999993.19999999</v>
      </c>
      <c r="C17" s="5">
        <f t="shared" si="0"/>
        <v>200000031</v>
      </c>
      <c r="D17" s="56"/>
      <c r="E17" s="57"/>
      <c r="F17" s="58"/>
    </row>
  </sheetData>
  <mergeCells count="7">
    <mergeCell ref="A2:F2"/>
    <mergeCell ref="A1:F1"/>
    <mergeCell ref="D13:F17"/>
    <mergeCell ref="D5:D7"/>
    <mergeCell ref="D3:E3"/>
    <mergeCell ref="A12:F12"/>
    <mergeCell ref="A9:B9"/>
  </mergeCells>
  <conditionalFormatting sqref="B14:B17">
    <cfRule type="iconSet" priority="3">
      <iconSet>
        <cfvo type="percent" val="0"/>
        <cfvo type="num" val="$B$17"/>
        <cfvo type="num" val="$B$15"/>
      </iconSet>
    </cfRule>
  </conditionalFormatting>
  <conditionalFormatting sqref="C14:C17">
    <cfRule type="iconSet" priority="1">
      <iconSet>
        <cfvo type="percent" val="0"/>
        <cfvo type="num" val="$C$14"/>
        <cfvo type="num" val="$C$1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D83B5-1A71-5246-9A38-082525FCCCAC}">
  <sheetPr>
    <tabColor rgb="FF92D050"/>
  </sheetPr>
  <dimension ref="A1:E9"/>
  <sheetViews>
    <sheetView zoomScale="197" zoomScaleNormal="197" workbookViewId="0">
      <pane ySplit="1" topLeftCell="A2" activePane="bottomLeft" state="frozen"/>
      <selection pane="bottomLeft" activeCell="D9" sqref="D9"/>
    </sheetView>
  </sheetViews>
  <sheetFormatPr baseColWidth="10" defaultRowHeight="16" x14ac:dyDescent="0.2"/>
  <cols>
    <col min="1" max="2" width="14.33203125" bestFit="1" customWidth="1"/>
    <col min="3" max="6" width="13.1640625" bestFit="1" customWidth="1"/>
    <col min="7" max="7" width="11.6640625" bestFit="1" customWidth="1"/>
  </cols>
  <sheetData>
    <row r="1" spans="1:5" x14ac:dyDescent="0.2">
      <c r="A1" s="46" t="s">
        <v>1</v>
      </c>
      <c r="B1" s="46"/>
      <c r="C1" s="46"/>
      <c r="D1" s="46"/>
    </row>
    <row r="2" spans="1:5" x14ac:dyDescent="0.2">
      <c r="A2" s="49" t="s">
        <v>6</v>
      </c>
      <c r="B2" s="1" t="s">
        <v>25</v>
      </c>
      <c r="C2" s="1" t="s">
        <v>26</v>
      </c>
      <c r="D2" s="1" t="s">
        <v>18</v>
      </c>
    </row>
    <row r="3" spans="1:5" x14ac:dyDescent="0.2">
      <c r="A3" s="49"/>
      <c r="B3" s="5">
        <v>50000000</v>
      </c>
      <c r="C3" s="6" t="s">
        <v>27</v>
      </c>
      <c r="D3" s="6">
        <v>0.15</v>
      </c>
    </row>
    <row r="4" spans="1:5" x14ac:dyDescent="0.2">
      <c r="A4" s="4"/>
      <c r="B4" s="4"/>
      <c r="C4" s="4"/>
      <c r="D4" s="4"/>
    </row>
    <row r="5" spans="1:5" x14ac:dyDescent="0.2">
      <c r="A5" s="2" t="s">
        <v>32</v>
      </c>
      <c r="B5" s="2">
        <v>1</v>
      </c>
      <c r="C5" s="2">
        <v>2</v>
      </c>
      <c r="D5" s="2">
        <v>3</v>
      </c>
    </row>
    <row r="6" spans="1:5" x14ac:dyDescent="0.2">
      <c r="A6" s="1" t="s">
        <v>34</v>
      </c>
      <c r="B6" s="6">
        <v>0.02</v>
      </c>
      <c r="C6" s="6">
        <v>1.4999999999999999E-2</v>
      </c>
      <c r="D6" s="6">
        <v>1.4999999999999999E-2</v>
      </c>
    </row>
    <row r="7" spans="1:5" x14ac:dyDescent="0.2">
      <c r="A7" s="1" t="s">
        <v>30</v>
      </c>
      <c r="B7" s="5">
        <f>B3*B6</f>
        <v>1000000</v>
      </c>
      <c r="C7" s="5">
        <f>B3*C6</f>
        <v>750000</v>
      </c>
      <c r="D7" s="5">
        <f>B3*D6</f>
        <v>750000</v>
      </c>
      <c r="E7" s="9"/>
    </row>
    <row r="8" spans="1:5" x14ac:dyDescent="0.2">
      <c r="A8" s="1" t="s">
        <v>28</v>
      </c>
      <c r="B8" s="5">
        <f>B7*D3</f>
        <v>150000</v>
      </c>
      <c r="C8" s="5">
        <f>C7*D3</f>
        <v>112500</v>
      </c>
      <c r="D8" s="5">
        <f>D7*D3</f>
        <v>112500</v>
      </c>
    </row>
    <row r="9" spans="1:5" x14ac:dyDescent="0.2">
      <c r="A9" s="1" t="s">
        <v>29</v>
      </c>
      <c r="B9" s="5">
        <f>B3*D3</f>
        <v>7500000</v>
      </c>
      <c r="C9" s="5">
        <f>B3*D3</f>
        <v>7500000</v>
      </c>
      <c r="D9" s="5">
        <f>D8/D6</f>
        <v>7500000</v>
      </c>
      <c r="E9" s="9"/>
    </row>
  </sheetData>
  <mergeCells count="2">
    <mergeCell ref="A2:A3"/>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FF5B-5928-834D-B02F-3CCBD58FA473}">
  <sheetPr>
    <tabColor rgb="FF7030A0"/>
  </sheetPr>
  <dimension ref="A1:E27"/>
  <sheetViews>
    <sheetView tabSelected="1" zoomScale="146" zoomScaleNormal="146" workbookViewId="0">
      <pane ySplit="1" topLeftCell="A7" activePane="bottomLeft" state="frozen"/>
      <selection pane="bottomLeft" activeCell="E8" sqref="E8"/>
    </sheetView>
  </sheetViews>
  <sheetFormatPr baseColWidth="10" defaultRowHeight="16" x14ac:dyDescent="0.2"/>
  <cols>
    <col min="1" max="1" width="32.1640625" customWidth="1"/>
    <col min="2" max="2" width="19.1640625" customWidth="1"/>
    <col min="4" max="4" width="16.5" customWidth="1"/>
    <col min="5" max="5" width="19" customWidth="1"/>
  </cols>
  <sheetData>
    <row r="1" spans="1:5" x14ac:dyDescent="0.2">
      <c r="A1" s="46" t="s">
        <v>2</v>
      </c>
      <c r="B1" s="46"/>
      <c r="C1" s="46"/>
      <c r="D1" s="46"/>
      <c r="E1" s="46"/>
    </row>
    <row r="2" spans="1:5" x14ac:dyDescent="0.2">
      <c r="A2" s="45" t="s">
        <v>6</v>
      </c>
      <c r="B2" s="45"/>
      <c r="D2" s="48" t="s">
        <v>10</v>
      </c>
      <c r="E2" s="48"/>
    </row>
    <row r="3" spans="1:5" x14ac:dyDescent="0.2">
      <c r="A3" s="1" t="s">
        <v>35</v>
      </c>
      <c r="B3" s="20">
        <v>105000000</v>
      </c>
      <c r="D3" s="1" t="s">
        <v>58</v>
      </c>
      <c r="E3" s="20">
        <f>B11</f>
        <v>130000000</v>
      </c>
    </row>
    <row r="4" spans="1:5" x14ac:dyDescent="0.2">
      <c r="A4" s="1" t="s">
        <v>36</v>
      </c>
      <c r="B4" s="6" t="s">
        <v>37</v>
      </c>
    </row>
    <row r="5" spans="1:5" x14ac:dyDescent="0.2">
      <c r="A5" s="1" t="s">
        <v>50</v>
      </c>
      <c r="B5" s="6">
        <v>0.06</v>
      </c>
      <c r="D5" s="48" t="s">
        <v>31</v>
      </c>
      <c r="E5" s="48"/>
    </row>
    <row r="6" spans="1:5" x14ac:dyDescent="0.2">
      <c r="A6" s="1" t="s">
        <v>42</v>
      </c>
      <c r="B6" s="20">
        <v>120750000</v>
      </c>
      <c r="D6" s="1" t="s">
        <v>46</v>
      </c>
      <c r="E6" s="20">
        <f>E3-B3</f>
        <v>25000000</v>
      </c>
    </row>
    <row r="7" spans="1:5" x14ac:dyDescent="0.2">
      <c r="A7" s="1" t="s">
        <v>38</v>
      </c>
      <c r="B7" s="6">
        <v>0.4</v>
      </c>
      <c r="D7" s="1" t="s">
        <v>49</v>
      </c>
      <c r="E7" s="6">
        <f>(B9*B7+B10*B8)/E3-1</f>
        <v>0.10000000000000009</v>
      </c>
    </row>
    <row r="8" spans="1:5" x14ac:dyDescent="0.2">
      <c r="A8" s="1" t="s">
        <v>39</v>
      </c>
      <c r="B8" s="6">
        <f>1-B7</f>
        <v>0.6</v>
      </c>
      <c r="D8" s="1" t="s">
        <v>48</v>
      </c>
      <c r="E8" s="6">
        <f>E7+B3/E6*(E7-B5)</f>
        <v>0.26800000000000046</v>
      </c>
    </row>
    <row r="9" spans="1:5" ht="17" x14ac:dyDescent="0.2">
      <c r="A9" s="3" t="s">
        <v>44</v>
      </c>
      <c r="B9" s="20">
        <v>200000000</v>
      </c>
    </row>
    <row r="10" spans="1:5" ht="16" customHeight="1" x14ac:dyDescent="0.2">
      <c r="A10" s="3" t="s">
        <v>45</v>
      </c>
      <c r="B10" s="20">
        <v>105000000</v>
      </c>
      <c r="D10" s="48" t="s">
        <v>33</v>
      </c>
      <c r="E10" s="48"/>
    </row>
    <row r="11" spans="1:5" x14ac:dyDescent="0.2">
      <c r="A11" s="16" t="s">
        <v>22</v>
      </c>
      <c r="B11" s="21">
        <v>130000000</v>
      </c>
      <c r="D11" s="49" t="s">
        <v>55</v>
      </c>
      <c r="E11" s="49"/>
    </row>
    <row r="12" spans="1:5" x14ac:dyDescent="0.2">
      <c r="A12" s="1" t="s">
        <v>51</v>
      </c>
      <c r="B12" s="20">
        <f>B10*0.2</f>
        <v>21000000</v>
      </c>
      <c r="D12" s="1" t="s">
        <v>40</v>
      </c>
      <c r="E12" s="17" t="s">
        <v>41</v>
      </c>
    </row>
    <row r="13" spans="1:5" x14ac:dyDescent="0.2">
      <c r="A13" s="1" t="s">
        <v>57</v>
      </c>
      <c r="B13" s="20">
        <f>B10-B12</f>
        <v>84000000</v>
      </c>
      <c r="D13" s="10"/>
      <c r="E13" s="22">
        <f>D15*(1+B5)</f>
        <v>111300000</v>
      </c>
    </row>
    <row r="14" spans="1:5" x14ac:dyDescent="0.2">
      <c r="D14" s="15" t="s">
        <v>43</v>
      </c>
      <c r="E14" s="13"/>
    </row>
    <row r="15" spans="1:5" x14ac:dyDescent="0.2">
      <c r="D15" s="25">
        <f>B3</f>
        <v>105000000</v>
      </c>
      <c r="E15" s="12"/>
    </row>
    <row r="16" spans="1:5" x14ac:dyDescent="0.2">
      <c r="D16" s="11"/>
      <c r="E16" s="12" t="s">
        <v>60</v>
      </c>
    </row>
    <row r="17" spans="1:5" x14ac:dyDescent="0.2">
      <c r="D17" s="14"/>
      <c r="E17" s="23">
        <f>B13</f>
        <v>84000000</v>
      </c>
    </row>
    <row r="18" spans="1:5" x14ac:dyDescent="0.2">
      <c r="D18" s="1" t="s">
        <v>47</v>
      </c>
      <c r="E18" s="24">
        <f>(D15*(1+B5)-E17*B8)/B7</f>
        <v>152250000</v>
      </c>
    </row>
    <row r="20" spans="1:5" x14ac:dyDescent="0.2">
      <c r="A20" s="48" t="s">
        <v>53</v>
      </c>
      <c r="B20" s="48"/>
      <c r="D20" s="48" t="s">
        <v>52</v>
      </c>
      <c r="E20" s="48"/>
    </row>
    <row r="21" spans="1:5" x14ac:dyDescent="0.2">
      <c r="A21" s="1" t="s">
        <v>58</v>
      </c>
      <c r="B21" s="20">
        <f>D25+B3</f>
        <v>120063091.48264983</v>
      </c>
      <c r="D21" s="49" t="s">
        <v>54</v>
      </c>
      <c r="E21" s="49"/>
    </row>
    <row r="22" spans="1:5" x14ac:dyDescent="0.2">
      <c r="A22" s="1" t="s">
        <v>59</v>
      </c>
      <c r="B22" s="20">
        <f>E3-B21</f>
        <v>9936908.517350167</v>
      </c>
      <c r="D22" s="1" t="s">
        <v>40</v>
      </c>
      <c r="E22" s="1" t="s">
        <v>41</v>
      </c>
    </row>
    <row r="23" spans="1:5" x14ac:dyDescent="0.2">
      <c r="A23" s="47" t="s">
        <v>56</v>
      </c>
      <c r="B23" s="47"/>
      <c r="D23" s="10"/>
      <c r="E23" s="22">
        <f>B9-E18</f>
        <v>47750000</v>
      </c>
    </row>
    <row r="24" spans="1:5" x14ac:dyDescent="0.2">
      <c r="A24" s="47"/>
      <c r="B24" s="47"/>
      <c r="D24" s="11"/>
      <c r="E24" s="26" t="s">
        <v>62</v>
      </c>
    </row>
    <row r="25" spans="1:5" x14ac:dyDescent="0.2">
      <c r="A25" s="47"/>
      <c r="B25" s="47"/>
      <c r="D25" s="25">
        <f>(E23*B7+E27*B8)/(1+E8)</f>
        <v>15063091.482649837</v>
      </c>
      <c r="E25" s="12"/>
    </row>
    <row r="26" spans="1:5" x14ac:dyDescent="0.2">
      <c r="A26" s="47"/>
      <c r="B26" s="47"/>
      <c r="D26" s="11"/>
      <c r="E26" s="18" t="s">
        <v>61</v>
      </c>
    </row>
    <row r="27" spans="1:5" x14ac:dyDescent="0.2">
      <c r="A27" s="47"/>
      <c r="B27" s="47"/>
      <c r="D27" s="14"/>
      <c r="E27" s="27">
        <f>B13-E17</f>
        <v>0</v>
      </c>
    </row>
  </sheetData>
  <mergeCells count="10">
    <mergeCell ref="A2:B2"/>
    <mergeCell ref="A1:E1"/>
    <mergeCell ref="A23:B27"/>
    <mergeCell ref="A20:B20"/>
    <mergeCell ref="D20:E20"/>
    <mergeCell ref="D10:E10"/>
    <mergeCell ref="D5:E5"/>
    <mergeCell ref="D2:E2"/>
    <mergeCell ref="D21:E21"/>
    <mergeCell ref="D11:E11"/>
  </mergeCells>
  <conditionalFormatting sqref="E13 E18">
    <cfRule type="iconSet" priority="1">
      <iconSet iconSet="3Symbols2">
        <cfvo type="percent" val="0"/>
        <cfvo type="percent" val="33"/>
        <cfvo type="percent" val="67"/>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07C1-7EE6-C94F-A6E8-3905047756BE}">
  <sheetPr>
    <tabColor rgb="FFFFFF00"/>
  </sheetPr>
  <dimension ref="A1:J23"/>
  <sheetViews>
    <sheetView zoomScale="139" zoomScaleNormal="139" workbookViewId="0">
      <pane ySplit="1" topLeftCell="A2" activePane="bottomLeft" state="frozen"/>
      <selection pane="bottomLeft" activeCell="B15" sqref="B15"/>
    </sheetView>
  </sheetViews>
  <sheetFormatPr baseColWidth="10" defaultRowHeight="16" x14ac:dyDescent="0.2"/>
  <cols>
    <col min="1" max="1" width="18.1640625" customWidth="1"/>
    <col min="2" max="2" width="16.33203125" customWidth="1"/>
    <col min="3" max="3" width="21.1640625" customWidth="1"/>
    <col min="4" max="4" width="27.1640625" customWidth="1"/>
    <col min="7" max="7" width="14.5" customWidth="1"/>
    <col min="8" max="8" width="11.33203125" customWidth="1"/>
    <col min="9" max="9" width="19.6640625" customWidth="1"/>
  </cols>
  <sheetData>
    <row r="1" spans="1:10" x14ac:dyDescent="0.2">
      <c r="A1" s="46" t="s">
        <v>3</v>
      </c>
      <c r="B1" s="46"/>
      <c r="C1" s="46"/>
      <c r="D1" s="46"/>
      <c r="E1" s="46"/>
      <c r="F1" s="46"/>
      <c r="G1" s="46"/>
      <c r="H1" s="46"/>
      <c r="I1" s="46"/>
      <c r="J1" s="46"/>
    </row>
    <row r="2" spans="1:10" x14ac:dyDescent="0.2">
      <c r="A2" s="49" t="s">
        <v>6</v>
      </c>
      <c r="B2" s="49"/>
      <c r="C2" s="4"/>
      <c r="D2" s="48" t="s">
        <v>31</v>
      </c>
      <c r="E2" s="48"/>
      <c r="F2" s="4"/>
      <c r="G2" s="48" t="s">
        <v>33</v>
      </c>
      <c r="H2" s="48"/>
      <c r="I2" s="48"/>
      <c r="J2" s="48"/>
    </row>
    <row r="3" spans="1:10" ht="16" customHeight="1" x14ac:dyDescent="0.2">
      <c r="A3" s="1" t="s">
        <v>63</v>
      </c>
      <c r="B3" s="6">
        <v>300</v>
      </c>
      <c r="C3" s="4"/>
      <c r="D3" s="1" t="s">
        <v>71</v>
      </c>
      <c r="E3" s="6">
        <v>1</v>
      </c>
      <c r="F3" s="4"/>
      <c r="G3" s="66" t="s">
        <v>73</v>
      </c>
      <c r="H3" s="66"/>
      <c r="I3" s="66"/>
      <c r="J3" s="66"/>
    </row>
    <row r="4" spans="1:10" x14ac:dyDescent="0.2">
      <c r="A4" s="1" t="s">
        <v>95</v>
      </c>
      <c r="B4" s="6">
        <v>0.1</v>
      </c>
      <c r="C4" s="4"/>
      <c r="D4" s="1" t="s">
        <v>70</v>
      </c>
      <c r="E4" s="6">
        <f>B3-E3</f>
        <v>299</v>
      </c>
      <c r="F4" s="4"/>
      <c r="G4" s="66"/>
      <c r="H4" s="66"/>
      <c r="I4" s="66"/>
      <c r="J4" s="66"/>
    </row>
    <row r="5" spans="1:10" ht="33" customHeight="1" x14ac:dyDescent="0.2">
      <c r="A5" s="1" t="s">
        <v>18</v>
      </c>
      <c r="B5" s="6">
        <v>0.5</v>
      </c>
      <c r="C5" s="4"/>
      <c r="D5" s="65" t="s">
        <v>72</v>
      </c>
      <c r="E5" s="65"/>
      <c r="F5" s="4"/>
      <c r="G5" s="66"/>
      <c r="H5" s="66"/>
      <c r="I5" s="66"/>
      <c r="J5" s="66"/>
    </row>
    <row r="6" spans="1:10" x14ac:dyDescent="0.2">
      <c r="A6" s="4"/>
      <c r="B6" s="4"/>
      <c r="C6" s="4"/>
      <c r="D6" s="65"/>
      <c r="E6" s="65"/>
      <c r="F6" s="4"/>
      <c r="G6" s="30"/>
      <c r="H6" s="31"/>
      <c r="I6" s="31"/>
      <c r="J6" s="32"/>
    </row>
    <row r="7" spans="1:10" ht="17" customHeight="1" x14ac:dyDescent="0.2">
      <c r="A7" s="49" t="s">
        <v>96</v>
      </c>
      <c r="B7" s="49"/>
      <c r="C7" s="4"/>
      <c r="D7" s="65"/>
      <c r="E7" s="65"/>
      <c r="F7" s="4"/>
      <c r="G7" s="3" t="s">
        <v>76</v>
      </c>
      <c r="H7" s="29" t="s">
        <v>77</v>
      </c>
      <c r="I7" s="3" t="s">
        <v>78</v>
      </c>
      <c r="J7" s="29" t="s">
        <v>79</v>
      </c>
    </row>
    <row r="8" spans="1:10" ht="16" customHeight="1" x14ac:dyDescent="0.2">
      <c r="A8" s="1" t="s">
        <v>64</v>
      </c>
      <c r="B8" s="6">
        <v>0</v>
      </c>
      <c r="C8" s="4"/>
      <c r="D8" s="65"/>
      <c r="E8" s="65"/>
      <c r="F8" s="4"/>
      <c r="G8" s="33" t="s">
        <v>80</v>
      </c>
      <c r="H8" s="33" t="s">
        <v>84</v>
      </c>
      <c r="I8" s="62" t="s">
        <v>100</v>
      </c>
      <c r="J8" s="62"/>
    </row>
    <row r="9" spans="1:10" ht="17" x14ac:dyDescent="0.2">
      <c r="A9" s="1" t="s">
        <v>65</v>
      </c>
      <c r="B9" s="6">
        <v>0.4</v>
      </c>
      <c r="C9" s="4"/>
      <c r="D9" s="65"/>
      <c r="E9" s="65"/>
      <c r="F9" s="4"/>
      <c r="G9" s="33" t="s">
        <v>81</v>
      </c>
      <c r="H9" s="34" t="s">
        <v>85</v>
      </c>
      <c r="I9" s="63" t="s">
        <v>89</v>
      </c>
      <c r="J9" s="63"/>
    </row>
    <row r="10" spans="1:10" ht="16" customHeight="1" x14ac:dyDescent="0.2">
      <c r="A10" s="1" t="s">
        <v>66</v>
      </c>
      <c r="B10" s="6">
        <v>0.6</v>
      </c>
      <c r="C10" s="4"/>
      <c r="D10" s="65"/>
      <c r="E10" s="65"/>
      <c r="F10" s="4"/>
      <c r="G10" s="33" t="s">
        <v>82</v>
      </c>
      <c r="H10" s="33" t="s">
        <v>86</v>
      </c>
      <c r="I10" s="63" t="s">
        <v>90</v>
      </c>
      <c r="J10" s="63"/>
    </row>
    <row r="11" spans="1:10" ht="16" customHeight="1" x14ac:dyDescent="0.2">
      <c r="A11" s="4"/>
      <c r="B11" s="4"/>
      <c r="C11" s="4"/>
      <c r="D11" s="35" t="s">
        <v>98</v>
      </c>
      <c r="E11" s="36">
        <f>B4-B8</f>
        <v>0.1</v>
      </c>
      <c r="F11" s="4"/>
      <c r="G11" s="33" t="s">
        <v>93</v>
      </c>
      <c r="H11" s="33" t="s">
        <v>87</v>
      </c>
      <c r="I11" s="64" t="s">
        <v>91</v>
      </c>
      <c r="J11" s="64"/>
    </row>
    <row r="12" spans="1:10" ht="17" x14ac:dyDescent="0.2">
      <c r="A12" s="60" t="s">
        <v>10</v>
      </c>
      <c r="B12" s="61"/>
      <c r="C12" s="4"/>
      <c r="D12" s="1" t="s">
        <v>101</v>
      </c>
      <c r="E12" s="6">
        <f>E3/E11</f>
        <v>10</v>
      </c>
      <c r="F12" s="4"/>
      <c r="G12" s="33" t="s">
        <v>83</v>
      </c>
      <c r="H12" s="33" t="s">
        <v>88</v>
      </c>
      <c r="I12" s="64" t="s">
        <v>92</v>
      </c>
      <c r="J12" s="64"/>
    </row>
    <row r="13" spans="1:10" ht="17" x14ac:dyDescent="0.2">
      <c r="A13" s="1" t="s">
        <v>97</v>
      </c>
      <c r="B13" s="6">
        <f>B4</f>
        <v>0.1</v>
      </c>
      <c r="C13" s="4"/>
      <c r="D13" s="3" t="s">
        <v>69</v>
      </c>
      <c r="E13" s="37">
        <f>E12*B5</f>
        <v>5</v>
      </c>
      <c r="F13" s="4"/>
      <c r="G13" s="38"/>
      <c r="H13" s="39"/>
      <c r="I13" s="39"/>
      <c r="J13" s="40"/>
    </row>
    <row r="14" spans="1:10" ht="17" customHeight="1" x14ac:dyDescent="0.2">
      <c r="A14" s="1" t="s">
        <v>67</v>
      </c>
      <c r="B14" s="7">
        <f>B5*B3</f>
        <v>150</v>
      </c>
      <c r="C14" s="4"/>
      <c r="D14" s="4"/>
      <c r="E14" s="4"/>
      <c r="F14" s="4"/>
      <c r="G14" s="69" t="s">
        <v>99</v>
      </c>
      <c r="H14" s="69"/>
      <c r="I14" s="69"/>
      <c r="J14" s="7">
        <f>600+1200</f>
        <v>1800</v>
      </c>
    </row>
    <row r="15" spans="1:10" x14ac:dyDescent="0.2">
      <c r="A15" s="1" t="s">
        <v>74</v>
      </c>
      <c r="B15" s="7">
        <f>B14/B13</f>
        <v>1500</v>
      </c>
      <c r="C15" s="4"/>
      <c r="D15" s="4"/>
      <c r="E15" s="4"/>
      <c r="F15" s="4"/>
      <c r="G15" s="69" t="s">
        <v>94</v>
      </c>
      <c r="H15" s="69"/>
      <c r="I15" s="69"/>
      <c r="J15" s="7">
        <f>B5*600</f>
        <v>300</v>
      </c>
    </row>
    <row r="16" spans="1:10" x14ac:dyDescent="0.2">
      <c r="A16" s="1" t="s">
        <v>68</v>
      </c>
      <c r="B16" s="7">
        <f>B15</f>
        <v>1500</v>
      </c>
      <c r="C16" s="4"/>
      <c r="D16" s="4"/>
      <c r="E16" s="4"/>
      <c r="F16" s="4"/>
      <c r="G16" s="4"/>
      <c r="H16" s="4"/>
      <c r="I16" s="4"/>
      <c r="J16" s="4"/>
    </row>
    <row r="17" spans="1:10" x14ac:dyDescent="0.2">
      <c r="A17" s="4"/>
      <c r="B17" s="4"/>
      <c r="C17" s="4"/>
      <c r="D17" s="4"/>
      <c r="E17" s="4"/>
      <c r="F17" s="4"/>
      <c r="G17" s="4"/>
      <c r="H17" s="4"/>
      <c r="I17" s="4"/>
      <c r="J17" s="4"/>
    </row>
    <row r="18" spans="1:10" x14ac:dyDescent="0.2">
      <c r="A18" s="68" t="s">
        <v>52</v>
      </c>
      <c r="B18" s="68"/>
      <c r="C18" s="68"/>
      <c r="D18" s="68"/>
      <c r="E18" s="68"/>
      <c r="F18" s="68"/>
      <c r="G18" s="68"/>
      <c r="H18" s="68"/>
      <c r="I18" s="68"/>
      <c r="J18" s="68"/>
    </row>
    <row r="19" spans="1:10" ht="16" customHeight="1" x14ac:dyDescent="0.2">
      <c r="A19" s="1" t="s">
        <v>104</v>
      </c>
      <c r="B19" s="1" t="s">
        <v>102</v>
      </c>
      <c r="C19" s="1" t="s">
        <v>105</v>
      </c>
      <c r="D19" s="67" t="s">
        <v>103</v>
      </c>
      <c r="E19" s="67"/>
      <c r="F19" s="67"/>
      <c r="G19" s="67"/>
      <c r="H19" s="67"/>
      <c r="I19" s="67"/>
      <c r="J19" s="67"/>
    </row>
    <row r="20" spans="1:10" x14ac:dyDescent="0.2">
      <c r="A20" s="1" t="s">
        <v>64</v>
      </c>
      <c r="B20" s="7">
        <f>$B$4/(1-B8)</f>
        <v>0.1</v>
      </c>
      <c r="C20" s="6">
        <f>$B$4*(1-B8)</f>
        <v>0.1</v>
      </c>
      <c r="D20" s="67"/>
      <c r="E20" s="67"/>
      <c r="F20" s="67"/>
      <c r="G20" s="67"/>
      <c r="H20" s="67"/>
      <c r="I20" s="67"/>
      <c r="J20" s="67"/>
    </row>
    <row r="21" spans="1:10" x14ac:dyDescent="0.2">
      <c r="A21" s="1" t="s">
        <v>65</v>
      </c>
      <c r="B21" s="41">
        <f>$B$4/(1-B9)</f>
        <v>0.16666666666666669</v>
      </c>
      <c r="C21" s="6">
        <f>$B$4*(1-B9)</f>
        <v>0.06</v>
      </c>
      <c r="D21" s="67"/>
      <c r="E21" s="67"/>
      <c r="F21" s="67"/>
      <c r="G21" s="67"/>
      <c r="H21" s="67"/>
      <c r="I21" s="67"/>
      <c r="J21" s="67"/>
    </row>
    <row r="22" spans="1:10" x14ac:dyDescent="0.2">
      <c r="A22" s="1" t="s">
        <v>66</v>
      </c>
      <c r="B22" s="7">
        <f>$B$4/(1-B10)</f>
        <v>0.25</v>
      </c>
      <c r="C22" s="6">
        <f>$B$4*(1-B10)</f>
        <v>4.0000000000000008E-2</v>
      </c>
      <c r="D22" s="67"/>
      <c r="E22" s="67"/>
      <c r="F22" s="67"/>
      <c r="G22" s="67"/>
      <c r="H22" s="67"/>
      <c r="I22" s="67"/>
      <c r="J22" s="67"/>
    </row>
    <row r="23" spans="1:10" x14ac:dyDescent="0.2">
      <c r="D23" s="28"/>
      <c r="E23" s="28"/>
      <c r="F23" s="28"/>
      <c r="G23" s="28"/>
      <c r="H23" s="28"/>
      <c r="I23" s="28"/>
      <c r="J23" s="28"/>
    </row>
  </sheetData>
  <mergeCells count="17">
    <mergeCell ref="D19:J22"/>
    <mergeCell ref="A18:J18"/>
    <mergeCell ref="G2:J2"/>
    <mergeCell ref="D2:E2"/>
    <mergeCell ref="A2:B2"/>
    <mergeCell ref="G15:I15"/>
    <mergeCell ref="G14:I14"/>
    <mergeCell ref="A1:J1"/>
    <mergeCell ref="A12:B12"/>
    <mergeCell ref="I8:J8"/>
    <mergeCell ref="I9:J9"/>
    <mergeCell ref="I10:J10"/>
    <mergeCell ref="I11:J11"/>
    <mergeCell ref="I12:J12"/>
    <mergeCell ref="A7:B7"/>
    <mergeCell ref="D5:E10"/>
    <mergeCell ref="G3:J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E9D3-7160-F744-8F1B-4907DBB32C6E}">
  <sheetPr>
    <tabColor rgb="FFFF0000"/>
  </sheetPr>
  <dimension ref="A1:L23"/>
  <sheetViews>
    <sheetView zoomScale="138" zoomScaleNormal="138" workbookViewId="0">
      <pane ySplit="1" topLeftCell="A2" activePane="bottomLeft" state="frozen"/>
      <selection pane="bottomLeft" activeCell="M13" sqref="M13"/>
    </sheetView>
  </sheetViews>
  <sheetFormatPr baseColWidth="10" defaultRowHeight="16" x14ac:dyDescent="0.2"/>
  <cols>
    <col min="1" max="1" width="15.6640625" bestFit="1" customWidth="1"/>
    <col min="3" max="3" width="13.1640625" bestFit="1" customWidth="1"/>
    <col min="4" max="4" width="15.83203125" bestFit="1" customWidth="1"/>
    <col min="7" max="7" width="15.6640625" bestFit="1" customWidth="1"/>
    <col min="8" max="8" width="12.1640625" bestFit="1" customWidth="1"/>
    <col min="9" max="9" width="10.83203125" customWidth="1"/>
    <col min="10" max="10" width="15" customWidth="1"/>
    <col min="11" max="11" width="17" bestFit="1" customWidth="1"/>
    <col min="12" max="12" width="13.5" bestFit="1" customWidth="1"/>
  </cols>
  <sheetData>
    <row r="1" spans="1:12" x14ac:dyDescent="0.2">
      <c r="A1" s="46" t="s">
        <v>4</v>
      </c>
      <c r="B1" s="46"/>
      <c r="C1" s="46"/>
      <c r="D1" s="46"/>
      <c r="E1" s="46"/>
      <c r="F1" s="46"/>
      <c r="G1" s="46"/>
      <c r="H1" s="46"/>
      <c r="I1" s="46"/>
      <c r="J1" s="46"/>
      <c r="K1" s="46"/>
      <c r="L1" s="46"/>
    </row>
    <row r="2" spans="1:12" x14ac:dyDescent="0.2">
      <c r="A2" s="49" t="s">
        <v>6</v>
      </c>
      <c r="B2" s="49"/>
      <c r="C2" s="49"/>
      <c r="D2" s="49"/>
      <c r="E2" s="49"/>
      <c r="F2" s="4"/>
      <c r="G2" s="48" t="s">
        <v>31</v>
      </c>
      <c r="H2" s="48"/>
      <c r="I2" s="48"/>
      <c r="J2" s="48"/>
      <c r="K2" s="48"/>
      <c r="L2" s="4"/>
    </row>
    <row r="3" spans="1:12" x14ac:dyDescent="0.2">
      <c r="A3" s="1" t="s">
        <v>131</v>
      </c>
      <c r="B3" s="1" t="s">
        <v>132</v>
      </c>
      <c r="C3" s="1" t="s">
        <v>133</v>
      </c>
      <c r="D3" s="4"/>
      <c r="E3" s="1" t="s">
        <v>95</v>
      </c>
      <c r="F3" s="4"/>
      <c r="G3" s="1" t="s">
        <v>119</v>
      </c>
      <c r="H3" s="1" t="s">
        <v>117</v>
      </c>
      <c r="I3" s="1" t="s">
        <v>95</v>
      </c>
      <c r="J3" s="1" t="s">
        <v>48</v>
      </c>
      <c r="K3" s="1" t="s">
        <v>158</v>
      </c>
      <c r="L3" s="4"/>
    </row>
    <row r="4" spans="1:12" x14ac:dyDescent="0.2">
      <c r="A4" s="1" t="s">
        <v>135</v>
      </c>
      <c r="B4" s="6">
        <v>150</v>
      </c>
      <c r="C4" s="6">
        <v>0.7</v>
      </c>
      <c r="D4" s="4"/>
      <c r="E4" s="6">
        <v>0.1</v>
      </c>
      <c r="F4" s="4"/>
      <c r="G4" s="6">
        <v>1.2</v>
      </c>
      <c r="H4" s="6">
        <v>0.15</v>
      </c>
      <c r="I4" s="6">
        <v>0.1</v>
      </c>
      <c r="J4" s="6">
        <f>I4+G4*(H4-I4)</f>
        <v>0.15999999999999998</v>
      </c>
      <c r="K4" s="6">
        <f>J4</f>
        <v>0.15999999999999998</v>
      </c>
      <c r="L4" s="4"/>
    </row>
    <row r="5" spans="1:12" x14ac:dyDescent="0.2">
      <c r="A5" s="1" t="s">
        <v>134</v>
      </c>
      <c r="B5" s="6">
        <v>50</v>
      </c>
      <c r="C5" s="6">
        <v>0.3</v>
      </c>
      <c r="D5" s="4"/>
      <c r="E5" s="4"/>
      <c r="F5" s="4"/>
      <c r="G5" s="4"/>
      <c r="H5" s="4"/>
      <c r="I5" s="4"/>
      <c r="J5" s="4"/>
      <c r="K5" s="4"/>
      <c r="L5" s="4"/>
    </row>
    <row r="6" spans="1:12" x14ac:dyDescent="0.2">
      <c r="A6" s="4"/>
      <c r="B6" s="4"/>
      <c r="C6" s="4"/>
      <c r="D6" s="4"/>
      <c r="E6" s="4"/>
      <c r="F6" s="4"/>
      <c r="G6" s="1"/>
      <c r="H6" s="1" t="s">
        <v>144</v>
      </c>
      <c r="I6" s="1" t="s">
        <v>142</v>
      </c>
      <c r="J6" s="1" t="s">
        <v>143</v>
      </c>
      <c r="K6" s="4"/>
      <c r="L6" s="4"/>
    </row>
    <row r="7" spans="1:12" x14ac:dyDescent="0.2">
      <c r="A7" s="4"/>
      <c r="B7" s="4"/>
      <c r="C7" s="4"/>
      <c r="D7" s="4"/>
      <c r="E7" s="4"/>
      <c r="F7" s="4"/>
      <c r="G7" s="1" t="s">
        <v>138</v>
      </c>
      <c r="H7" s="6">
        <f>(B12*$C$4+B13*$C$5)/(1+$J$4)</f>
        <v>103.44827586206897</v>
      </c>
      <c r="I7" s="6">
        <f>(C12*$C$4+C13*$C$5)/(1+K4)</f>
        <v>0</v>
      </c>
      <c r="J7" s="6">
        <f>H7+I7</f>
        <v>103.44827586206897</v>
      </c>
      <c r="K7" s="4"/>
      <c r="L7" s="4"/>
    </row>
    <row r="8" spans="1:12" x14ac:dyDescent="0.2">
      <c r="A8" s="4"/>
      <c r="B8" s="4"/>
      <c r="C8" s="4"/>
      <c r="D8" s="4"/>
      <c r="E8" s="4"/>
      <c r="F8" s="4"/>
      <c r="G8" s="1" t="s">
        <v>139</v>
      </c>
      <c r="H8" s="6">
        <f>(D12*$C$4+D13*$C$5)/(1+$K$4)</f>
        <v>54.310344827586206</v>
      </c>
      <c r="I8" s="44">
        <f>(E12*$C$4+E13*$C$5)/(1+$K$4)</f>
        <v>49.137931034482762</v>
      </c>
      <c r="J8" s="6">
        <f>H8+I8</f>
        <v>103.44827586206897</v>
      </c>
      <c r="K8" s="4"/>
      <c r="L8" s="4"/>
    </row>
    <row r="9" spans="1:12" x14ac:dyDescent="0.2">
      <c r="A9" s="48" t="s">
        <v>140</v>
      </c>
      <c r="B9" s="48"/>
      <c r="C9" s="48"/>
      <c r="D9" s="48"/>
      <c r="E9" s="48"/>
      <c r="F9" s="4"/>
      <c r="G9" s="4"/>
      <c r="H9" s="4"/>
      <c r="I9" s="4"/>
      <c r="J9" s="4"/>
      <c r="K9" s="4"/>
      <c r="L9" s="4"/>
    </row>
    <row r="10" spans="1:12" x14ac:dyDescent="0.2">
      <c r="A10" s="59" t="s">
        <v>131</v>
      </c>
      <c r="B10" s="70" t="s">
        <v>138</v>
      </c>
      <c r="C10" s="71"/>
      <c r="D10" s="70" t="s">
        <v>139</v>
      </c>
      <c r="E10" s="71"/>
      <c r="F10" s="4"/>
      <c r="G10" s="48" t="s">
        <v>33</v>
      </c>
      <c r="H10" s="48"/>
      <c r="I10" s="48"/>
      <c r="J10" s="48"/>
      <c r="K10" s="48"/>
      <c r="L10" s="48"/>
    </row>
    <row r="11" spans="1:12" x14ac:dyDescent="0.2">
      <c r="A11" s="59"/>
      <c r="B11" s="1" t="s">
        <v>136</v>
      </c>
      <c r="C11" s="1" t="s">
        <v>137</v>
      </c>
      <c r="D11" s="1" t="s">
        <v>136</v>
      </c>
      <c r="E11" s="1" t="s">
        <v>137</v>
      </c>
      <c r="F11" s="4"/>
      <c r="G11" s="1" t="s">
        <v>145</v>
      </c>
      <c r="H11" s="6">
        <v>100</v>
      </c>
      <c r="I11" s="4"/>
      <c r="J11" s="1" t="s">
        <v>151</v>
      </c>
      <c r="K11" s="1" t="s">
        <v>147</v>
      </c>
      <c r="L11" s="1" t="s">
        <v>148</v>
      </c>
    </row>
    <row r="12" spans="1:12" x14ac:dyDescent="0.2">
      <c r="A12" s="1" t="s">
        <v>135</v>
      </c>
      <c r="B12" s="6">
        <f>B4</f>
        <v>150</v>
      </c>
      <c r="C12" s="6">
        <v>0</v>
      </c>
      <c r="D12" s="6">
        <f>B4-E12</f>
        <v>90</v>
      </c>
      <c r="E12" s="6">
        <v>60</v>
      </c>
      <c r="F12" s="4"/>
      <c r="G12" s="1" t="s">
        <v>95</v>
      </c>
      <c r="H12" s="6">
        <v>0.1</v>
      </c>
      <c r="I12" s="4"/>
      <c r="J12" s="1" t="s">
        <v>149</v>
      </c>
      <c r="K12" s="6">
        <f>H11*(1-H13)*(1-H15)</f>
        <v>60</v>
      </c>
      <c r="L12" s="6">
        <f>(H11-H16*H17)*(1-H13)*(1-H15)</f>
        <v>56.400000000000006</v>
      </c>
    </row>
    <row r="13" spans="1:12" x14ac:dyDescent="0.2">
      <c r="A13" s="1" t="s">
        <v>134</v>
      </c>
      <c r="B13" s="6">
        <f>B5</f>
        <v>50</v>
      </c>
      <c r="C13" s="6">
        <v>0</v>
      </c>
      <c r="D13" s="6">
        <f>B5-E13</f>
        <v>0</v>
      </c>
      <c r="E13" s="6">
        <v>50</v>
      </c>
      <c r="F13" s="4"/>
      <c r="G13" s="1" t="s">
        <v>18</v>
      </c>
      <c r="H13" s="6">
        <v>0.2</v>
      </c>
      <c r="I13" s="4"/>
      <c r="J13" s="1" t="s">
        <v>150</v>
      </c>
      <c r="K13" s="6"/>
      <c r="L13" s="6">
        <f>H16*H17*(1-H14)</f>
        <v>4.1999999999999993</v>
      </c>
    </row>
    <row r="14" spans="1:12" x14ac:dyDescent="0.2">
      <c r="A14" s="4"/>
      <c r="B14" s="4"/>
      <c r="C14" s="4"/>
      <c r="D14" s="4"/>
      <c r="E14" s="4"/>
      <c r="F14" s="4"/>
      <c r="G14" s="1" t="s">
        <v>19</v>
      </c>
      <c r="H14" s="6">
        <v>0.3</v>
      </c>
      <c r="I14" s="4"/>
      <c r="J14" s="4"/>
      <c r="K14" s="4"/>
      <c r="L14" s="4"/>
    </row>
    <row r="15" spans="1:12" x14ac:dyDescent="0.2">
      <c r="A15" s="48" t="s">
        <v>141</v>
      </c>
      <c r="B15" s="48"/>
      <c r="C15" s="48"/>
      <c r="D15" s="48"/>
      <c r="E15" s="4"/>
      <c r="F15" s="4"/>
      <c r="G15" s="1" t="s">
        <v>20</v>
      </c>
      <c r="H15" s="6">
        <v>0.25</v>
      </c>
      <c r="I15" s="4"/>
      <c r="J15" s="1" t="s">
        <v>75</v>
      </c>
      <c r="K15" s="1" t="s">
        <v>147</v>
      </c>
      <c r="L15" s="1" t="s">
        <v>148</v>
      </c>
    </row>
    <row r="16" spans="1:12" x14ac:dyDescent="0.2">
      <c r="A16" s="1"/>
      <c r="B16" s="1" t="s">
        <v>144</v>
      </c>
      <c r="C16" s="1" t="s">
        <v>142</v>
      </c>
      <c r="D16" s="1" t="s">
        <v>143</v>
      </c>
      <c r="E16" s="4"/>
      <c r="F16" s="4"/>
      <c r="G16" s="1" t="s">
        <v>146</v>
      </c>
      <c r="H16" s="6">
        <v>60</v>
      </c>
      <c r="I16" s="4"/>
      <c r="J16" s="1" t="s">
        <v>152</v>
      </c>
      <c r="K16" s="6">
        <f>H12*(1-H14)</f>
        <v>6.9999999999999993E-2</v>
      </c>
      <c r="L16" s="6">
        <f>H12*(1-H14)</f>
        <v>6.9999999999999993E-2</v>
      </c>
    </row>
    <row r="17" spans="1:12" x14ac:dyDescent="0.2">
      <c r="A17" s="1" t="s">
        <v>138</v>
      </c>
      <c r="B17" s="6">
        <f>(B12*$C$4+B13*$C$5)/(1+$E$4)</f>
        <v>109.09090909090908</v>
      </c>
      <c r="C17" s="6">
        <f>(C12*$C$4+C13*$C$5)/(1+$E$4)</f>
        <v>0</v>
      </c>
      <c r="D17" s="6">
        <f>B17+C17</f>
        <v>109.09090909090908</v>
      </c>
      <c r="E17" s="4"/>
      <c r="F17" s="4"/>
      <c r="G17" s="1" t="s">
        <v>50</v>
      </c>
      <c r="H17" s="6">
        <v>0.1</v>
      </c>
      <c r="I17" s="4"/>
      <c r="J17" s="1" t="s">
        <v>153</v>
      </c>
      <c r="K17" s="6"/>
      <c r="L17" s="6">
        <f>H12*(1-H14)</f>
        <v>6.9999999999999993E-2</v>
      </c>
    </row>
    <row r="18" spans="1:12" x14ac:dyDescent="0.2">
      <c r="A18" s="1" t="s">
        <v>139</v>
      </c>
      <c r="B18" s="6">
        <f>(D12*$C$4+D13*$C$5)/(1+$E$4)</f>
        <v>57.272727272727259</v>
      </c>
      <c r="C18" s="6">
        <f>(E12*$C$4+E13*$C$5)/(1+$E$4)</f>
        <v>51.818181818181813</v>
      </c>
      <c r="D18" s="6">
        <f>B18+C18</f>
        <v>109.09090909090907</v>
      </c>
      <c r="E18" s="4"/>
      <c r="F18" s="4"/>
      <c r="G18" s="4"/>
      <c r="H18" s="4"/>
      <c r="I18" s="4"/>
      <c r="J18" s="4"/>
      <c r="K18" s="4"/>
      <c r="L18" s="4"/>
    </row>
    <row r="19" spans="1:12" x14ac:dyDescent="0.2">
      <c r="A19" s="4"/>
      <c r="B19" s="4"/>
      <c r="C19" s="4"/>
      <c r="D19" s="4"/>
      <c r="E19" s="4"/>
      <c r="F19" s="4"/>
      <c r="G19" s="4"/>
      <c r="H19" s="4"/>
      <c r="I19" s="4"/>
      <c r="J19" s="1" t="s">
        <v>154</v>
      </c>
      <c r="K19" s="1" t="s">
        <v>147</v>
      </c>
      <c r="L19" s="1" t="s">
        <v>148</v>
      </c>
    </row>
    <row r="20" spans="1:12" x14ac:dyDescent="0.2">
      <c r="A20" s="4"/>
      <c r="B20" s="4"/>
      <c r="C20" s="4"/>
      <c r="D20" s="4"/>
      <c r="E20" s="4"/>
      <c r="F20" s="4"/>
      <c r="G20" s="4"/>
      <c r="H20" s="4"/>
      <c r="I20" s="4"/>
      <c r="J20" s="1" t="s">
        <v>155</v>
      </c>
      <c r="K20" s="6">
        <f>K12/K16</f>
        <v>857.14285714285722</v>
      </c>
      <c r="L20" s="6">
        <f>L12/L16</f>
        <v>805.71428571428589</v>
      </c>
    </row>
    <row r="21" spans="1:12" x14ac:dyDescent="0.2">
      <c r="A21" s="4"/>
      <c r="B21" s="4"/>
      <c r="C21" s="4"/>
      <c r="D21" s="4"/>
      <c r="E21" s="4"/>
      <c r="F21" s="4"/>
      <c r="G21" s="4"/>
      <c r="H21" s="4"/>
      <c r="I21" s="4"/>
      <c r="J21" s="1" t="s">
        <v>143</v>
      </c>
      <c r="K21" s="6">
        <f>K20</f>
        <v>857.14285714285722</v>
      </c>
      <c r="L21" s="6">
        <f>L20+H16</f>
        <v>865.71428571428589</v>
      </c>
    </row>
    <row r="22" spans="1:12" x14ac:dyDescent="0.2">
      <c r="A22" s="4"/>
      <c r="B22" s="4"/>
      <c r="C22" s="4"/>
      <c r="D22" s="4"/>
      <c r="E22" s="4"/>
      <c r="F22" s="4"/>
      <c r="G22" s="4"/>
      <c r="H22" s="4"/>
      <c r="I22" s="4"/>
      <c r="J22" s="4"/>
      <c r="K22" s="4"/>
      <c r="L22" s="4"/>
    </row>
    <row r="23" spans="1:12" x14ac:dyDescent="0.2">
      <c r="A23" s="4"/>
      <c r="B23" s="4"/>
      <c r="C23" s="4"/>
      <c r="D23" s="4"/>
      <c r="E23" s="4"/>
      <c r="F23" s="4"/>
      <c r="G23" s="4"/>
      <c r="H23" s="4"/>
      <c r="I23" s="4"/>
      <c r="J23" s="1" t="s">
        <v>156</v>
      </c>
      <c r="K23" s="1" t="s">
        <v>157</v>
      </c>
      <c r="L23" s="6">
        <f>H16*(1-((1-H13)*(1-H15))/(1-H14))</f>
        <v>8.5714285714285605</v>
      </c>
    </row>
  </sheetData>
  <mergeCells count="9">
    <mergeCell ref="A15:D15"/>
    <mergeCell ref="B10:C10"/>
    <mergeCell ref="D10:E10"/>
    <mergeCell ref="A10:A11"/>
    <mergeCell ref="A1:L1"/>
    <mergeCell ref="A2:E2"/>
    <mergeCell ref="G10:L10"/>
    <mergeCell ref="G2:K2"/>
    <mergeCell ref="A9:E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3A92-CB89-4E4B-BC7F-67D304DE8774}">
  <sheetPr>
    <tabColor rgb="FFFFC000"/>
  </sheetPr>
  <dimension ref="A1:H15"/>
  <sheetViews>
    <sheetView zoomScale="192" zoomScaleNormal="192" workbookViewId="0">
      <pane ySplit="1" topLeftCell="A2" activePane="bottomLeft" state="frozen"/>
      <selection pane="bottomLeft" activeCell="H15" sqref="H15"/>
    </sheetView>
  </sheetViews>
  <sheetFormatPr baseColWidth="10" defaultRowHeight="16" x14ac:dyDescent="0.2"/>
  <cols>
    <col min="1" max="1" width="15.1640625" customWidth="1"/>
    <col min="2" max="2" width="16.83203125" customWidth="1"/>
    <col min="7" max="7" width="20.6640625" customWidth="1"/>
    <col min="8" max="8" width="22.33203125" customWidth="1"/>
  </cols>
  <sheetData>
    <row r="1" spans="1:8" x14ac:dyDescent="0.2">
      <c r="A1" s="46" t="s">
        <v>5</v>
      </c>
      <c r="B1" s="46"/>
      <c r="C1" s="46"/>
      <c r="D1" s="46"/>
      <c r="E1" s="46"/>
      <c r="F1" s="46"/>
      <c r="G1" s="46"/>
      <c r="H1" s="46"/>
    </row>
    <row r="2" spans="1:8" x14ac:dyDescent="0.2">
      <c r="A2" s="49" t="s">
        <v>6</v>
      </c>
      <c r="B2" s="49"/>
      <c r="C2" s="4"/>
      <c r="D2" s="4"/>
      <c r="E2" s="4"/>
      <c r="F2" s="48" t="s">
        <v>10</v>
      </c>
      <c r="G2" s="1" t="s">
        <v>121</v>
      </c>
      <c r="H2" s="41">
        <f>B14/(1+D14)</f>
        <v>0.66666666666666663</v>
      </c>
    </row>
    <row r="3" spans="1:8" x14ac:dyDescent="0.2">
      <c r="A3" s="1" t="s">
        <v>95</v>
      </c>
      <c r="B3" s="6">
        <v>0.04</v>
      </c>
      <c r="C3" s="4"/>
      <c r="D3" s="4"/>
      <c r="E3" s="4"/>
      <c r="F3" s="48"/>
      <c r="G3" s="1" t="s">
        <v>122</v>
      </c>
      <c r="H3" s="7">
        <f>B15/(1+D15)</f>
        <v>0.8</v>
      </c>
    </row>
    <row r="4" spans="1:8" x14ac:dyDescent="0.2">
      <c r="A4" s="1" t="s">
        <v>117</v>
      </c>
      <c r="B4" s="6">
        <v>0.1</v>
      </c>
      <c r="C4" s="4"/>
      <c r="D4" s="4"/>
      <c r="E4" s="4"/>
      <c r="F4" s="48" t="s">
        <v>31</v>
      </c>
      <c r="G4" s="1" t="s">
        <v>113</v>
      </c>
      <c r="H4" s="6">
        <f>1-B6</f>
        <v>0.6</v>
      </c>
    </row>
    <row r="5" spans="1:8" x14ac:dyDescent="0.2">
      <c r="A5" s="1" t="s">
        <v>18</v>
      </c>
      <c r="B5" s="6">
        <v>0.25</v>
      </c>
      <c r="C5" s="4"/>
      <c r="D5" s="4"/>
      <c r="E5" s="4"/>
      <c r="F5" s="48"/>
      <c r="G5" s="1" t="s">
        <v>123</v>
      </c>
      <c r="H5" s="7">
        <f>B13/(1+D13)</f>
        <v>0.78</v>
      </c>
    </row>
    <row r="6" spans="1:8" x14ac:dyDescent="0.2">
      <c r="A6" s="1" t="s">
        <v>106</v>
      </c>
      <c r="B6" s="6">
        <v>0.4</v>
      </c>
      <c r="C6" s="4"/>
      <c r="D6" s="4"/>
      <c r="E6" s="4"/>
      <c r="F6" s="48" t="s">
        <v>33</v>
      </c>
      <c r="G6" s="1" t="s">
        <v>124</v>
      </c>
      <c r="H6" s="6">
        <f>B3+B13*(B4-B3)</f>
        <v>0.11800000000000002</v>
      </c>
    </row>
    <row r="7" spans="1:8" x14ac:dyDescent="0.2">
      <c r="A7" s="1" t="s">
        <v>118</v>
      </c>
      <c r="B7" s="5">
        <v>60000000</v>
      </c>
      <c r="C7" s="4"/>
      <c r="D7" s="4"/>
      <c r="E7" s="4"/>
      <c r="F7" s="48"/>
      <c r="G7" s="1" t="s">
        <v>125</v>
      </c>
      <c r="H7" s="7">
        <f>H4*H6+B6*B10</f>
        <v>9.080000000000002E-2</v>
      </c>
    </row>
    <row r="8" spans="1:8" ht="32" customHeight="1" x14ac:dyDescent="0.2">
      <c r="A8" s="3" t="s">
        <v>114</v>
      </c>
      <c r="B8" s="6">
        <v>0.2</v>
      </c>
      <c r="C8" s="4"/>
      <c r="D8" s="4"/>
      <c r="E8" s="4"/>
      <c r="F8" s="2" t="s">
        <v>52</v>
      </c>
      <c r="G8" s="1" t="s">
        <v>126</v>
      </c>
      <c r="H8" s="19">
        <f>B7/(1+H7)</f>
        <v>55005500.550055005</v>
      </c>
    </row>
    <row r="9" spans="1:8" x14ac:dyDescent="0.2">
      <c r="A9" s="1" t="s">
        <v>112</v>
      </c>
      <c r="B9" s="5">
        <f>-8000000</f>
        <v>-8000000</v>
      </c>
      <c r="C9" s="4"/>
      <c r="D9" s="4"/>
      <c r="E9" s="4"/>
      <c r="F9" s="2" t="s">
        <v>53</v>
      </c>
      <c r="G9" s="1" t="s">
        <v>127</v>
      </c>
      <c r="H9" s="19">
        <f>H8/(1-B5*B6*B10/(1+H7))</f>
        <v>55258795.35826119</v>
      </c>
    </row>
    <row r="10" spans="1:8" x14ac:dyDescent="0.2">
      <c r="A10" s="1" t="s">
        <v>50</v>
      </c>
      <c r="B10" s="6">
        <v>0.05</v>
      </c>
      <c r="C10" s="4"/>
      <c r="D10" s="4"/>
      <c r="E10" s="4"/>
      <c r="F10" s="48" t="s">
        <v>115</v>
      </c>
      <c r="G10" s="1" t="s">
        <v>128</v>
      </c>
      <c r="H10" s="6">
        <f>H7-B6*B10*B5</f>
        <v>8.5800000000000015E-2</v>
      </c>
    </row>
    <row r="11" spans="1:8" x14ac:dyDescent="0.2">
      <c r="A11" s="4"/>
      <c r="B11" s="4"/>
      <c r="C11" s="4"/>
      <c r="D11" s="4"/>
      <c r="E11" s="4"/>
      <c r="F11" s="48"/>
      <c r="G11" s="1" t="s">
        <v>129</v>
      </c>
      <c r="H11" s="19">
        <f>B7/(1+H10)</f>
        <v>55258795.358261183</v>
      </c>
    </row>
    <row r="12" spans="1:8" x14ac:dyDescent="0.2">
      <c r="A12" s="1" t="s">
        <v>107</v>
      </c>
      <c r="B12" s="1" t="s">
        <v>119</v>
      </c>
      <c r="C12" s="1" t="s">
        <v>120</v>
      </c>
      <c r="D12" s="1" t="s">
        <v>108</v>
      </c>
      <c r="E12" s="4"/>
      <c r="F12" s="2" t="s">
        <v>116</v>
      </c>
      <c r="G12" s="1" t="s">
        <v>130</v>
      </c>
      <c r="H12" s="19">
        <f>H11+B9*B8/(1+H7)</f>
        <v>53791982.010259718</v>
      </c>
    </row>
    <row r="13" spans="1:8" x14ac:dyDescent="0.2">
      <c r="A13" s="1" t="s">
        <v>109</v>
      </c>
      <c r="B13" s="6">
        <f>(B14+B15)/2</f>
        <v>1.3</v>
      </c>
      <c r="C13" s="6">
        <v>0</v>
      </c>
      <c r="D13" s="42">
        <f>B6/H4</f>
        <v>0.66666666666666674</v>
      </c>
      <c r="E13" s="4"/>
      <c r="F13" s="4"/>
      <c r="G13" s="4"/>
      <c r="H13" s="4"/>
    </row>
    <row r="14" spans="1:8" x14ac:dyDescent="0.2">
      <c r="A14" s="1" t="s">
        <v>110</v>
      </c>
      <c r="B14" s="6">
        <v>1</v>
      </c>
      <c r="C14" s="6">
        <v>0</v>
      </c>
      <c r="D14" s="6">
        <v>0.5</v>
      </c>
      <c r="E14" s="4"/>
      <c r="F14" s="4"/>
      <c r="G14" s="4"/>
      <c r="H14" s="43"/>
    </row>
    <row r="15" spans="1:8" x14ac:dyDescent="0.2">
      <c r="A15" s="1" t="s">
        <v>111</v>
      </c>
      <c r="B15" s="6">
        <v>1.6</v>
      </c>
      <c r="C15" s="6">
        <v>0</v>
      </c>
      <c r="D15" s="6">
        <v>1</v>
      </c>
      <c r="E15" s="4"/>
      <c r="F15" s="4"/>
      <c r="G15" s="4"/>
      <c r="H15" s="43"/>
    </row>
  </sheetData>
  <mergeCells count="6">
    <mergeCell ref="A1:H1"/>
    <mergeCell ref="F10:F11"/>
    <mergeCell ref="F6:F7"/>
    <mergeCell ref="F4:F5"/>
    <mergeCell ref="F2:F3"/>
    <mergeCell ref="A2:B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6F03C2FB-0AC0-1345-962F-FBEA869FEDA3}">
            <x14:iconSet iconSet="3Symbols" custom="1">
              <x14:cfvo type="percent">
                <xm:f>0</xm:f>
              </x14:cfvo>
              <x14:cfvo type="num">
                <xm:f>$H$11</xm:f>
              </x14:cfvo>
              <x14:cfvo type="num">
                <xm:f>$H$9</xm:f>
              </x14:cfvo>
              <x14:cfIcon iconSet="3Symbols" iconId="2"/>
              <x14:cfIcon iconSet="3Symbols" iconId="2"/>
              <x14:cfIcon iconSet="3Symbols" iconId="2"/>
            </x14:iconSet>
          </x14:cfRule>
          <xm:sqref>H11 H9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M.C.2.1</vt:lpstr>
      <vt:lpstr>M.C.2.2</vt:lpstr>
      <vt:lpstr>M.C.2.3</vt:lpstr>
      <vt:lpstr>M.C.2.4</vt:lpstr>
      <vt:lpstr>M.C.2.5</vt:lpstr>
      <vt:lpstr>M.C.2.6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2026-03-20T09:29:59Z</dcterms:created>
  <dcterms:modified xsi:type="dcterms:W3CDTF">2026-03-24T14:08:02Z</dcterms:modified>
</cp:coreProperties>
</file>