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I Corporate Finance/Interactive part/Unit 1/"/>
    </mc:Choice>
  </mc:AlternateContent>
  <xr:revisionPtr revIDLastSave="0" documentId="13_ncr:1_{C0D6F341-8590-3042-8B6D-76F11C3DA162}" xr6:coauthVersionLast="47" xr6:coauthVersionMax="47" xr10:uidLastSave="{00000000-0000-0000-0000-000000000000}"/>
  <bookViews>
    <workbookView xWindow="0" yWindow="720" windowWidth="14580" windowHeight="18400" activeTab="5" xr2:uid="{1D4F2DFB-DD4F-E64D-BB8E-0B3298C40248}"/>
  </bookViews>
  <sheets>
    <sheet name="M.C.1.1" sheetId="1" r:id="rId1"/>
    <sheet name="M.C.1.2" sheetId="2" r:id="rId2"/>
    <sheet name="M.C.1.3" sheetId="3" r:id="rId3"/>
    <sheet name="M.C.1.4" sheetId="4" r:id="rId4"/>
    <sheet name="M.C.1.5" sheetId="5" r:id="rId5"/>
    <sheet name="M.C.1.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F17" i="6" s="1"/>
  <c r="F4" i="6"/>
  <c r="B12" i="5"/>
  <c r="B11" i="5"/>
  <c r="D14" i="5"/>
  <c r="D13" i="5"/>
  <c r="D15" i="5" s="1"/>
  <c r="C13" i="5"/>
  <c r="C14" i="5"/>
  <c r="C9" i="4"/>
  <c r="C11" i="4" s="1"/>
  <c r="C12" i="4" s="1"/>
  <c r="B15" i="4"/>
  <c r="B16" i="4" s="1"/>
  <c r="C15" i="4"/>
  <c r="C16" i="4"/>
  <c r="B17" i="4"/>
  <c r="C17" i="4"/>
  <c r="B18" i="3"/>
  <c r="B19" i="3" s="1"/>
  <c r="B20" i="3" s="1"/>
  <c r="B14" i="3"/>
  <c r="B9" i="3"/>
  <c r="B10" i="3" s="1"/>
  <c r="B11" i="3" s="1"/>
  <c r="B6" i="3"/>
  <c r="B5" i="3"/>
  <c r="B19" i="2"/>
  <c r="B18" i="2"/>
  <c r="B13" i="2"/>
  <c r="B12" i="2"/>
  <c r="C14" i="1"/>
  <c r="B11" i="1"/>
  <c r="B14" i="1" s="1"/>
  <c r="B19" i="1" s="1"/>
  <c r="B18" i="4" l="1"/>
  <c r="C18" i="4"/>
  <c r="C10" i="6"/>
  <c r="F13" i="6" s="1"/>
  <c r="E15" i="6" s="1"/>
  <c r="B7" i="6"/>
  <c r="B15" i="3"/>
  <c r="B16" i="3" s="1"/>
  <c r="B17" i="3" s="1"/>
  <c r="B7" i="3"/>
  <c r="B8" i="3" s="1"/>
  <c r="B16" i="2"/>
  <c r="B14" i="2"/>
  <c r="C19" i="1"/>
  <c r="C16" i="1"/>
  <c r="B14" i="5"/>
  <c r="C15" i="5"/>
  <c r="B13" i="5"/>
  <c r="B16" i="1"/>
  <c r="B15" i="5" l="1"/>
</calcChain>
</file>

<file path=xl/sharedStrings.xml><?xml version="1.0" encoding="utf-8"?>
<sst xmlns="http://schemas.openxmlformats.org/spreadsheetml/2006/main" count="149" uniqueCount="115">
  <si>
    <t>Mini-case 1.1</t>
  </si>
  <si>
    <t>TASK A</t>
  </si>
  <si>
    <t>Total assets</t>
  </si>
  <si>
    <t>Total value of equity</t>
  </si>
  <si>
    <t>Total liabilities</t>
  </si>
  <si>
    <t>Total value of long-term debt</t>
  </si>
  <si>
    <t>Common stock, shares issued</t>
  </si>
  <si>
    <t>Treasury common stock (bought back)</t>
  </si>
  <si>
    <t>Shares outstanding</t>
  </si>
  <si>
    <t>TASK B</t>
  </si>
  <si>
    <t>TASK C</t>
  </si>
  <si>
    <t>MV (Equity)</t>
  </si>
  <si>
    <t>TASK D</t>
  </si>
  <si>
    <t>MV (Assets) = MV(D)+MV(E)</t>
  </si>
  <si>
    <t>*Book value of long-term debt is taken as a proxy for the debt MV</t>
  </si>
  <si>
    <t>TASK E</t>
  </si>
  <si>
    <t>Market-to-Book ratio</t>
  </si>
  <si>
    <t>Texas Instrument balance sheet</t>
  </si>
  <si>
    <t>NextEra Energy balance sheet</t>
  </si>
  <si>
    <t>Texas Instruments (2025)</t>
  </si>
  <si>
    <t>NextEra Energy (2024)</t>
  </si>
  <si>
    <t>Share price as of 31st of December 2025 (not in millions)</t>
  </si>
  <si>
    <t>I. There are basically two factors that lead to differences: the price per share and the stocks considered. For the market value we obviously consider the outstanding shares i.e., shares traded on the market. Perhaps in the balance sheet, we observe issued stocks. The stock price in the balance sheet is the price the company sold those stocks for, meanwhile for the MV(E) we take the current price of the stocks on the market (in our case as of 31.12.2025).
II. The answer on this question hides in the assets structure of a company. In utility sector companies mostly have physical assets, market value of which doesn't differ much from its book values. Physical assets usually represent a significant part of the assets (~73% in the statement of NextEra). Thus, there is hardly anything what could make a big difference between book and market value of assets and, hence, book and market value of equity. 
On the other hand, tech-companies usually possess some non-physical assets (patents, intellectual property, brand value). These assets represent a significant value that doesn't necessarily appear in the balance sheets. This value increases the MV of the company's equity, which in turn can dramatically differ from the equity's book value.</t>
  </si>
  <si>
    <t>Links</t>
  </si>
  <si>
    <t>https://www.ti.com</t>
  </si>
  <si>
    <t>https://www.nexteraenergy.com</t>
  </si>
  <si>
    <t>https://www.google.com/finance/quote/FP3:FRA?window=6M</t>
  </si>
  <si>
    <t>NextEra Energy official website:</t>
  </si>
  <si>
    <t>NextEra stock chart on Google Finance:</t>
  </si>
  <si>
    <t>https://www.google.com/finance/quote/TXN:NASDAQ?window=6M</t>
  </si>
  <si>
    <t>https://investor.ti.com/static-files/fc9d9346-cf77-40db-902a-e9961e9c5736</t>
  </si>
  <si>
    <t>https://www.investor.nexteraenergy.com/~/media/Files/N/NEE-IR/investor-materials/shareholder-resources/2025/2024%20NEE%20Annual%20Report.pdf</t>
  </si>
  <si>
    <t>NextEra Energy annual report 2024:</t>
  </si>
  <si>
    <t>Texas Instruments official website:</t>
  </si>
  <si>
    <t>Texas Instruments stock chart on Google Finance:</t>
  </si>
  <si>
    <t>Texas Instruments annual report 2025:</t>
  </si>
  <si>
    <t>Mini-case 1.2</t>
  </si>
  <si>
    <t>Assumptions</t>
  </si>
  <si>
    <t xml:space="preserve">Tax rate </t>
  </si>
  <si>
    <t>Office price</t>
  </si>
  <si>
    <t>After-tax mortgage payment</t>
  </si>
  <si>
    <t>Lease payment (tax-deductible)</t>
  </si>
  <si>
    <t>After-tax lease payment</t>
  </si>
  <si>
    <t>Maximum willingness to pay for the building</t>
  </si>
  <si>
    <t>No tax shield lease payment</t>
  </si>
  <si>
    <t>No tax shield mortgage payment</t>
  </si>
  <si>
    <t>Would it still be better to buy rather than lease ? Yes. The mortgage payment would be bigger, then after-tax lease payment, but, on the other hand, since there is no tax-shiled any longer, we must compare the new value to 120 thousand dollars.</t>
  </si>
  <si>
    <r>
      <t>r</t>
    </r>
    <r>
      <rPr>
        <sz val="8"/>
        <color theme="1"/>
        <rFont val="Aptos Narrow (Body)"/>
      </rPr>
      <t>f</t>
    </r>
  </si>
  <si>
    <t>After-tax mortgage payment (% of the principal)</t>
  </si>
  <si>
    <t>Mini-case 1.3</t>
  </si>
  <si>
    <t>MV(Assets)</t>
  </si>
  <si>
    <t>MV(Debt)</t>
  </si>
  <si>
    <t>1) MV(Equity)</t>
  </si>
  <si>
    <t>MV(Equity, new) in %</t>
  </si>
  <si>
    <t>2) MV(Assets, new↓)</t>
  </si>
  <si>
    <t>3) MV(Assets, new↑)</t>
  </si>
  <si>
    <t>MV(Equity, new↓)</t>
  </si>
  <si>
    <t>MV(Equity, new↑)</t>
  </si>
  <si>
    <r>
      <t xml:space="preserve">The greater is the share of debt in the company's capital structure, the more volatile is company's equity. It's called </t>
    </r>
    <r>
      <rPr>
        <i/>
        <sz val="12"/>
        <color theme="1"/>
        <rFont val="Aptos Narrow"/>
        <scheme val="minor"/>
      </rPr>
      <t>leverage effect</t>
    </r>
  </si>
  <si>
    <t>Mini-case 1.4</t>
  </si>
  <si>
    <t>FCF yearly</t>
  </si>
  <si>
    <r>
      <t>ß</t>
    </r>
    <r>
      <rPr>
        <sz val="8"/>
        <color theme="1"/>
        <rFont val="Aptos Narrow (Body)"/>
      </rPr>
      <t>Equity</t>
    </r>
  </si>
  <si>
    <r>
      <t>~R</t>
    </r>
    <r>
      <rPr>
        <sz val="8"/>
        <color theme="1"/>
        <rFont val="Aptos Narrow (Body)"/>
      </rPr>
      <t>Market</t>
    </r>
  </si>
  <si>
    <r>
      <t>r</t>
    </r>
    <r>
      <rPr>
        <sz val="8"/>
        <color theme="1"/>
        <rFont val="Aptos Narrow (Body)"/>
      </rPr>
      <t>Equity (CAPM)</t>
    </r>
  </si>
  <si>
    <r>
      <t>r</t>
    </r>
    <r>
      <rPr>
        <sz val="8"/>
        <color theme="1"/>
        <rFont val="Aptos Narrow (Body)"/>
      </rPr>
      <t>Mortgage</t>
    </r>
    <r>
      <rPr>
        <sz val="12"/>
        <color theme="1"/>
        <rFont val="Aptos Narrow"/>
        <family val="2"/>
        <scheme val="minor"/>
      </rPr>
      <t xml:space="preserve">  (tax-deductible)</t>
    </r>
  </si>
  <si>
    <t>Debt-equity ratio</t>
  </si>
  <si>
    <t>*Modigliani-Miller holds</t>
  </si>
  <si>
    <t>TASK C,D</t>
  </si>
  <si>
    <r>
      <t>ß</t>
    </r>
    <r>
      <rPr>
        <sz val="8"/>
        <color theme="1"/>
        <rFont val="Aptos Narrow (Body)"/>
      </rPr>
      <t>Asset</t>
    </r>
  </si>
  <si>
    <r>
      <t>R</t>
    </r>
    <r>
      <rPr>
        <sz val="8"/>
        <color theme="1"/>
        <rFont val="Aptos Narrow (Body)"/>
      </rPr>
      <t>Market</t>
    </r>
  </si>
  <si>
    <r>
      <t>r</t>
    </r>
    <r>
      <rPr>
        <sz val="8"/>
        <color theme="1"/>
        <rFont val="Aptos Narrow (Body)"/>
      </rPr>
      <t>Asset</t>
    </r>
  </si>
  <si>
    <r>
      <t>r</t>
    </r>
    <r>
      <rPr>
        <sz val="8"/>
        <color theme="1"/>
        <rFont val="Aptos Narrow (Body)"/>
      </rPr>
      <t>WACC</t>
    </r>
    <r>
      <rPr>
        <sz val="12"/>
        <color theme="1"/>
        <rFont val="Aptos Narrow"/>
        <family val="2"/>
        <scheme val="minor"/>
      </rPr>
      <t xml:space="preserve"> (by Modigliani theorem it's equal to the asset return)</t>
    </r>
  </si>
  <si>
    <r>
      <t>V</t>
    </r>
    <r>
      <rPr>
        <sz val="8"/>
        <color theme="1"/>
        <rFont val="Aptos Narrow (Body)"/>
      </rPr>
      <t>0</t>
    </r>
  </si>
  <si>
    <r>
      <t>ß</t>
    </r>
    <r>
      <rPr>
        <sz val="8"/>
        <color theme="1"/>
        <rFont val="Aptos Narrow (Body)"/>
      </rPr>
      <t>Debt</t>
    </r>
  </si>
  <si>
    <r>
      <t>1) ß</t>
    </r>
    <r>
      <rPr>
        <sz val="8"/>
        <color theme="1"/>
        <rFont val="Aptos Narrow (Body)"/>
      </rPr>
      <t>Equity</t>
    </r>
  </si>
  <si>
    <r>
      <t>2) r</t>
    </r>
    <r>
      <rPr>
        <sz val="8"/>
        <color theme="1"/>
        <rFont val="Aptos Narrow (Body)"/>
      </rPr>
      <t>Equity</t>
    </r>
  </si>
  <si>
    <r>
      <t>3) r</t>
    </r>
    <r>
      <rPr>
        <sz val="8"/>
        <color theme="1"/>
        <rFont val="Aptos Narrow (Body)"/>
      </rPr>
      <t>Debt</t>
    </r>
  </si>
  <si>
    <r>
      <t>4) r</t>
    </r>
    <r>
      <rPr>
        <sz val="8"/>
        <color theme="1"/>
        <rFont val="Aptos Narrow (Body)"/>
      </rPr>
      <t>WACC</t>
    </r>
  </si>
  <si>
    <r>
      <t>The equity holders demand a higher premium in c) due to the higher eqiuty beta. Meanwhile, the cost of debt is greater in the second scenario (d)) as debt beta no longer equals zero. A greater beta implies greater risk. It holds due to Modigliani-Miller theorem condition, which states that financing mix doesn't affect the total value of the firms securities. This leads to the r</t>
    </r>
    <r>
      <rPr>
        <sz val="8"/>
        <color theme="1"/>
        <rFont val="Aptos Narrow (Body)"/>
      </rPr>
      <t>WACC</t>
    </r>
    <r>
      <rPr>
        <sz val="12"/>
        <color theme="1"/>
        <rFont val="Aptos Narrow"/>
        <family val="2"/>
        <scheme val="minor"/>
      </rPr>
      <t xml:space="preserve"> being independent from the capital structure. This in turn makes the firm value equal in both scenarios.</t>
    </r>
  </si>
  <si>
    <t>Mini-case 1.5</t>
  </si>
  <si>
    <t>Mini-case 1.6</t>
  </si>
  <si>
    <t>Value</t>
  </si>
  <si>
    <t>V(E)</t>
  </si>
  <si>
    <t>V(D)</t>
  </si>
  <si>
    <t>V(Firm)</t>
  </si>
  <si>
    <t>U</t>
  </si>
  <si>
    <t>L</t>
  </si>
  <si>
    <t>CF in T=1</t>
  </si>
  <si>
    <t>up-state</t>
  </si>
  <si>
    <t>down-state</t>
  </si>
  <si>
    <t>T = 0</t>
  </si>
  <si>
    <t>T = 1</t>
  </si>
  <si>
    <t>Short L</t>
  </si>
  <si>
    <t>TOTAL</t>
  </si>
  <si>
    <t>π weight (probability)</t>
  </si>
  <si>
    <t>T = 1 (down-state)</t>
  </si>
  <si>
    <t>Cash inflow (U)</t>
  </si>
  <si>
    <t>Cash outflow (L)</t>
  </si>
  <si>
    <t xml:space="preserve">The arbitrage opportunity hides behind the defference of the firm values from the CFs' PV. We assume perfect capital markets what allows for the Modigliani-Miller theorem, except the firms' value. This is clearly a mispricing. </t>
  </si>
  <si>
    <t>In case everyone notices the arbitrage opportunity, the quilibrium will find itself at the price 219,05 in T = 0. In this way, the firms' values will be equal to the CF's PV and MM is going to hold.</t>
  </si>
  <si>
    <t>Buy U (long)</t>
  </si>
  <si>
    <r>
      <rPr>
        <sz val="16"/>
        <color theme="1"/>
        <rFont val="Aptos Narrow (Body)"/>
      </rPr>
      <t>r</t>
    </r>
    <r>
      <rPr>
        <sz val="8"/>
        <color theme="1"/>
        <rFont val="Aptos Narrow (Body)"/>
      </rPr>
      <t>f</t>
    </r>
  </si>
  <si>
    <t>T = 1 (up-state)</t>
  </si>
  <si>
    <t>PV(OpEx)</t>
  </si>
  <si>
    <t>π-weight</t>
  </si>
  <si>
    <t>NPV of the licence</t>
  </si>
  <si>
    <t>Bond's face value</t>
  </si>
  <si>
    <t>up</t>
  </si>
  <si>
    <t>down</t>
  </si>
  <si>
    <t>Binomial model</t>
  </si>
  <si>
    <t>[Face Value]</t>
  </si>
  <si>
    <t xml:space="preserve">T = 1 </t>
  </si>
  <si>
    <r>
      <t>FV</t>
    </r>
    <r>
      <rPr>
        <sz val="8"/>
        <color theme="1"/>
        <rFont val="Aptos Narrow (Body)"/>
      </rPr>
      <t>Revenue</t>
    </r>
    <r>
      <rPr>
        <sz val="12"/>
        <color theme="1"/>
        <rFont val="Aptos Narrow"/>
        <family val="2"/>
        <scheme val="minor"/>
      </rPr>
      <t xml:space="preserve"> on T = 1</t>
    </r>
  </si>
  <si>
    <r>
      <t>r</t>
    </r>
    <r>
      <rPr>
        <sz val="8"/>
        <color theme="1"/>
        <rFont val="Aptos Narrow (Body)"/>
      </rPr>
      <t>f</t>
    </r>
    <r>
      <rPr>
        <sz val="12"/>
        <color theme="1"/>
        <rFont val="Aptos Narrow"/>
        <family val="2"/>
        <scheme val="minor"/>
      </rPr>
      <t xml:space="preserve"> (p.a.)</t>
    </r>
  </si>
  <si>
    <t xml:space="preserve">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</si>
</sst>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164" formatCode="_-[$$-409]* #,##0.00_ ;_-[$$-409]* \-#,##0.00\ ;_-[$$-409]* &quot;-&quot;??_ ;_-@_ "/>
    <numFmt numFmtId="165" formatCode="_-[$$-409]* #,##0_ ;_-[$$-409]* \-#,##0\ ;_-[$$-409]* &quot;-&quot;???_ ;_-@_ "/>
    <numFmt numFmtId="166" formatCode="_-[$$-409]* #,##0_ ;_-[$$-409]* \-#,##0\ ;_-[$$-409]* &quot;-&quot;??_ ;_-@_ "/>
    <numFmt numFmtId="167" formatCode="0.00000"/>
    <numFmt numFmtId="168" formatCode="0.0000"/>
    <numFmt numFmtId="169" formatCode="0.000"/>
  </numFmts>
  <fonts count="6" x14ac:knownFonts="1">
    <font>
      <sz val="12"/>
      <color theme="1"/>
      <name val="Aptos Narrow"/>
      <family val="2"/>
      <scheme val="minor"/>
    </font>
    <font>
      <sz val="12"/>
      <color theme="0"/>
      <name val="Aptos Narrow"/>
      <family val="2"/>
      <scheme val="minor"/>
    </font>
    <font>
      <sz val="8"/>
      <color theme="1"/>
      <name val="Aptos Narrow (Body)"/>
    </font>
    <font>
      <i/>
      <sz val="12"/>
      <color theme="1"/>
      <name val="Aptos Narrow"/>
      <scheme val="minor"/>
    </font>
    <font>
      <sz val="16"/>
      <color theme="1"/>
      <name val="Aptos Narrow (Body)"/>
    </font>
    <font>
      <sz val="12"/>
      <color theme="1"/>
      <name val="Aptos Narrow (Body)"/>
    </font>
  </fonts>
  <fills count="11">
    <fill>
      <patternFill patternType="none"/>
    </fill>
    <fill>
      <patternFill patternType="gray125"/>
    </fill>
    <fill>
      <patternFill patternType="solid">
        <fgColor theme="2" tint="-0.499984740745262"/>
        <bgColor indexed="64"/>
      </patternFill>
    </fill>
    <fill>
      <patternFill patternType="solid">
        <fgColor theme="2" tint="-0.749992370372631"/>
        <bgColor indexed="64"/>
      </patternFill>
    </fill>
    <fill>
      <patternFill patternType="solid">
        <fgColor theme="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9"/>
        <bgColor indexed="64"/>
      </patternFill>
    </fill>
    <fill>
      <patternFill patternType="solid">
        <fgColor theme="9" tint="0.79998168889431442"/>
        <bgColor indexed="64"/>
      </patternFill>
    </fill>
    <fill>
      <patternFill patternType="solid">
        <fgColor theme="1"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center" vertical="center"/>
    </xf>
    <xf numFmtId="165" fontId="0" fillId="5" borderId="1" xfId="0" applyNumberFormat="1" applyFill="1" applyBorder="1" applyAlignment="1">
      <alignment horizontal="center" vertical="center"/>
    </xf>
    <xf numFmtId="1" fontId="0" fillId="0" borderId="1" xfId="0" applyNumberFormat="1" applyBorder="1" applyAlignment="1">
      <alignment horizontal="center" vertical="center"/>
    </xf>
    <xf numFmtId="1"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wrapText="1"/>
    </xf>
    <xf numFmtId="164" fontId="0" fillId="5" borderId="1" xfId="0" applyNumberFormat="1" applyFill="1" applyBorder="1" applyAlignment="1">
      <alignment horizontal="center" vertical="center"/>
    </xf>
    <xf numFmtId="166" fontId="0" fillId="5" borderId="1" xfId="0" applyNumberFormat="1" applyFill="1" applyBorder="1" applyAlignment="1">
      <alignment horizontal="center" vertical="center"/>
    </xf>
    <xf numFmtId="169" fontId="0" fillId="5" borderId="1" xfId="0" applyNumberFormat="1" applyFill="1" applyBorder="1" applyAlignment="1">
      <alignment horizontal="center" vertical="center"/>
    </xf>
    <xf numFmtId="0" fontId="0" fillId="0" borderId="0" xfId="0" applyAlignment="1">
      <alignment wrapText="1"/>
    </xf>
    <xf numFmtId="0" fontId="0" fillId="8" borderId="1" xfId="0" applyFill="1" applyBorder="1"/>
    <xf numFmtId="0" fontId="0" fillId="8" borderId="1" xfId="0" applyFill="1" applyBorder="1" applyAlignment="1">
      <alignment wrapText="1"/>
    </xf>
    <xf numFmtId="164" fontId="0" fillId="0" borderId="1" xfId="0" applyNumberFormat="1" applyBorder="1" applyAlignment="1">
      <alignment horizontal="center" vertical="center"/>
    </xf>
    <xf numFmtId="168" fontId="0" fillId="0" borderId="1" xfId="0" applyNumberFormat="1" applyBorder="1" applyAlignment="1">
      <alignment horizontal="center" vertical="center"/>
    </xf>
    <xf numFmtId="167" fontId="0" fillId="0" borderId="1" xfId="0" applyNumberFormat="1" applyBorder="1" applyAlignment="1">
      <alignment horizontal="center" vertical="center"/>
    </xf>
    <xf numFmtId="0" fontId="0" fillId="8" borderId="1" xfId="0" applyFill="1" applyBorder="1" applyAlignment="1">
      <alignment horizontal="center" vertical="center"/>
    </xf>
    <xf numFmtId="0" fontId="5" fillId="4" borderId="1" xfId="0" applyFont="1" applyFill="1" applyBorder="1" applyAlignment="1">
      <alignment horizontal="center" vertical="center"/>
    </xf>
    <xf numFmtId="0" fontId="0" fillId="10" borderId="2" xfId="0" applyFill="1" applyBorder="1"/>
    <xf numFmtId="0" fontId="0" fillId="10" borderId="3" xfId="0" applyFill="1" applyBorder="1"/>
    <xf numFmtId="0" fontId="0" fillId="10" borderId="5" xfId="0" applyFill="1" applyBorder="1" applyAlignment="1">
      <alignment horizontal="left"/>
    </xf>
    <xf numFmtId="0" fontId="0" fillId="10" borderId="4" xfId="0" applyFill="1" applyBorder="1"/>
    <xf numFmtId="0" fontId="0" fillId="10" borderId="0" xfId="0" applyFill="1"/>
    <xf numFmtId="0" fontId="0" fillId="10" borderId="10" xfId="0" applyFill="1" applyBorder="1"/>
    <xf numFmtId="8" fontId="0" fillId="10" borderId="4" xfId="0" applyNumberFormat="1" applyFill="1" applyBorder="1"/>
    <xf numFmtId="0" fontId="0" fillId="10" borderId="0" xfId="0" applyFill="1" applyAlignment="1">
      <alignment horizontal="right"/>
    </xf>
    <xf numFmtId="0" fontId="0" fillId="10" borderId="11" xfId="0" applyFill="1" applyBorder="1"/>
    <xf numFmtId="0" fontId="0" fillId="10" borderId="12" xfId="0" applyFill="1" applyBorder="1"/>
    <xf numFmtId="8" fontId="0" fillId="10" borderId="13" xfId="0" applyNumberFormat="1" applyFill="1" applyBorder="1" applyAlignment="1">
      <alignment horizontal="left"/>
    </xf>
    <xf numFmtId="8" fontId="0" fillId="10" borderId="5" xfId="0" applyNumberFormat="1" applyFill="1" applyBorder="1"/>
    <xf numFmtId="8" fontId="0" fillId="10" borderId="13" xfId="0" applyNumberFormat="1" applyFill="1" applyBorder="1"/>
    <xf numFmtId="8" fontId="0" fillId="0" borderId="1" xfId="0" applyNumberFormat="1" applyBorder="1" applyAlignment="1">
      <alignment horizontal="center" vertical="center"/>
    </xf>
    <xf numFmtId="8" fontId="0" fillId="5" borderId="1" xfId="0" applyNumberFormat="1" applyFill="1" applyBorder="1" applyAlignment="1">
      <alignment horizontal="center" vertical="center"/>
    </xf>
    <xf numFmtId="0" fontId="0" fillId="4" borderId="7" xfId="0" applyFill="1" applyBorder="1" applyAlignment="1">
      <alignment horizontal="center" vertical="center"/>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8" fontId="0" fillId="5" borderId="4" xfId="0" applyNumberFormat="1" applyFill="1" applyBorder="1" applyAlignment="1">
      <alignment horizontal="left"/>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4" borderId="1" xfId="0" applyFill="1" applyBorder="1" applyAlignment="1">
      <alignment horizontal="center" vertical="center"/>
    </xf>
    <xf numFmtId="0" fontId="1" fillId="6" borderId="6"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7" xfId="0" applyBorder="1"/>
    <xf numFmtId="0" fontId="0" fillId="0" borderId="8" xfId="0" applyBorder="1"/>
    <xf numFmtId="0" fontId="0" fillId="0" borderId="9" xfId="0" applyBorder="1"/>
    <xf numFmtId="0" fontId="1" fillId="7" borderId="1" xfId="0" applyFont="1" applyFill="1" applyBorder="1" applyAlignment="1">
      <alignment horizontal="center"/>
    </xf>
    <xf numFmtId="0" fontId="1" fillId="9" borderId="1" xfId="0" applyFont="1" applyFill="1" applyBorder="1" applyAlignment="1">
      <alignment horizontal="center" vertical="center"/>
    </xf>
    <xf numFmtId="0" fontId="1" fillId="2" borderId="1" xfId="0" applyFont="1" applyFill="1" applyBorder="1" applyAlignment="1">
      <alignment vertical="center"/>
    </xf>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44718</xdr:colOff>
      <xdr:row>2</xdr:row>
      <xdr:rowOff>45898</xdr:rowOff>
    </xdr:from>
    <xdr:to>
      <xdr:col>11</xdr:col>
      <xdr:colOff>1690</xdr:colOff>
      <xdr:row>37</xdr:row>
      <xdr:rowOff>12700</xdr:rowOff>
    </xdr:to>
    <xdr:pic>
      <xdr:nvPicPr>
        <xdr:cNvPr id="2" name="Picture 1">
          <a:extLst>
            <a:ext uri="{FF2B5EF4-FFF2-40B4-BE49-F238E27FC236}">
              <a16:creationId xmlns:a16="http://schemas.microsoft.com/office/drawing/2014/main" id="{E2A9293F-B9F4-B1DD-4708-8676E4D04DDA}"/>
            </a:ext>
          </a:extLst>
        </xdr:cNvPr>
        <xdr:cNvPicPr>
          <a:picLocks noChangeAspect="1"/>
        </xdr:cNvPicPr>
      </xdr:nvPicPr>
      <xdr:blipFill>
        <a:blip xmlns:r="http://schemas.openxmlformats.org/officeDocument/2006/relationships" r:embed="rId1"/>
        <a:stretch>
          <a:fillRect/>
        </a:stretch>
      </xdr:blipFill>
      <xdr:spPr>
        <a:xfrm>
          <a:off x="5556518" y="452298"/>
          <a:ext cx="6370472" cy="728200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2560</xdr:colOff>
      <xdr:row>2</xdr:row>
      <xdr:rowOff>42690</xdr:rowOff>
    </xdr:from>
    <xdr:to>
      <xdr:col>18</xdr:col>
      <xdr:colOff>532977</xdr:colOff>
      <xdr:row>37</xdr:row>
      <xdr:rowOff>25400</xdr:rowOff>
    </xdr:to>
    <xdr:pic>
      <xdr:nvPicPr>
        <xdr:cNvPr id="3" name="Picture 2">
          <a:extLst>
            <a:ext uri="{FF2B5EF4-FFF2-40B4-BE49-F238E27FC236}">
              <a16:creationId xmlns:a16="http://schemas.microsoft.com/office/drawing/2014/main" id="{34E48493-7724-8521-BC38-CDAD199884DB}"/>
            </a:ext>
          </a:extLst>
        </xdr:cNvPr>
        <xdr:cNvPicPr>
          <a:picLocks noChangeAspect="1"/>
        </xdr:cNvPicPr>
      </xdr:nvPicPr>
      <xdr:blipFill>
        <a:blip xmlns:r="http://schemas.openxmlformats.org/officeDocument/2006/relationships" r:embed="rId2"/>
        <a:stretch>
          <a:fillRect/>
        </a:stretch>
      </xdr:blipFill>
      <xdr:spPr>
        <a:xfrm>
          <a:off x="11953260" y="449090"/>
          <a:ext cx="6308917" cy="729791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1177483</xdr:colOff>
      <xdr:row>12</xdr:row>
      <xdr:rowOff>159801</xdr:rowOff>
    </xdr:from>
    <xdr:to>
      <xdr:col>2</xdr:col>
      <xdr:colOff>16821</xdr:colOff>
      <xdr:row>14</xdr:row>
      <xdr:rowOff>84106</xdr:rowOff>
    </xdr:to>
    <xdr:cxnSp macro="">
      <xdr:nvCxnSpPr>
        <xdr:cNvPr id="3" name="Straight Connector 2">
          <a:extLst>
            <a:ext uri="{FF2B5EF4-FFF2-40B4-BE49-F238E27FC236}">
              <a16:creationId xmlns:a16="http://schemas.microsoft.com/office/drawing/2014/main" id="{AD6D467B-4809-9149-7821-BF05E4B51178}"/>
            </a:ext>
          </a:extLst>
        </xdr:cNvPr>
        <xdr:cNvCxnSpPr/>
      </xdr:nvCxnSpPr>
      <xdr:spPr>
        <a:xfrm flipV="1">
          <a:off x="1177483" y="2582053"/>
          <a:ext cx="857881" cy="32801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1168400</xdr:colOff>
      <xdr:row>14</xdr:row>
      <xdr:rowOff>177800</xdr:rowOff>
    </xdr:from>
    <xdr:to>
      <xdr:col>2</xdr:col>
      <xdr:colOff>25400</xdr:colOff>
      <xdr:row>16</xdr:row>
      <xdr:rowOff>152400</xdr:rowOff>
    </xdr:to>
    <xdr:cxnSp macro="">
      <xdr:nvCxnSpPr>
        <xdr:cNvPr id="6" name="Straight Connector 5">
          <a:extLst>
            <a:ext uri="{FF2B5EF4-FFF2-40B4-BE49-F238E27FC236}">
              <a16:creationId xmlns:a16="http://schemas.microsoft.com/office/drawing/2014/main" id="{8BE15A98-6F08-BDF8-A701-D461D328C583}"/>
            </a:ext>
          </a:extLst>
        </xdr:cNvPr>
        <xdr:cNvCxnSpPr/>
      </xdr:nvCxnSpPr>
      <xdr:spPr>
        <a:xfrm>
          <a:off x="1168400" y="3022600"/>
          <a:ext cx="876300" cy="38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563510</xdr:colOff>
      <xdr:row>12</xdr:row>
      <xdr:rowOff>142980</xdr:rowOff>
    </xdr:from>
    <xdr:to>
      <xdr:col>5</xdr:col>
      <xdr:colOff>227086</xdr:colOff>
      <xdr:row>14</xdr:row>
      <xdr:rowOff>42053</xdr:rowOff>
    </xdr:to>
    <xdr:cxnSp macro="">
      <xdr:nvCxnSpPr>
        <xdr:cNvPr id="11" name="Straight Connector 10">
          <a:extLst>
            <a:ext uri="{FF2B5EF4-FFF2-40B4-BE49-F238E27FC236}">
              <a16:creationId xmlns:a16="http://schemas.microsoft.com/office/drawing/2014/main" id="{D003F2B3-0480-7B02-771F-5BB911AFC570}"/>
            </a:ext>
          </a:extLst>
        </xdr:cNvPr>
        <xdr:cNvCxnSpPr/>
      </xdr:nvCxnSpPr>
      <xdr:spPr>
        <a:xfrm flipH="1">
          <a:off x="4937020" y="2565232"/>
          <a:ext cx="487814" cy="3027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571920</xdr:colOff>
      <xdr:row>14</xdr:row>
      <xdr:rowOff>168212</xdr:rowOff>
    </xdr:from>
    <xdr:to>
      <xdr:col>5</xdr:col>
      <xdr:colOff>395298</xdr:colOff>
      <xdr:row>16</xdr:row>
      <xdr:rowOff>84106</xdr:rowOff>
    </xdr:to>
    <xdr:cxnSp macro="">
      <xdr:nvCxnSpPr>
        <xdr:cNvPr id="13" name="Straight Connector 12">
          <a:extLst>
            <a:ext uri="{FF2B5EF4-FFF2-40B4-BE49-F238E27FC236}">
              <a16:creationId xmlns:a16="http://schemas.microsoft.com/office/drawing/2014/main" id="{79DCA478-BCA3-0C76-9196-E88DF68C81C2}"/>
            </a:ext>
          </a:extLst>
        </xdr:cNvPr>
        <xdr:cNvCxnSpPr/>
      </xdr:nvCxnSpPr>
      <xdr:spPr>
        <a:xfrm flipH="1" flipV="1">
          <a:off x="4945430" y="2994172"/>
          <a:ext cx="647616" cy="31960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0673-3636-7D4C-AA7B-0362EE33B370}">
  <sheetPr>
    <tabColor theme="4"/>
  </sheetPr>
  <dimension ref="A1:S45"/>
  <sheetViews>
    <sheetView zoomScaleNormal="100" workbookViewId="0">
      <pane ySplit="1" topLeftCell="A11" activePane="bottomLeft" state="frozen"/>
      <selection pane="bottomLeft" activeCell="B19" sqref="B19"/>
    </sheetView>
  </sheetViews>
  <sheetFormatPr baseColWidth="10" defaultRowHeight="16" x14ac:dyDescent="0.2"/>
  <cols>
    <col min="1" max="1" width="32.5" bestFit="1" customWidth="1"/>
    <col min="2" max="2" width="21.1640625" bestFit="1" customWidth="1"/>
    <col min="3" max="3" width="18.6640625" bestFit="1" customWidth="1"/>
    <col min="11" max="11" width="8.33203125" customWidth="1"/>
    <col min="19" max="19" width="7.5" customWidth="1"/>
  </cols>
  <sheetData>
    <row r="1" spans="1:19" x14ac:dyDescent="0.2">
      <c r="A1" s="43" t="s">
        <v>0</v>
      </c>
      <c r="B1" s="43"/>
      <c r="C1" s="43"/>
      <c r="D1" s="43"/>
      <c r="E1" s="43"/>
      <c r="F1" s="43"/>
      <c r="G1" s="43"/>
      <c r="H1" s="43"/>
      <c r="I1" s="43"/>
      <c r="J1" s="43"/>
      <c r="K1" s="43"/>
      <c r="L1" s="43"/>
      <c r="M1" s="43"/>
      <c r="N1" s="43"/>
      <c r="O1" s="43"/>
      <c r="P1" s="43"/>
      <c r="Q1" s="43"/>
      <c r="R1" s="43"/>
      <c r="S1" s="43"/>
    </row>
    <row r="2" spans="1:19" x14ac:dyDescent="0.2">
      <c r="A2" s="44" t="s">
        <v>1</v>
      </c>
      <c r="B2" s="44"/>
      <c r="C2" s="44"/>
      <c r="D2" s="45" t="s">
        <v>17</v>
      </c>
      <c r="E2" s="45"/>
      <c r="F2" s="45"/>
      <c r="G2" s="45"/>
      <c r="H2" s="45"/>
      <c r="I2" s="45"/>
      <c r="J2" s="45"/>
      <c r="K2" s="45"/>
      <c r="L2" s="45" t="s">
        <v>18</v>
      </c>
      <c r="M2" s="45"/>
      <c r="N2" s="45"/>
      <c r="O2" s="45"/>
      <c r="P2" s="45"/>
      <c r="Q2" s="45"/>
      <c r="R2" s="45"/>
      <c r="S2" s="45"/>
    </row>
    <row r="3" spans="1:19" x14ac:dyDescent="0.2">
      <c r="A3" s="3"/>
      <c r="B3" s="4" t="s">
        <v>19</v>
      </c>
      <c r="C3" s="4" t="s">
        <v>20</v>
      </c>
      <c r="D3" s="3"/>
      <c r="E3" s="5"/>
      <c r="F3" s="5"/>
      <c r="G3" s="5"/>
      <c r="H3" s="5"/>
      <c r="I3" s="5"/>
      <c r="J3" s="5"/>
      <c r="K3" s="5"/>
      <c r="L3" s="5"/>
      <c r="M3" s="5"/>
      <c r="N3" s="5"/>
      <c r="O3" s="5"/>
    </row>
    <row r="4" spans="1:19" x14ac:dyDescent="0.2">
      <c r="A4" s="4" t="s">
        <v>2</v>
      </c>
      <c r="B4" s="6">
        <v>34585</v>
      </c>
      <c r="C4" s="6">
        <v>190144</v>
      </c>
      <c r="D4" s="3"/>
      <c r="E4" s="5"/>
      <c r="F4" s="5"/>
      <c r="G4" s="5"/>
      <c r="H4" s="5"/>
      <c r="I4" s="5"/>
      <c r="J4" s="5"/>
      <c r="K4" s="5"/>
      <c r="L4" s="5"/>
      <c r="M4" s="5"/>
      <c r="N4" s="5"/>
      <c r="O4" s="5"/>
    </row>
    <row r="5" spans="1:19" x14ac:dyDescent="0.2">
      <c r="A5" s="4" t="s">
        <v>4</v>
      </c>
      <c r="B5" s="6">
        <v>18312</v>
      </c>
      <c r="C5" s="6">
        <v>129283</v>
      </c>
      <c r="D5" s="3"/>
      <c r="E5" s="5"/>
      <c r="F5" s="5"/>
      <c r="G5" s="5"/>
      <c r="H5" s="5"/>
      <c r="I5" s="5"/>
      <c r="J5" s="5"/>
      <c r="K5" s="5"/>
      <c r="L5" s="5"/>
      <c r="M5" s="5"/>
      <c r="N5" s="5"/>
      <c r="O5" s="5"/>
    </row>
    <row r="6" spans="1:19" x14ac:dyDescent="0.2">
      <c r="A6" s="4" t="s">
        <v>3</v>
      </c>
      <c r="B6" s="6">
        <v>16273</v>
      </c>
      <c r="C6" s="6">
        <v>60460</v>
      </c>
      <c r="D6" s="3"/>
      <c r="E6" s="5"/>
      <c r="F6" s="5"/>
      <c r="G6" s="5"/>
      <c r="H6" s="5"/>
      <c r="I6" s="5"/>
      <c r="J6" s="5"/>
      <c r="K6" s="5"/>
      <c r="L6" s="5"/>
      <c r="M6" s="5"/>
      <c r="N6" s="5"/>
      <c r="O6" s="5"/>
    </row>
    <row r="7" spans="1:19" x14ac:dyDescent="0.2">
      <c r="A7" s="4" t="s">
        <v>5</v>
      </c>
      <c r="B7" s="6">
        <v>13548</v>
      </c>
      <c r="C7" s="6">
        <v>72385</v>
      </c>
      <c r="D7" s="3"/>
      <c r="E7" s="5"/>
      <c r="F7" s="5"/>
      <c r="G7" s="5"/>
      <c r="H7" s="5"/>
      <c r="I7" s="5"/>
      <c r="J7" s="5"/>
      <c r="K7" s="5"/>
      <c r="L7" s="5"/>
      <c r="M7" s="5"/>
      <c r="N7" s="5"/>
      <c r="O7" s="5"/>
    </row>
    <row r="8" spans="1:19" x14ac:dyDescent="0.2">
      <c r="A8" s="44" t="s">
        <v>9</v>
      </c>
      <c r="B8" s="44"/>
      <c r="C8" s="44"/>
      <c r="D8" s="3"/>
      <c r="E8" s="5"/>
      <c r="F8" s="5"/>
      <c r="G8" s="5"/>
      <c r="H8" s="5"/>
      <c r="I8" s="5"/>
      <c r="J8" s="5"/>
      <c r="K8" s="5"/>
      <c r="L8" s="5"/>
      <c r="M8" s="5"/>
      <c r="N8" s="5"/>
      <c r="O8" s="5"/>
    </row>
    <row r="9" spans="1:19" x14ac:dyDescent="0.2">
      <c r="A9" s="4" t="s">
        <v>6</v>
      </c>
      <c r="B9" s="7">
        <v>1741</v>
      </c>
      <c r="C9" s="3"/>
      <c r="D9" s="3"/>
      <c r="E9" s="5"/>
      <c r="F9" s="5"/>
      <c r="G9" s="5"/>
      <c r="H9" s="5"/>
      <c r="I9" s="5"/>
      <c r="J9" s="5"/>
      <c r="K9" s="5"/>
      <c r="L9" s="5"/>
      <c r="M9" s="5"/>
      <c r="N9" s="5"/>
      <c r="O9" s="5"/>
    </row>
    <row r="10" spans="1:19" x14ac:dyDescent="0.2">
      <c r="A10" s="4" t="s">
        <v>7</v>
      </c>
      <c r="B10" s="7">
        <v>834</v>
      </c>
      <c r="C10" s="3"/>
      <c r="D10" s="3"/>
      <c r="E10" s="5"/>
      <c r="F10" s="5"/>
      <c r="G10" s="5"/>
      <c r="H10" s="5"/>
      <c r="I10" s="5"/>
      <c r="J10" s="5"/>
      <c r="K10" s="5"/>
      <c r="L10" s="5"/>
      <c r="M10" s="5"/>
      <c r="N10" s="5"/>
      <c r="O10" s="5"/>
    </row>
    <row r="11" spans="1:19" x14ac:dyDescent="0.2">
      <c r="A11" s="4" t="s">
        <v>8</v>
      </c>
      <c r="B11" s="8">
        <f>B9-B10</f>
        <v>907</v>
      </c>
      <c r="C11" s="9">
        <v>2057</v>
      </c>
      <c r="D11" s="3"/>
      <c r="E11" s="5"/>
      <c r="F11" s="5"/>
      <c r="G11" s="5"/>
      <c r="H11" s="5"/>
      <c r="I11" s="5"/>
      <c r="J11" s="5"/>
      <c r="K11" s="5"/>
      <c r="L11" s="5"/>
      <c r="M11" s="5"/>
      <c r="N11" s="5"/>
      <c r="O11" s="5"/>
    </row>
    <row r="12" spans="1:19" ht="32" customHeight="1" x14ac:dyDescent="0.2">
      <c r="A12" s="10" t="s">
        <v>21</v>
      </c>
      <c r="B12" s="11">
        <v>173.49</v>
      </c>
      <c r="C12" s="11">
        <v>68.599999999999994</v>
      </c>
      <c r="D12" s="3"/>
      <c r="E12" s="5"/>
      <c r="F12" s="5"/>
      <c r="G12" s="5"/>
      <c r="H12" s="5"/>
      <c r="I12" s="5"/>
      <c r="J12" s="5"/>
      <c r="K12" s="5"/>
      <c r="L12" s="5"/>
      <c r="M12" s="5"/>
      <c r="N12" s="5"/>
      <c r="O12" s="5"/>
    </row>
    <row r="13" spans="1:19" x14ac:dyDescent="0.2">
      <c r="A13" s="44" t="s">
        <v>10</v>
      </c>
      <c r="B13" s="44"/>
      <c r="C13" s="44"/>
      <c r="D13" s="3"/>
      <c r="E13" s="5"/>
      <c r="F13" s="5"/>
      <c r="G13" s="5"/>
      <c r="H13" s="5"/>
      <c r="I13" s="5"/>
      <c r="J13" s="5"/>
      <c r="K13" s="5"/>
      <c r="L13" s="5"/>
      <c r="M13" s="5"/>
      <c r="N13" s="5"/>
      <c r="O13" s="5"/>
    </row>
    <row r="14" spans="1:19" x14ac:dyDescent="0.2">
      <c r="A14" s="4" t="s">
        <v>11</v>
      </c>
      <c r="B14" s="12">
        <f>B12*B11</f>
        <v>157355.43000000002</v>
      </c>
      <c r="C14" s="12">
        <f>C11*C12</f>
        <v>141110.19999999998</v>
      </c>
      <c r="D14" s="3"/>
      <c r="E14" s="5"/>
      <c r="F14" s="5"/>
      <c r="G14" s="5"/>
      <c r="H14" s="5"/>
      <c r="I14" s="5"/>
      <c r="J14" s="5"/>
      <c r="K14" s="5"/>
      <c r="L14" s="5"/>
      <c r="M14" s="5"/>
      <c r="N14" s="5"/>
      <c r="O14" s="5"/>
    </row>
    <row r="15" spans="1:19" x14ac:dyDescent="0.2">
      <c r="A15" s="44" t="s">
        <v>12</v>
      </c>
      <c r="B15" s="44"/>
      <c r="C15" s="44"/>
      <c r="D15" s="3"/>
      <c r="E15" s="5"/>
      <c r="F15" s="5"/>
      <c r="G15" s="5"/>
      <c r="H15" s="5"/>
      <c r="I15" s="5"/>
      <c r="J15" s="5"/>
      <c r="K15" s="5"/>
      <c r="L15" s="5"/>
      <c r="M15" s="5"/>
      <c r="N15" s="5"/>
      <c r="O15" s="5"/>
    </row>
    <row r="16" spans="1:19" x14ac:dyDescent="0.2">
      <c r="A16" s="4" t="s">
        <v>13</v>
      </c>
      <c r="B16" s="11">
        <f>B7+B14</f>
        <v>170903.43000000002</v>
      </c>
      <c r="C16" s="11">
        <f>C14+C7</f>
        <v>213495.19999999998</v>
      </c>
      <c r="D16" s="3"/>
      <c r="E16" s="5"/>
      <c r="F16" s="5"/>
      <c r="G16" s="5"/>
      <c r="H16" s="5"/>
      <c r="I16" s="5"/>
      <c r="J16" s="5"/>
      <c r="K16" s="5"/>
      <c r="L16" s="5"/>
      <c r="M16" s="5"/>
      <c r="N16" s="5"/>
      <c r="O16" s="5"/>
    </row>
    <row r="17" spans="1:15" x14ac:dyDescent="0.2">
      <c r="A17" s="49" t="s">
        <v>14</v>
      </c>
      <c r="B17" s="49"/>
      <c r="C17" s="49"/>
      <c r="D17" s="3"/>
      <c r="E17" s="5"/>
      <c r="F17" s="5"/>
      <c r="G17" s="5"/>
      <c r="H17" s="5"/>
      <c r="I17" s="5"/>
      <c r="J17" s="5"/>
      <c r="K17" s="5"/>
      <c r="L17" s="5"/>
      <c r="M17" s="5"/>
      <c r="N17" s="5"/>
      <c r="O17" s="5"/>
    </row>
    <row r="18" spans="1:15" x14ac:dyDescent="0.2">
      <c r="A18" s="44" t="s">
        <v>15</v>
      </c>
      <c r="B18" s="44"/>
      <c r="C18" s="44"/>
      <c r="D18" s="3"/>
      <c r="E18" s="5"/>
      <c r="F18" s="5"/>
      <c r="G18" s="5"/>
      <c r="H18" s="5"/>
      <c r="I18" s="5"/>
      <c r="J18" s="5"/>
      <c r="K18" s="5"/>
      <c r="L18" s="5"/>
      <c r="M18" s="5"/>
      <c r="N18" s="5"/>
      <c r="O18" s="5"/>
    </row>
    <row r="19" spans="1:15" x14ac:dyDescent="0.2">
      <c r="A19" s="4" t="s">
        <v>16</v>
      </c>
      <c r="B19" s="13">
        <f>B14/B6</f>
        <v>9.6697246973514428</v>
      </c>
      <c r="C19" s="13">
        <f>C14/C6</f>
        <v>2.3339431028779356</v>
      </c>
      <c r="D19" s="3"/>
      <c r="E19" s="5"/>
      <c r="F19" s="5"/>
      <c r="G19" s="5"/>
      <c r="H19" s="5"/>
      <c r="I19" s="5"/>
      <c r="J19" s="5"/>
      <c r="K19" s="5"/>
      <c r="L19" s="5"/>
      <c r="M19" s="5"/>
      <c r="N19" s="5"/>
      <c r="O19" s="5"/>
    </row>
    <row r="20" spans="1:15" ht="16" customHeight="1" x14ac:dyDescent="0.2">
      <c r="A20" s="48" t="s">
        <v>22</v>
      </c>
      <c r="B20" s="48"/>
      <c r="C20" s="48"/>
      <c r="D20" s="2"/>
    </row>
    <row r="21" spans="1:15" x14ac:dyDescent="0.2">
      <c r="A21" s="48"/>
      <c r="B21" s="48"/>
      <c r="C21" s="48"/>
      <c r="D21" s="2"/>
    </row>
    <row r="22" spans="1:15" x14ac:dyDescent="0.2">
      <c r="A22" s="48"/>
      <c r="B22" s="48"/>
      <c r="C22" s="48"/>
      <c r="D22" s="2"/>
    </row>
    <row r="23" spans="1:15" x14ac:dyDescent="0.2">
      <c r="A23" s="48"/>
      <c r="B23" s="48"/>
      <c r="C23" s="48"/>
      <c r="D23" s="2"/>
    </row>
    <row r="24" spans="1:15" x14ac:dyDescent="0.2">
      <c r="A24" s="48"/>
      <c r="B24" s="48"/>
      <c r="C24" s="48"/>
      <c r="D24" s="2"/>
    </row>
    <row r="25" spans="1:15" x14ac:dyDescent="0.2">
      <c r="A25" s="48"/>
      <c r="B25" s="48"/>
      <c r="C25" s="48"/>
      <c r="D25" s="2"/>
    </row>
    <row r="26" spans="1:15" x14ac:dyDescent="0.2">
      <c r="A26" s="48"/>
      <c r="B26" s="48"/>
      <c r="C26" s="48"/>
      <c r="D26" s="2"/>
    </row>
    <row r="27" spans="1:15" x14ac:dyDescent="0.2">
      <c r="A27" s="48"/>
      <c r="B27" s="48"/>
      <c r="C27" s="48"/>
      <c r="D27" s="2"/>
    </row>
    <row r="28" spans="1:15" x14ac:dyDescent="0.2">
      <c r="A28" s="48"/>
      <c r="B28" s="48"/>
      <c r="C28" s="48"/>
      <c r="D28" s="2"/>
    </row>
    <row r="29" spans="1:15" x14ac:dyDescent="0.2">
      <c r="A29" s="48"/>
      <c r="B29" s="48"/>
      <c r="C29" s="48"/>
      <c r="D29" s="2"/>
    </row>
    <row r="30" spans="1:15" x14ac:dyDescent="0.2">
      <c r="A30" s="48"/>
      <c r="B30" s="48"/>
      <c r="C30" s="48"/>
      <c r="D30" s="2"/>
    </row>
    <row r="31" spans="1:15" x14ac:dyDescent="0.2">
      <c r="A31" s="48"/>
      <c r="B31" s="48"/>
      <c r="C31" s="48"/>
      <c r="D31" s="2"/>
    </row>
    <row r="32" spans="1:15" x14ac:dyDescent="0.2">
      <c r="A32" s="48"/>
      <c r="B32" s="48"/>
      <c r="C32" s="48"/>
      <c r="D32" s="2"/>
    </row>
    <row r="33" spans="1:12" x14ac:dyDescent="0.2">
      <c r="A33" s="48"/>
      <c r="B33" s="48"/>
      <c r="C33" s="48"/>
      <c r="D33" s="2"/>
    </row>
    <row r="34" spans="1:12" x14ac:dyDescent="0.2">
      <c r="A34" s="48"/>
      <c r="B34" s="48"/>
      <c r="C34" s="48"/>
      <c r="D34" s="2"/>
    </row>
    <row r="35" spans="1:12" x14ac:dyDescent="0.2">
      <c r="A35" s="48"/>
      <c r="B35" s="48"/>
      <c r="C35" s="48"/>
      <c r="D35" s="2"/>
    </row>
    <row r="36" spans="1:12" x14ac:dyDescent="0.2">
      <c r="A36" s="48"/>
      <c r="B36" s="48"/>
      <c r="C36" s="48"/>
      <c r="D36" s="2"/>
    </row>
    <row r="37" spans="1:12" x14ac:dyDescent="0.2">
      <c r="A37" s="48"/>
      <c r="B37" s="48"/>
      <c r="C37" s="48"/>
      <c r="D37" s="2"/>
    </row>
    <row r="39" spans="1:12" x14ac:dyDescent="0.2">
      <c r="A39" s="53" t="s">
        <v>23</v>
      </c>
      <c r="B39" s="53"/>
      <c r="C39" s="53"/>
      <c r="D39" s="53"/>
      <c r="E39" s="53"/>
      <c r="F39" s="53"/>
      <c r="G39" s="53"/>
      <c r="H39" s="53"/>
      <c r="I39" s="53"/>
      <c r="J39" s="53"/>
      <c r="K39" s="53"/>
      <c r="L39" s="53"/>
    </row>
    <row r="40" spans="1:12" x14ac:dyDescent="0.2">
      <c r="A40" s="15" t="s">
        <v>33</v>
      </c>
      <c r="B40" s="50" t="s">
        <v>24</v>
      </c>
      <c r="C40" s="51"/>
      <c r="D40" s="51"/>
      <c r="E40" s="51"/>
      <c r="F40" s="51"/>
      <c r="G40" s="51"/>
      <c r="H40" s="51"/>
      <c r="I40" s="51"/>
      <c r="J40" s="51"/>
      <c r="K40" s="51"/>
      <c r="L40" s="52"/>
    </row>
    <row r="41" spans="1:12" x14ac:dyDescent="0.2">
      <c r="A41" s="15" t="s">
        <v>27</v>
      </c>
      <c r="B41" s="50" t="s">
        <v>25</v>
      </c>
      <c r="C41" s="51"/>
      <c r="D41" s="51"/>
      <c r="E41" s="51"/>
      <c r="F41" s="51"/>
      <c r="G41" s="51"/>
      <c r="H41" s="51"/>
      <c r="I41" s="51"/>
      <c r="J41" s="51"/>
      <c r="K41" s="51"/>
      <c r="L41" s="52"/>
    </row>
    <row r="42" spans="1:12" ht="32" customHeight="1" x14ac:dyDescent="0.2">
      <c r="A42" s="16" t="s">
        <v>34</v>
      </c>
      <c r="B42" s="50" t="s">
        <v>29</v>
      </c>
      <c r="C42" s="51"/>
      <c r="D42" s="51"/>
      <c r="E42" s="51"/>
      <c r="F42" s="51"/>
      <c r="G42" s="51"/>
      <c r="H42" s="51"/>
      <c r="I42" s="51"/>
      <c r="J42" s="51"/>
      <c r="K42" s="51"/>
      <c r="L42" s="52"/>
    </row>
    <row r="43" spans="1:12" x14ac:dyDescent="0.2">
      <c r="A43" s="15" t="s">
        <v>28</v>
      </c>
      <c r="B43" s="50" t="s">
        <v>26</v>
      </c>
      <c r="C43" s="51"/>
      <c r="D43" s="51"/>
      <c r="E43" s="51"/>
      <c r="F43" s="51"/>
      <c r="G43" s="51"/>
      <c r="H43" s="51"/>
      <c r="I43" s="51"/>
      <c r="J43" s="51"/>
      <c r="K43" s="51"/>
      <c r="L43" s="52"/>
    </row>
    <row r="44" spans="1:12" x14ac:dyDescent="0.2">
      <c r="A44" s="15" t="s">
        <v>35</v>
      </c>
      <c r="B44" s="50" t="s">
        <v>30</v>
      </c>
      <c r="C44" s="51"/>
      <c r="D44" s="51"/>
      <c r="E44" s="51"/>
      <c r="F44" s="51"/>
      <c r="G44" s="51"/>
      <c r="H44" s="51"/>
      <c r="I44" s="51"/>
      <c r="J44" s="51"/>
      <c r="K44" s="51"/>
      <c r="L44" s="52"/>
    </row>
    <row r="45" spans="1:12" x14ac:dyDescent="0.2">
      <c r="A45" s="15" t="s">
        <v>32</v>
      </c>
      <c r="B45" s="50" t="s">
        <v>31</v>
      </c>
      <c r="C45" s="51"/>
      <c r="D45" s="51"/>
      <c r="E45" s="51"/>
      <c r="F45" s="51"/>
      <c r="G45" s="51"/>
      <c r="H45" s="51"/>
      <c r="I45" s="51"/>
      <c r="J45" s="51"/>
      <c r="K45" s="51"/>
      <c r="L45" s="52"/>
    </row>
  </sheetData>
  <mergeCells count="17">
    <mergeCell ref="B45:L45"/>
    <mergeCell ref="A39:L39"/>
    <mergeCell ref="B40:L40"/>
    <mergeCell ref="B41:L41"/>
    <mergeCell ref="B42:L42"/>
    <mergeCell ref="B43:L43"/>
    <mergeCell ref="B44:L44"/>
    <mergeCell ref="A20:C37"/>
    <mergeCell ref="D2:K2"/>
    <mergeCell ref="L2:S2"/>
    <mergeCell ref="A1:S1"/>
    <mergeCell ref="A15:C15"/>
    <mergeCell ref="A18:C18"/>
    <mergeCell ref="A13:C13"/>
    <mergeCell ref="A8:C8"/>
    <mergeCell ref="A2:C2"/>
    <mergeCell ref="A17:C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AA96-6691-A048-BE8D-5A441C5D9327}">
  <sheetPr>
    <tabColor theme="5" tint="-0.249977111117893"/>
  </sheetPr>
  <dimension ref="A1:B26"/>
  <sheetViews>
    <sheetView zoomScale="169" zoomScaleNormal="169" workbookViewId="0">
      <pane ySplit="1" topLeftCell="A2" activePane="bottomLeft" state="frozen"/>
      <selection pane="bottomLeft" activeCell="B16" sqref="B16"/>
    </sheetView>
  </sheetViews>
  <sheetFormatPr baseColWidth="10" defaultRowHeight="16" x14ac:dyDescent="0.2"/>
  <cols>
    <col min="1" max="1" width="28.33203125" bestFit="1" customWidth="1"/>
    <col min="2" max="2" width="14.6640625" bestFit="1" customWidth="1"/>
  </cols>
  <sheetData>
    <row r="1" spans="1:2" x14ac:dyDescent="0.2">
      <c r="A1" s="54" t="s">
        <v>36</v>
      </c>
      <c r="B1" s="54"/>
    </row>
    <row r="2" spans="1:2" x14ac:dyDescent="0.2">
      <c r="A2" s="45" t="s">
        <v>37</v>
      </c>
      <c r="B2" s="45"/>
    </row>
    <row r="3" spans="1:2" x14ac:dyDescent="0.2">
      <c r="A3" s="4" t="s">
        <v>41</v>
      </c>
      <c r="B3" s="17">
        <v>120000</v>
      </c>
    </row>
    <row r="4" spans="1:2" x14ac:dyDescent="0.2">
      <c r="A4" s="4" t="s">
        <v>38</v>
      </c>
      <c r="B4" s="3">
        <v>0.3</v>
      </c>
    </row>
    <row r="5" spans="1:2" x14ac:dyDescent="0.2">
      <c r="A5" s="4" t="s">
        <v>61</v>
      </c>
      <c r="B5" s="3">
        <v>1.4</v>
      </c>
    </row>
    <row r="6" spans="1:2" x14ac:dyDescent="0.2">
      <c r="A6" s="4" t="s">
        <v>62</v>
      </c>
      <c r="B6" s="3">
        <v>0.11</v>
      </c>
    </row>
    <row r="7" spans="1:2" x14ac:dyDescent="0.2">
      <c r="A7" s="4" t="s">
        <v>47</v>
      </c>
      <c r="B7" s="3">
        <v>0.03</v>
      </c>
    </row>
    <row r="8" spans="1:2" x14ac:dyDescent="0.2">
      <c r="A8" s="4" t="s">
        <v>63</v>
      </c>
      <c r="B8" s="3">
        <v>0.16500000000000001</v>
      </c>
    </row>
    <row r="9" spans="1:2" x14ac:dyDescent="0.2">
      <c r="A9" s="4" t="s">
        <v>39</v>
      </c>
      <c r="B9" s="17">
        <v>2200000</v>
      </c>
    </row>
    <row r="10" spans="1:2" x14ac:dyDescent="0.2">
      <c r="A10" s="4" t="s">
        <v>64</v>
      </c>
      <c r="B10" s="3">
        <v>0.04</v>
      </c>
    </row>
    <row r="11" spans="1:2" x14ac:dyDescent="0.2">
      <c r="A11" s="44" t="s">
        <v>1</v>
      </c>
      <c r="B11" s="44"/>
    </row>
    <row r="12" spans="1:2" x14ac:dyDescent="0.2">
      <c r="A12" s="4" t="s">
        <v>42</v>
      </c>
      <c r="B12" s="17">
        <f>B3*(1-B4)</f>
        <v>84000</v>
      </c>
    </row>
    <row r="13" spans="1:2" ht="32" customHeight="1" x14ac:dyDescent="0.2">
      <c r="A13" s="10" t="s">
        <v>48</v>
      </c>
      <c r="B13" s="3">
        <f>B10*(1-B4)</f>
        <v>2.7999999999999997E-2</v>
      </c>
    </row>
    <row r="14" spans="1:2" x14ac:dyDescent="0.2">
      <c r="A14" s="4" t="s">
        <v>40</v>
      </c>
      <c r="B14" s="17">
        <f>B9*B13</f>
        <v>61599.999999999993</v>
      </c>
    </row>
    <row r="15" spans="1:2" x14ac:dyDescent="0.2">
      <c r="A15" s="44" t="s">
        <v>9</v>
      </c>
      <c r="B15" s="44"/>
    </row>
    <row r="16" spans="1:2" ht="32" customHeight="1" x14ac:dyDescent="0.2">
      <c r="A16" s="10" t="s">
        <v>43</v>
      </c>
      <c r="B16" s="17">
        <f>B12/B13</f>
        <v>3000000.0000000005</v>
      </c>
    </row>
    <row r="17" spans="1:2" x14ac:dyDescent="0.2">
      <c r="A17" s="44" t="s">
        <v>10</v>
      </c>
      <c r="B17" s="44"/>
    </row>
    <row r="18" spans="1:2" x14ac:dyDescent="0.2">
      <c r="A18" s="4" t="s">
        <v>44</v>
      </c>
      <c r="B18" s="17">
        <f>B3</f>
        <v>120000</v>
      </c>
    </row>
    <row r="19" spans="1:2" x14ac:dyDescent="0.2">
      <c r="A19" s="4" t="s">
        <v>45</v>
      </c>
      <c r="B19" s="17">
        <f>B9*B10</f>
        <v>88000</v>
      </c>
    </row>
    <row r="20" spans="1:2" ht="16" customHeight="1" x14ac:dyDescent="0.2">
      <c r="A20" s="48" t="s">
        <v>46</v>
      </c>
      <c r="B20" s="48"/>
    </row>
    <row r="21" spans="1:2" x14ac:dyDescent="0.2">
      <c r="A21" s="48"/>
      <c r="B21" s="48"/>
    </row>
    <row r="22" spans="1:2" x14ac:dyDescent="0.2">
      <c r="A22" s="48"/>
      <c r="B22" s="48"/>
    </row>
    <row r="23" spans="1:2" x14ac:dyDescent="0.2">
      <c r="A23" s="48"/>
      <c r="B23" s="48"/>
    </row>
    <row r="24" spans="1:2" x14ac:dyDescent="0.2">
      <c r="A24" s="48"/>
      <c r="B24" s="48"/>
    </row>
    <row r="25" spans="1:2" x14ac:dyDescent="0.2">
      <c r="A25" s="14"/>
      <c r="B25" s="14"/>
    </row>
    <row r="26" spans="1:2" x14ac:dyDescent="0.2">
      <c r="A26" s="14"/>
      <c r="B26" s="14"/>
    </row>
  </sheetData>
  <mergeCells count="6">
    <mergeCell ref="A11:B11"/>
    <mergeCell ref="A1:B1"/>
    <mergeCell ref="A2:B2"/>
    <mergeCell ref="A20:B24"/>
    <mergeCell ref="A17:B17"/>
    <mergeCell ref="A15:B15"/>
  </mergeCells>
  <conditionalFormatting sqref="B12 B14">
    <cfRule type="colorScale" priority="3">
      <colorScale>
        <cfvo type="min"/>
        <cfvo type="percentile" val="50"/>
        <cfvo type="max"/>
        <color rgb="FFF8696B"/>
        <color rgb="FFFCFCFF"/>
        <color rgb="FF63BE7B"/>
      </colorScale>
    </cfRule>
  </conditionalFormatting>
  <conditionalFormatting sqref="B14 B12">
    <cfRule type="colorScale" priority="2">
      <colorScale>
        <cfvo type="min"/>
        <cfvo type="percentile" val="50"/>
        <cfvo type="max"/>
        <color rgb="FF63BE7B"/>
        <color rgb="FFFCFCFF"/>
        <color rgb="FFF8696B"/>
      </colorScale>
    </cfRule>
  </conditionalFormatting>
  <conditionalFormatting sqref="B18:B19">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0CA8-5049-414D-B21E-843C1EC59463}">
  <sheetPr>
    <tabColor theme="9"/>
  </sheetPr>
  <dimension ref="A1:B26"/>
  <sheetViews>
    <sheetView zoomScale="254" zoomScaleNormal="136" workbookViewId="0">
      <selection activeCell="B10" sqref="B10"/>
    </sheetView>
  </sheetViews>
  <sheetFormatPr baseColWidth="10" defaultRowHeight="16" x14ac:dyDescent="0.2"/>
  <cols>
    <col min="1" max="1" width="18.1640625" bestFit="1" customWidth="1"/>
    <col min="2" max="2" width="18.5" bestFit="1" customWidth="1"/>
  </cols>
  <sheetData>
    <row r="1" spans="1:2" x14ac:dyDescent="0.2">
      <c r="A1" s="43" t="s">
        <v>49</v>
      </c>
      <c r="B1" s="43"/>
    </row>
    <row r="2" spans="1:2" x14ac:dyDescent="0.2">
      <c r="A2" s="4" t="s">
        <v>50</v>
      </c>
      <c r="B2" s="17">
        <v>224000000</v>
      </c>
    </row>
    <row r="3" spans="1:2" x14ac:dyDescent="0.2">
      <c r="A3" s="44" t="s">
        <v>1</v>
      </c>
      <c r="B3" s="44"/>
    </row>
    <row r="4" spans="1:2" x14ac:dyDescent="0.2">
      <c r="A4" s="4" t="s">
        <v>51</v>
      </c>
      <c r="B4" s="17">
        <v>160000000</v>
      </c>
    </row>
    <row r="5" spans="1:2" x14ac:dyDescent="0.2">
      <c r="A5" s="4" t="s">
        <v>52</v>
      </c>
      <c r="B5" s="17">
        <f>B2-B4</f>
        <v>64000000</v>
      </c>
    </row>
    <row r="6" spans="1:2" x14ac:dyDescent="0.2">
      <c r="A6" s="4" t="s">
        <v>54</v>
      </c>
      <c r="B6" s="17">
        <f>B2*(1-0.1)</f>
        <v>201600000</v>
      </c>
    </row>
    <row r="7" spans="1:2" x14ac:dyDescent="0.2">
      <c r="A7" s="4" t="s">
        <v>56</v>
      </c>
      <c r="B7" s="17">
        <f>B6-B4</f>
        <v>41600000</v>
      </c>
    </row>
    <row r="8" spans="1:2" x14ac:dyDescent="0.2">
      <c r="A8" s="4" t="s">
        <v>53</v>
      </c>
      <c r="B8" s="3">
        <f>B7/B5-1</f>
        <v>-0.35</v>
      </c>
    </row>
    <row r="9" spans="1:2" x14ac:dyDescent="0.2">
      <c r="A9" s="4" t="s">
        <v>55</v>
      </c>
      <c r="B9" s="17">
        <f>B2*(1+0.2)</f>
        <v>268800000</v>
      </c>
    </row>
    <row r="10" spans="1:2" x14ac:dyDescent="0.2">
      <c r="A10" s="4" t="s">
        <v>57</v>
      </c>
      <c r="B10" s="17">
        <f>B9-B4</f>
        <v>108800000</v>
      </c>
    </row>
    <row r="11" spans="1:2" x14ac:dyDescent="0.2">
      <c r="A11" s="4" t="s">
        <v>53</v>
      </c>
      <c r="B11" s="3">
        <f>B10/B5-1</f>
        <v>0.7</v>
      </c>
    </row>
    <row r="12" spans="1:2" x14ac:dyDescent="0.2">
      <c r="A12" s="44" t="s">
        <v>9</v>
      </c>
      <c r="B12" s="44"/>
    </row>
    <row r="13" spans="1:2" x14ac:dyDescent="0.2">
      <c r="A13" s="4" t="s">
        <v>51</v>
      </c>
      <c r="B13" s="17">
        <v>40000000</v>
      </c>
    </row>
    <row r="14" spans="1:2" x14ac:dyDescent="0.2">
      <c r="A14" s="4" t="s">
        <v>52</v>
      </c>
      <c r="B14" s="17">
        <f>B2-B13</f>
        <v>184000000</v>
      </c>
    </row>
    <row r="15" spans="1:2" x14ac:dyDescent="0.2">
      <c r="A15" s="4" t="s">
        <v>54</v>
      </c>
      <c r="B15" s="17">
        <f>B6</f>
        <v>201600000</v>
      </c>
    </row>
    <row r="16" spans="1:2" x14ac:dyDescent="0.2">
      <c r="A16" s="4" t="s">
        <v>56</v>
      </c>
      <c r="B16" s="17">
        <f>B15-B13</f>
        <v>161600000</v>
      </c>
    </row>
    <row r="17" spans="1:2" x14ac:dyDescent="0.2">
      <c r="A17" s="4" t="s">
        <v>53</v>
      </c>
      <c r="B17" s="18">
        <f>B16/B14-1</f>
        <v>-0.12173913043478257</v>
      </c>
    </row>
    <row r="18" spans="1:2" x14ac:dyDescent="0.2">
      <c r="A18" s="4" t="s">
        <v>55</v>
      </c>
      <c r="B18" s="17">
        <f>B2*(1+0.2)</f>
        <v>268800000</v>
      </c>
    </row>
    <row r="19" spans="1:2" x14ac:dyDescent="0.2">
      <c r="A19" s="4" t="s">
        <v>57</v>
      </c>
      <c r="B19" s="17">
        <f>B18-B13</f>
        <v>228800000</v>
      </c>
    </row>
    <row r="20" spans="1:2" x14ac:dyDescent="0.2">
      <c r="A20" s="4" t="s">
        <v>53</v>
      </c>
      <c r="B20" s="18">
        <f>B19/B14-1</f>
        <v>0.24347826086956514</v>
      </c>
    </row>
    <row r="21" spans="1:2" x14ac:dyDescent="0.2">
      <c r="A21" s="44" t="s">
        <v>10</v>
      </c>
      <c r="B21" s="44"/>
    </row>
    <row r="22" spans="1:2" ht="16" customHeight="1" x14ac:dyDescent="0.2">
      <c r="A22" s="48" t="s">
        <v>58</v>
      </c>
      <c r="B22" s="48"/>
    </row>
    <row r="23" spans="1:2" x14ac:dyDescent="0.2">
      <c r="A23" s="48"/>
      <c r="B23" s="48"/>
    </row>
    <row r="24" spans="1:2" x14ac:dyDescent="0.2">
      <c r="A24" s="48"/>
      <c r="B24" s="48"/>
    </row>
    <row r="25" spans="1:2" x14ac:dyDescent="0.2">
      <c r="A25" s="48"/>
      <c r="B25" s="48"/>
    </row>
    <row r="26" spans="1:2" x14ac:dyDescent="0.2">
      <c r="A26" s="48"/>
      <c r="B26" s="48"/>
    </row>
  </sheetData>
  <mergeCells count="5">
    <mergeCell ref="A1:B1"/>
    <mergeCell ref="A3:B3"/>
    <mergeCell ref="A12:B12"/>
    <mergeCell ref="A21:B21"/>
    <mergeCell ref="A22:B26"/>
  </mergeCells>
  <conditionalFormatting sqref="B6 B9">
    <cfRule type="iconSet" priority="3">
      <iconSet iconSet="3Arrows">
        <cfvo type="percent" val="0"/>
        <cfvo type="percent" val="33"/>
        <cfvo type="percent" val="67"/>
      </iconSet>
    </cfRule>
  </conditionalFormatting>
  <conditionalFormatting sqref="B8 B11">
    <cfRule type="colorScale" priority="4">
      <colorScale>
        <cfvo type="min"/>
        <cfvo type="percentile" val="50"/>
        <cfvo type="max"/>
        <color rgb="FFF8696B"/>
        <color rgb="FFFCFCFF"/>
        <color rgb="FF63BE7B"/>
      </colorScale>
    </cfRule>
  </conditionalFormatting>
  <conditionalFormatting sqref="B15 B18">
    <cfRule type="iconSet" priority="1">
      <iconSet iconSet="3Arrows">
        <cfvo type="percent" val="0"/>
        <cfvo type="percent" val="33"/>
        <cfvo type="percent" val="67"/>
      </iconSet>
    </cfRule>
  </conditionalFormatting>
  <conditionalFormatting sqref="B17 B20">
    <cfRule type="colorScale" priority="2">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93FA-173A-D945-A40C-DC43204C43A4}">
  <sheetPr>
    <tabColor rgb="FF7030A0"/>
  </sheetPr>
  <dimension ref="A1:C29"/>
  <sheetViews>
    <sheetView zoomScale="140" zoomScaleNormal="140" workbookViewId="0">
      <pane ySplit="1" topLeftCell="A2" activePane="bottomLeft" state="frozen"/>
      <selection pane="bottomLeft" activeCell="F11" sqref="F11"/>
    </sheetView>
  </sheetViews>
  <sheetFormatPr baseColWidth="10" defaultRowHeight="16" x14ac:dyDescent="0.2"/>
  <cols>
    <col min="1" max="1" width="26.1640625" customWidth="1"/>
    <col min="2" max="2" width="10.83203125" customWidth="1"/>
  </cols>
  <sheetData>
    <row r="1" spans="1:3" x14ac:dyDescent="0.2">
      <c r="A1" s="43" t="s">
        <v>59</v>
      </c>
      <c r="B1" s="43"/>
      <c r="C1" s="43"/>
    </row>
    <row r="2" spans="1:3" x14ac:dyDescent="0.2">
      <c r="A2" s="46" t="s">
        <v>60</v>
      </c>
      <c r="B2" s="46"/>
      <c r="C2" s="3">
        <v>100</v>
      </c>
    </row>
    <row r="3" spans="1:3" x14ac:dyDescent="0.2">
      <c r="A3" s="46" t="s">
        <v>68</v>
      </c>
      <c r="B3" s="46"/>
      <c r="C3" s="3">
        <v>0.8</v>
      </c>
    </row>
    <row r="4" spans="1:3" x14ac:dyDescent="0.2">
      <c r="A4" s="46" t="s">
        <v>65</v>
      </c>
      <c r="B4" s="46"/>
      <c r="C4" s="3">
        <v>1</v>
      </c>
    </row>
    <row r="5" spans="1:3" x14ac:dyDescent="0.2">
      <c r="A5" s="46" t="s">
        <v>47</v>
      </c>
      <c r="B5" s="46"/>
      <c r="C5" s="3">
        <v>0.04</v>
      </c>
    </row>
    <row r="6" spans="1:3" x14ac:dyDescent="0.2">
      <c r="A6" s="46" t="s">
        <v>69</v>
      </c>
      <c r="B6" s="46"/>
      <c r="C6" s="3">
        <v>0.1</v>
      </c>
    </row>
    <row r="7" spans="1:3" x14ac:dyDescent="0.2">
      <c r="A7" s="49" t="s">
        <v>66</v>
      </c>
      <c r="B7" s="49"/>
      <c r="C7" s="49"/>
    </row>
    <row r="8" spans="1:3" x14ac:dyDescent="0.2">
      <c r="A8" s="55" t="s">
        <v>1</v>
      </c>
      <c r="B8" s="55"/>
      <c r="C8" s="55"/>
    </row>
    <row r="9" spans="1:3" x14ac:dyDescent="0.2">
      <c r="A9" s="46" t="s">
        <v>70</v>
      </c>
      <c r="B9" s="46"/>
      <c r="C9" s="3">
        <f>C5+C3*(C6-C5)</f>
        <v>8.8000000000000009E-2</v>
      </c>
    </row>
    <row r="10" spans="1:3" x14ac:dyDescent="0.2">
      <c r="A10" s="55" t="s">
        <v>9</v>
      </c>
      <c r="B10" s="55"/>
      <c r="C10" s="55"/>
    </row>
    <row r="11" spans="1:3" ht="32" customHeight="1" x14ac:dyDescent="0.2">
      <c r="A11" s="56" t="s">
        <v>71</v>
      </c>
      <c r="B11" s="56"/>
      <c r="C11" s="3">
        <f>C9</f>
        <v>8.8000000000000009E-2</v>
      </c>
    </row>
    <row r="12" spans="1:3" x14ac:dyDescent="0.2">
      <c r="A12" s="46" t="s">
        <v>72</v>
      </c>
      <c r="B12" s="46"/>
      <c r="C12" s="3">
        <f>C2/C11</f>
        <v>1136.3636363636363</v>
      </c>
    </row>
    <row r="13" spans="1:3" x14ac:dyDescent="0.2">
      <c r="A13" s="1" t="s">
        <v>67</v>
      </c>
      <c r="B13" s="1" t="s">
        <v>10</v>
      </c>
      <c r="C13" s="1" t="s">
        <v>12</v>
      </c>
    </row>
    <row r="14" spans="1:3" x14ac:dyDescent="0.2">
      <c r="A14" s="4" t="s">
        <v>73</v>
      </c>
      <c r="B14" s="3">
        <v>0</v>
      </c>
      <c r="C14" s="3">
        <v>0.4</v>
      </c>
    </row>
    <row r="15" spans="1:3" x14ac:dyDescent="0.2">
      <c r="A15" s="4" t="s">
        <v>74</v>
      </c>
      <c r="B15" s="3">
        <f>(1+C4)*C3</f>
        <v>1.6</v>
      </c>
      <c r="C15" s="3">
        <f>C3+C4*(C3-C14)</f>
        <v>1.2000000000000002</v>
      </c>
    </row>
    <row r="16" spans="1:3" x14ac:dyDescent="0.2">
      <c r="A16" s="4" t="s">
        <v>75</v>
      </c>
      <c r="B16" s="3">
        <f>C5+B15*(C6-C5)</f>
        <v>0.13600000000000001</v>
      </c>
      <c r="C16" s="3">
        <f>C5+C15*(C6-C5)</f>
        <v>0.11200000000000002</v>
      </c>
    </row>
    <row r="17" spans="1:3" ht="16" customHeight="1" x14ac:dyDescent="0.2">
      <c r="A17" s="4" t="s">
        <v>76</v>
      </c>
      <c r="B17" s="3">
        <f>C5+B14*(C6-C5)</f>
        <v>0.04</v>
      </c>
      <c r="C17" s="3">
        <f>C5+C14*(C6-C5)</f>
        <v>6.4000000000000001E-2</v>
      </c>
    </row>
    <row r="18" spans="1:3" x14ac:dyDescent="0.2">
      <c r="A18" s="4" t="s">
        <v>77</v>
      </c>
      <c r="B18" s="3">
        <f>1/2*B16+1/2*B17</f>
        <v>8.8000000000000009E-2</v>
      </c>
      <c r="C18" s="3">
        <f>1/2*C16+1/2*C17</f>
        <v>8.8000000000000009E-2</v>
      </c>
    </row>
    <row r="19" spans="1:3" x14ac:dyDescent="0.2">
      <c r="A19" s="44" t="s">
        <v>15</v>
      </c>
      <c r="B19" s="44"/>
      <c r="C19" s="44"/>
    </row>
    <row r="20" spans="1:3" ht="16" customHeight="1" x14ac:dyDescent="0.2">
      <c r="A20" s="48" t="s">
        <v>78</v>
      </c>
      <c r="B20" s="48"/>
      <c r="C20" s="48"/>
    </row>
    <row r="21" spans="1:3" x14ac:dyDescent="0.2">
      <c r="A21" s="48"/>
      <c r="B21" s="48"/>
      <c r="C21" s="48"/>
    </row>
    <row r="22" spans="1:3" x14ac:dyDescent="0.2">
      <c r="A22" s="48"/>
      <c r="B22" s="48"/>
      <c r="C22" s="48"/>
    </row>
    <row r="23" spans="1:3" x14ac:dyDescent="0.2">
      <c r="A23" s="48"/>
      <c r="B23" s="48"/>
      <c r="C23" s="48"/>
    </row>
    <row r="24" spans="1:3" x14ac:dyDescent="0.2">
      <c r="A24" s="48"/>
      <c r="B24" s="48"/>
      <c r="C24" s="48"/>
    </row>
    <row r="25" spans="1:3" x14ac:dyDescent="0.2">
      <c r="A25" s="48"/>
      <c r="B25" s="48"/>
      <c r="C25" s="48"/>
    </row>
    <row r="26" spans="1:3" x14ac:dyDescent="0.2">
      <c r="A26" s="48"/>
      <c r="B26" s="48"/>
      <c r="C26" s="48"/>
    </row>
    <row r="27" spans="1:3" x14ac:dyDescent="0.2">
      <c r="A27" s="48"/>
      <c r="B27" s="48"/>
      <c r="C27" s="48"/>
    </row>
    <row r="28" spans="1:3" x14ac:dyDescent="0.2">
      <c r="A28" s="48"/>
      <c r="B28" s="48"/>
      <c r="C28" s="48"/>
    </row>
    <row r="29" spans="1:3" x14ac:dyDescent="0.2">
      <c r="A29" s="14"/>
      <c r="B29" s="14"/>
      <c r="C29" s="14"/>
    </row>
  </sheetData>
  <mergeCells count="14">
    <mergeCell ref="A6:B6"/>
    <mergeCell ref="A20:C28"/>
    <mergeCell ref="A1:C1"/>
    <mergeCell ref="A19:C19"/>
    <mergeCell ref="A7:C7"/>
    <mergeCell ref="A8:C8"/>
    <mergeCell ref="A10:C10"/>
    <mergeCell ref="A11:B11"/>
    <mergeCell ref="A12:B12"/>
    <mergeCell ref="A9:B9"/>
    <mergeCell ref="A2:B2"/>
    <mergeCell ref="A3:B3"/>
    <mergeCell ref="A4:B4"/>
    <mergeCell ref="A5:B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7471-24BD-854A-8705-D9E103A45254}">
  <sheetPr>
    <tabColor rgb="FFFFFF00"/>
  </sheetPr>
  <dimension ref="A1:G18"/>
  <sheetViews>
    <sheetView zoomScale="109" zoomScaleNormal="109" workbookViewId="0">
      <pane ySplit="1" topLeftCell="A2" activePane="bottomLeft" state="frozen"/>
      <selection pane="bottomLeft" activeCell="D24" sqref="D24"/>
    </sheetView>
  </sheetViews>
  <sheetFormatPr baseColWidth="10" defaultRowHeight="16" x14ac:dyDescent="0.2"/>
  <cols>
    <col min="1" max="1" width="14.1640625" bestFit="1" customWidth="1"/>
    <col min="3" max="3" width="12.83203125" bestFit="1" customWidth="1"/>
    <col min="4" max="4" width="15.5" bestFit="1" customWidth="1"/>
    <col min="5" max="5" width="18.1640625" bestFit="1" customWidth="1"/>
  </cols>
  <sheetData>
    <row r="1" spans="1:7" x14ac:dyDescent="0.2">
      <c r="A1" s="43" t="s">
        <v>79</v>
      </c>
      <c r="B1" s="43"/>
      <c r="C1" s="43"/>
      <c r="D1" s="43"/>
      <c r="E1" s="43"/>
      <c r="F1" s="43"/>
      <c r="G1" s="43"/>
    </row>
    <row r="2" spans="1:7" x14ac:dyDescent="0.2">
      <c r="A2" s="4" t="s">
        <v>81</v>
      </c>
      <c r="B2" s="4" t="s">
        <v>85</v>
      </c>
      <c r="C2" s="4" t="s">
        <v>86</v>
      </c>
      <c r="D2" s="5"/>
      <c r="E2" s="3"/>
      <c r="F2" s="4" t="s">
        <v>88</v>
      </c>
      <c r="G2" s="4" t="s">
        <v>89</v>
      </c>
    </row>
    <row r="3" spans="1:7" x14ac:dyDescent="0.2">
      <c r="A3" s="4" t="s">
        <v>82</v>
      </c>
      <c r="B3" s="3">
        <v>250</v>
      </c>
      <c r="C3" s="3">
        <v>190</v>
      </c>
      <c r="D3" s="5"/>
      <c r="E3" s="4" t="s">
        <v>87</v>
      </c>
      <c r="F3" s="3">
        <v>320</v>
      </c>
      <c r="G3" s="3">
        <v>140</v>
      </c>
    </row>
    <row r="4" spans="1:7" x14ac:dyDescent="0.2">
      <c r="A4" s="4" t="s">
        <v>83</v>
      </c>
      <c r="B4" s="3">
        <v>0</v>
      </c>
      <c r="C4" s="3">
        <v>80</v>
      </c>
      <c r="D4" s="5"/>
      <c r="E4" s="4" t="s">
        <v>94</v>
      </c>
      <c r="F4" s="3">
        <v>0.5</v>
      </c>
      <c r="G4" s="3">
        <v>0.5</v>
      </c>
    </row>
    <row r="5" spans="1:7" ht="16" customHeight="1" x14ac:dyDescent="0.2">
      <c r="A5" s="4" t="s">
        <v>84</v>
      </c>
      <c r="B5" s="3">
        <v>250</v>
      </c>
      <c r="C5" s="3">
        <v>270</v>
      </c>
      <c r="D5" s="5"/>
      <c r="E5" s="21" t="s">
        <v>101</v>
      </c>
      <c r="F5" s="49">
        <v>0.05</v>
      </c>
      <c r="G5" s="49"/>
    </row>
    <row r="6" spans="1:7" x14ac:dyDescent="0.2">
      <c r="A6" s="44" t="s">
        <v>1</v>
      </c>
      <c r="B6" s="44"/>
      <c r="C6" s="44"/>
      <c r="D6" s="44"/>
      <c r="E6" s="44"/>
      <c r="F6" s="44"/>
      <c r="G6" s="44"/>
    </row>
    <row r="7" spans="1:7" ht="16" customHeight="1" x14ac:dyDescent="0.2">
      <c r="A7" s="48" t="s">
        <v>98</v>
      </c>
      <c r="B7" s="48"/>
      <c r="C7" s="48"/>
      <c r="D7" s="48"/>
      <c r="E7" s="48"/>
      <c r="F7" s="48"/>
      <c r="G7" s="48"/>
    </row>
    <row r="8" spans="1:7" x14ac:dyDescent="0.2">
      <c r="A8" s="48"/>
      <c r="B8" s="48"/>
      <c r="C8" s="48"/>
      <c r="D8" s="48"/>
      <c r="E8" s="48"/>
      <c r="F8" s="48"/>
      <c r="G8" s="48"/>
    </row>
    <row r="9" spans="1:7" x14ac:dyDescent="0.2">
      <c r="A9" s="44" t="s">
        <v>9</v>
      </c>
      <c r="B9" s="44"/>
      <c r="C9" s="44"/>
      <c r="D9" s="44"/>
      <c r="E9" s="5"/>
      <c r="F9" s="5"/>
      <c r="G9" s="5"/>
    </row>
    <row r="10" spans="1:7" x14ac:dyDescent="0.2">
      <c r="A10" s="3"/>
      <c r="B10" s="4" t="s">
        <v>90</v>
      </c>
      <c r="C10" s="4" t="s">
        <v>102</v>
      </c>
      <c r="D10" s="4" t="s">
        <v>95</v>
      </c>
      <c r="E10" s="5"/>
      <c r="F10" s="5"/>
      <c r="G10" s="5"/>
    </row>
    <row r="11" spans="1:7" x14ac:dyDescent="0.2">
      <c r="A11" s="4" t="s">
        <v>92</v>
      </c>
      <c r="B11" s="3">
        <f>C5</f>
        <v>270</v>
      </c>
      <c r="C11" s="3"/>
      <c r="D11" s="3"/>
      <c r="E11" s="5"/>
      <c r="F11" s="5"/>
      <c r="G11" s="5"/>
    </row>
    <row r="12" spans="1:7" x14ac:dyDescent="0.2">
      <c r="A12" s="4" t="s">
        <v>100</v>
      </c>
      <c r="B12" s="3">
        <f>-B5</f>
        <v>-250</v>
      </c>
      <c r="C12" s="3"/>
      <c r="D12" s="3"/>
      <c r="E12" s="5"/>
      <c r="F12" s="5"/>
      <c r="G12" s="5"/>
    </row>
    <row r="13" spans="1:7" x14ac:dyDescent="0.2">
      <c r="A13" s="4" t="s">
        <v>96</v>
      </c>
      <c r="B13" s="19">
        <f>(C13*F4+D13*G4)/(1+F5)</f>
        <v>219.04761904761904</v>
      </c>
      <c r="C13" s="3">
        <f>F3</f>
        <v>320</v>
      </c>
      <c r="D13" s="3">
        <f>G3</f>
        <v>140</v>
      </c>
      <c r="E13" s="5"/>
      <c r="F13" s="5"/>
      <c r="G13" s="5"/>
    </row>
    <row r="14" spans="1:7" x14ac:dyDescent="0.2">
      <c r="A14" s="4" t="s">
        <v>97</v>
      </c>
      <c r="B14" s="3">
        <f>(C14*F4+D14*F4)/(1+F5)</f>
        <v>-219.04761904761904</v>
      </c>
      <c r="C14" s="3">
        <f>-F3</f>
        <v>-320</v>
      </c>
      <c r="D14" s="3">
        <f>-G3</f>
        <v>-140</v>
      </c>
      <c r="E14" s="5"/>
      <c r="F14" s="5"/>
      <c r="G14" s="5"/>
    </row>
    <row r="15" spans="1:7" x14ac:dyDescent="0.2">
      <c r="A15" s="4" t="s">
        <v>93</v>
      </c>
      <c r="B15" s="20">
        <f>SUM(B11:B14)</f>
        <v>20</v>
      </c>
      <c r="C15" s="3">
        <f>SUM(C13:C14)</f>
        <v>0</v>
      </c>
      <c r="D15" s="3">
        <f>SUM(D13:D14)</f>
        <v>0</v>
      </c>
      <c r="E15" s="5"/>
      <c r="F15" s="5"/>
      <c r="G15" s="5"/>
    </row>
    <row r="16" spans="1:7" x14ac:dyDescent="0.2">
      <c r="A16" s="44" t="s">
        <v>10</v>
      </c>
      <c r="B16" s="44"/>
      <c r="C16" s="44"/>
      <c r="D16" s="44"/>
      <c r="E16" s="44"/>
      <c r="F16" s="44"/>
      <c r="G16" s="44"/>
    </row>
    <row r="17" spans="1:7" x14ac:dyDescent="0.2">
      <c r="A17" s="48" t="s">
        <v>99</v>
      </c>
      <c r="B17" s="48"/>
      <c r="C17" s="48"/>
      <c r="D17" s="48"/>
      <c r="E17" s="48"/>
      <c r="F17" s="48"/>
      <c r="G17" s="48"/>
    </row>
    <row r="18" spans="1:7" x14ac:dyDescent="0.2">
      <c r="A18" s="48"/>
      <c r="B18" s="48"/>
      <c r="C18" s="48"/>
      <c r="D18" s="48"/>
      <c r="E18" s="48"/>
      <c r="F18" s="48"/>
      <c r="G18" s="48"/>
    </row>
  </sheetData>
  <mergeCells count="7">
    <mergeCell ref="A1:G1"/>
    <mergeCell ref="F5:G5"/>
    <mergeCell ref="A7:G8"/>
    <mergeCell ref="A17:G18"/>
    <mergeCell ref="A16:G16"/>
    <mergeCell ref="A9:D9"/>
    <mergeCell ref="A6:G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2A2C71D2-8C5F-B64A-AAB0-E64A1C726E30}">
            <x14:iconSet iconSet="3Triangles">
              <x14:cfvo type="percent">
                <xm:f>0</xm:f>
              </x14:cfvo>
              <x14:cfvo type="percent">
                <xm:f>33</xm:f>
              </x14:cfvo>
              <x14:cfvo type="percent">
                <xm:f>67</xm:f>
              </x14:cfvo>
            </x14:iconSet>
          </x14:cfRule>
          <xm:sqref>F3:G3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E2F3-A8AE-494F-BE6F-CE04C59366B6}">
  <sheetPr>
    <tabColor rgb="FF00B0F0"/>
  </sheetPr>
  <dimension ref="A1:F17"/>
  <sheetViews>
    <sheetView tabSelected="1" zoomScale="143" zoomScaleNormal="143" workbookViewId="0">
      <selection activeCell="J8" sqref="J8"/>
    </sheetView>
  </sheetViews>
  <sheetFormatPr baseColWidth="10" defaultRowHeight="16" x14ac:dyDescent="0.2"/>
  <cols>
    <col min="1" max="1" width="15.6640625" bestFit="1" customWidth="1"/>
    <col min="3" max="3" width="14.5" bestFit="1" customWidth="1"/>
    <col min="4" max="4" width="16.5" bestFit="1" customWidth="1"/>
  </cols>
  <sheetData>
    <row r="1" spans="1:6" x14ac:dyDescent="0.2">
      <c r="A1" s="43" t="s">
        <v>80</v>
      </c>
      <c r="B1" s="43"/>
      <c r="C1" s="43"/>
      <c r="D1" s="43"/>
      <c r="E1" s="43"/>
      <c r="F1" s="43"/>
    </row>
    <row r="2" spans="1:6" x14ac:dyDescent="0.2">
      <c r="A2" s="45" t="s">
        <v>37</v>
      </c>
      <c r="B2" s="45"/>
      <c r="C2" s="5"/>
      <c r="D2" s="4"/>
      <c r="E2" s="4" t="s">
        <v>88</v>
      </c>
      <c r="F2" s="4" t="s">
        <v>89</v>
      </c>
    </row>
    <row r="3" spans="1:6" x14ac:dyDescent="0.2">
      <c r="A3" s="4" t="s">
        <v>103</v>
      </c>
      <c r="B3" s="35">
        <v>500</v>
      </c>
      <c r="C3" s="5"/>
      <c r="D3" s="4" t="s">
        <v>112</v>
      </c>
      <c r="E3" s="35">
        <v>900</v>
      </c>
      <c r="F3" s="35">
        <v>400</v>
      </c>
    </row>
    <row r="4" spans="1:6" x14ac:dyDescent="0.2">
      <c r="A4" s="4" t="s">
        <v>113</v>
      </c>
      <c r="B4" s="3">
        <v>0.04</v>
      </c>
      <c r="C4" s="5"/>
      <c r="D4" s="4" t="s">
        <v>104</v>
      </c>
      <c r="E4" s="3">
        <v>0.6</v>
      </c>
      <c r="F4" s="3">
        <f>1-E4</f>
        <v>0.4</v>
      </c>
    </row>
    <row r="5" spans="1:6" x14ac:dyDescent="0.2">
      <c r="A5" s="5"/>
      <c r="B5" s="5"/>
      <c r="C5" s="5"/>
      <c r="D5" s="5"/>
      <c r="E5" s="5"/>
      <c r="F5" s="5"/>
    </row>
    <row r="6" spans="1:6" x14ac:dyDescent="0.2">
      <c r="A6" s="44" t="s">
        <v>1</v>
      </c>
      <c r="B6" s="44"/>
      <c r="C6" s="5"/>
      <c r="D6" s="5"/>
      <c r="E6" s="5"/>
      <c r="F6" s="5"/>
    </row>
    <row r="7" spans="1:6" x14ac:dyDescent="0.2">
      <c r="A7" s="3" t="s">
        <v>105</v>
      </c>
      <c r="B7" s="9">
        <f>-B3+(E3*E4+F3*F4)/(1+B4)</f>
        <v>173.07692307692309</v>
      </c>
      <c r="C7" s="5"/>
      <c r="D7" s="5"/>
      <c r="E7" s="5"/>
      <c r="F7" s="5"/>
    </row>
    <row r="8" spans="1:6" x14ac:dyDescent="0.2">
      <c r="A8" s="5"/>
      <c r="B8" s="5"/>
      <c r="C8" s="5"/>
      <c r="D8" s="5"/>
      <c r="E8" s="5"/>
      <c r="F8" s="5"/>
    </row>
    <row r="9" spans="1:6" x14ac:dyDescent="0.2">
      <c r="A9" s="44" t="s">
        <v>9</v>
      </c>
      <c r="B9" s="44"/>
      <c r="C9" s="44"/>
      <c r="D9" s="5"/>
      <c r="E9" s="44" t="s">
        <v>10</v>
      </c>
      <c r="F9" s="44"/>
    </row>
    <row r="10" spans="1:6" x14ac:dyDescent="0.2">
      <c r="A10" s="46" t="s">
        <v>106</v>
      </c>
      <c r="B10" s="46"/>
      <c r="C10" s="36">
        <f>(B3*(1+B4)-F4*F3)/E4</f>
        <v>600</v>
      </c>
      <c r="D10" s="5"/>
      <c r="E10" s="47" t="s">
        <v>109</v>
      </c>
      <c r="F10" s="47"/>
    </row>
    <row r="11" spans="1:6" x14ac:dyDescent="0.2">
      <c r="A11" s="45" t="s">
        <v>109</v>
      </c>
      <c r="B11" s="45"/>
      <c r="C11" s="45"/>
      <c r="D11" s="5"/>
      <c r="E11" s="45"/>
      <c r="F11" s="45"/>
    </row>
    <row r="12" spans="1:6" x14ac:dyDescent="0.2">
      <c r="A12" s="39" t="s">
        <v>90</v>
      </c>
      <c r="B12" s="40"/>
      <c r="C12" s="41" t="s">
        <v>111</v>
      </c>
      <c r="D12" s="5"/>
      <c r="E12" s="37" t="s">
        <v>90</v>
      </c>
      <c r="F12" s="38" t="s">
        <v>91</v>
      </c>
    </row>
    <row r="13" spans="1:6" x14ac:dyDescent="0.2">
      <c r="A13" s="22"/>
      <c r="B13" s="23"/>
      <c r="C13" s="24" t="s">
        <v>110</v>
      </c>
      <c r="E13" s="22"/>
      <c r="F13" s="33">
        <f>E3-C10</f>
        <v>300</v>
      </c>
    </row>
    <row r="14" spans="1:6" x14ac:dyDescent="0.2">
      <c r="A14" s="25"/>
      <c r="B14" s="26" t="s">
        <v>107</v>
      </c>
      <c r="C14" s="27"/>
      <c r="E14" s="25"/>
      <c r="F14" s="27" t="s">
        <v>107</v>
      </c>
    </row>
    <row r="15" spans="1:6" x14ac:dyDescent="0.2">
      <c r="A15" s="28">
        <v>500</v>
      </c>
      <c r="B15" s="26"/>
      <c r="C15" s="27"/>
      <c r="E15" s="42">
        <f>(F13*E4+F4*F17)/(1+B4)</f>
        <v>173.07692307692307</v>
      </c>
      <c r="F15" s="27"/>
    </row>
    <row r="16" spans="1:6" x14ac:dyDescent="0.2">
      <c r="A16" s="25"/>
      <c r="B16" s="29" t="s">
        <v>108</v>
      </c>
      <c r="C16" s="27"/>
      <c r="E16" s="25"/>
      <c r="F16" s="27" t="s">
        <v>114</v>
      </c>
    </row>
    <row r="17" spans="1:6" x14ac:dyDescent="0.2">
      <c r="A17" s="30"/>
      <c r="B17" s="31"/>
      <c r="C17" s="32">
        <f>F3</f>
        <v>400</v>
      </c>
      <c r="E17" s="30"/>
      <c r="F17" s="34">
        <f>F3-C17</f>
        <v>0</v>
      </c>
    </row>
  </sheetData>
  <mergeCells count="8">
    <mergeCell ref="A1:F1"/>
    <mergeCell ref="E9:F9"/>
    <mergeCell ref="A2:B2"/>
    <mergeCell ref="A11:C11"/>
    <mergeCell ref="A9:C9"/>
    <mergeCell ref="A10:B10"/>
    <mergeCell ref="E10:F11"/>
    <mergeCell ref="A6:B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5FC08429-1D2A-2444-B378-B4DDF44B7E39}">
            <x14:iconSet iconSet="3Triangles">
              <x14:cfvo type="percent">
                <xm:f>0</xm:f>
              </x14:cfvo>
              <x14:cfvo type="percent">
                <xm:f>33</xm:f>
              </x14:cfvo>
              <x14:cfvo type="percent">
                <xm:f>67</xm:f>
              </x14:cfvo>
            </x14:iconSet>
          </x14:cfRule>
          <xm:sqref>E3:F3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M.C.1.1</vt:lpstr>
      <vt:lpstr>M.C.1.2</vt:lpstr>
      <vt:lpstr>M.C.1.3</vt:lpstr>
      <vt:lpstr>M.C.1.4</vt:lpstr>
      <vt:lpstr>M.C.1.5</vt:lpstr>
      <vt:lpstr>M.C.1.6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Burdukov, Oleh</cp:lastModifiedBy>
  <dcterms:created xsi:type="dcterms:W3CDTF">2026-03-11T17:19:58Z</dcterms:created>
  <dcterms:modified xsi:type="dcterms:W3CDTF">2026-07-04T16:20:27Z</dcterms:modified>
</cp:coreProperties>
</file>