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olegburdukov/Documents/Österreich/WU/WU Hauptstudium/SBWL/SBWL Finance/Course III Corporate Finance/Interactive part/Unit 3/"/>
    </mc:Choice>
  </mc:AlternateContent>
  <xr:revisionPtr revIDLastSave="0" documentId="13_ncr:1_{FDC55E37-4C1E-9F4D-AFD8-4CC1DA880F5F}" xr6:coauthVersionLast="47" xr6:coauthVersionMax="47" xr10:uidLastSave="{00000000-0000-0000-0000-000000000000}"/>
  <bookViews>
    <workbookView xWindow="14820" yWindow="720" windowWidth="14580" windowHeight="18400" activeTab="5" xr2:uid="{58EEC8A3-6E82-614D-B563-172DC8B1FCE5}"/>
  </bookViews>
  <sheets>
    <sheet name="M.C.3.1" sheetId="1" r:id="rId1"/>
    <sheet name="M.C.3.2" sheetId="2" r:id="rId2"/>
    <sheet name="M.C.3.3" sheetId="3" r:id="rId3"/>
    <sheet name="M.C.3.4" sheetId="4" r:id="rId4"/>
    <sheet name="M.C.3.5" sheetId="5" r:id="rId5"/>
    <sheet name="M.C.3.6" sheetId="6" r:id="rId6"/>
  </sheets>
  <definedNames>
    <definedName name="solver_adj" localSheetId="4" hidden="1">'M.C.3.5'!$L$14,'M.C.3.5'!$L$17</definedName>
    <definedName name="solver_cvg" localSheetId="4" hidden="1">0.0001</definedName>
    <definedName name="solver_drv" localSheetId="4" hidden="1">1</definedName>
    <definedName name="solver_eng" localSheetId="4" hidden="1">1</definedName>
    <definedName name="solver_itr" localSheetId="4" hidden="1">2147483647</definedName>
    <definedName name="solver_lhs1" localSheetId="4" hidden="1">'M.C.3.5'!$L$15</definedName>
    <definedName name="solver_lhs2" localSheetId="4" hidden="1">'M.C.3.5'!$L$15</definedName>
    <definedName name="solver_lin" localSheetId="4" hidden="1">2</definedName>
    <definedName name="solver_mip" localSheetId="4" hidden="1">2147483647</definedName>
    <definedName name="solver_mni" localSheetId="4" hidden="1">30</definedName>
    <definedName name="solver_mrt" localSheetId="4" hidden="1">0.075</definedName>
    <definedName name="solver_msl" localSheetId="4" hidden="1">2</definedName>
    <definedName name="solver_neg" localSheetId="4" hidden="1">1</definedName>
    <definedName name="solver_nod" localSheetId="4" hidden="1">2147483647</definedName>
    <definedName name="solver_num" localSheetId="4" hidden="1">1</definedName>
    <definedName name="solver_opt" localSheetId="4" hidden="1">'M.C.3.5'!$N$15</definedName>
    <definedName name="solver_pre" localSheetId="4" hidden="1">0.000001</definedName>
    <definedName name="solver_rbv" localSheetId="4" hidden="1">1</definedName>
    <definedName name="solver_rel1" localSheetId="4" hidden="1">2</definedName>
    <definedName name="solver_rel2" localSheetId="4" hidden="1">2</definedName>
    <definedName name="solver_rhs1" localSheetId="4" hidden="1">'M.C.3.5'!$L$18</definedName>
    <definedName name="solver_rhs2" localSheetId="4" hidden="1">'M.C.3.5'!$L$18</definedName>
    <definedName name="solver_rlx" localSheetId="4" hidden="1">1</definedName>
    <definedName name="solver_rsd" localSheetId="4" hidden="1">0</definedName>
    <definedName name="solver_scl" localSheetId="4" hidden="1">2</definedName>
    <definedName name="solver_sho" localSheetId="4" hidden="1">2</definedName>
    <definedName name="solver_ssz" localSheetId="4" hidden="1">100</definedName>
    <definedName name="solver_tim" localSheetId="4" hidden="1">2147483647</definedName>
    <definedName name="solver_tol" localSheetId="4" hidden="1">0.01</definedName>
    <definedName name="solver_typ" localSheetId="4" hidden="1">1</definedName>
    <definedName name="solver_val" localSheetId="4" hidden="1">0</definedName>
    <definedName name="solver_ver" localSheetId="4"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6" l="1"/>
  <c r="L17" i="5"/>
  <c r="M17" i="5"/>
  <c r="M14" i="5"/>
  <c r="M15" i="5" s="1"/>
  <c r="L8" i="5"/>
  <c r="E17" i="6" a="1"/>
  <c r="E17" i="6" s="1"/>
  <c r="I5" i="5"/>
  <c r="H5" i="5"/>
  <c r="G4" i="3"/>
  <c r="H4" i="3"/>
  <c r="G18" i="2"/>
  <c r="H8" i="5"/>
  <c r="G8" i="5" s="1"/>
  <c r="E15" i="6"/>
  <c r="E13" i="6" a="1"/>
  <c r="E13" i="6" s="1"/>
  <c r="E10" i="6"/>
  <c r="N15" i="5"/>
  <c r="N18" i="5"/>
  <c r="L15" i="5"/>
  <c r="N17" i="5"/>
  <c r="N14" i="5"/>
  <c r="M9" i="5"/>
  <c r="N9" i="5"/>
  <c r="L9" i="5"/>
  <c r="M6" i="5"/>
  <c r="N6" i="5"/>
  <c r="L6" i="5"/>
  <c r="M8" i="5"/>
  <c r="L7" i="5"/>
  <c r="N8" i="5"/>
  <c r="M5" i="5"/>
  <c r="N5" i="5"/>
  <c r="L4" i="5"/>
  <c r="N4" i="5"/>
  <c r="M4" i="5"/>
  <c r="M7" i="5"/>
  <c r="N7" i="5"/>
  <c r="I8" i="5"/>
  <c r="G7" i="5"/>
  <c r="I7" i="5"/>
  <c r="I9" i="5" s="1"/>
  <c r="H7" i="5"/>
  <c r="I4" i="5"/>
  <c r="H4" i="5"/>
  <c r="Q8" i="4"/>
  <c r="R6" i="4"/>
  <c r="S6" i="4"/>
  <c r="Q4" i="4"/>
  <c r="Q6" i="4" s="1"/>
  <c r="N4" i="4"/>
  <c r="I7" i="4"/>
  <c r="N7" i="4" s="1"/>
  <c r="S7" i="4" s="1"/>
  <c r="S9" i="4" s="1"/>
  <c r="H7" i="4"/>
  <c r="M7" i="4" s="1"/>
  <c r="R7" i="4" s="1"/>
  <c r="R9" i="4" s="1"/>
  <c r="I4" i="4"/>
  <c r="I5" i="4" s="1"/>
  <c r="I6" i="4" s="1"/>
  <c r="H4" i="4"/>
  <c r="M4" i="4" s="1"/>
  <c r="D15" i="4" a="1"/>
  <c r="D15" i="4" s="1"/>
  <c r="D14" i="4" a="1"/>
  <c r="D14" i="4" s="1"/>
  <c r="C14" i="4"/>
  <c r="C15" i="4" a="1"/>
  <c r="C15" i="4" s="1"/>
  <c r="G3" i="3"/>
  <c r="I3" i="3" s="1"/>
  <c r="I4" i="3"/>
  <c r="H3" i="3"/>
  <c r="I9" i="3"/>
  <c r="K6" i="2"/>
  <c r="K5" i="2"/>
  <c r="M7" i="2"/>
  <c r="L7" i="2"/>
  <c r="E18" i="2"/>
  <c r="F18" i="2"/>
  <c r="G6" i="2"/>
  <c r="G7" i="2" s="1"/>
  <c r="F7" i="2" s="1"/>
  <c r="K9" i="2" s="1"/>
  <c r="H6" i="2"/>
  <c r="G13" i="2"/>
  <c r="H13" i="2"/>
  <c r="F12" i="2"/>
  <c r="F11" i="2"/>
  <c r="F13" i="2" s="1"/>
  <c r="F5" i="2"/>
  <c r="C13" i="2"/>
  <c r="I9" i="1"/>
  <c r="I7" i="1"/>
  <c r="I5" i="1"/>
  <c r="C34" i="1"/>
  <c r="A31" i="1" s="1" a="1"/>
  <c r="A31" i="1" s="1"/>
  <c r="K11" i="1"/>
  <c r="K9" i="1"/>
  <c r="K7" i="1"/>
  <c r="K5" i="1"/>
  <c r="I11" i="1"/>
  <c r="I21" i="1" s="1"/>
  <c r="C32" i="1"/>
  <c r="C30" i="1"/>
  <c r="C28" i="1"/>
  <c r="C13" i="1" a="1"/>
  <c r="C13" i="1" s="1"/>
  <c r="M18" i="5" l="1"/>
  <c r="L18" i="5"/>
  <c r="G5" i="5"/>
  <c r="G9" i="5"/>
  <c r="H9" i="5"/>
  <c r="L5" i="5"/>
  <c r="I6" i="5"/>
  <c r="H6" i="5"/>
  <c r="G4" i="5"/>
  <c r="G6" i="5" s="1"/>
  <c r="I13" i="4"/>
  <c r="I8" i="4"/>
  <c r="I9" i="4" s="1"/>
  <c r="H13" i="4"/>
  <c r="H8" i="4"/>
  <c r="G7" i="4"/>
  <c r="L7" i="4" s="1"/>
  <c r="Q7" i="4" s="1"/>
  <c r="Q9" i="4" s="1"/>
  <c r="H5" i="4"/>
  <c r="G4" i="4"/>
  <c r="L4" i="4" s="1"/>
  <c r="K7" i="2"/>
  <c r="K8" i="2" s="1"/>
  <c r="G14" i="2"/>
  <c r="G15" i="2" s="1"/>
  <c r="F15" i="2" s="1"/>
  <c r="H18" i="2" s="1"/>
  <c r="H14" i="2"/>
  <c r="H15" i="2" s="1"/>
  <c r="H7" i="2"/>
  <c r="F6" i="2"/>
  <c r="A26" i="2" s="1"/>
  <c r="I32" i="1"/>
  <c r="I19" i="1"/>
  <c r="I17" i="1"/>
  <c r="I30" i="1"/>
  <c r="I15" i="1"/>
  <c r="I28" i="1"/>
  <c r="G31" i="1" s="1" a="1"/>
  <c r="G31" i="1" s="1"/>
  <c r="K35" i="1" s="1"/>
  <c r="F8" i="1" a="1"/>
  <c r="F8" i="1" s="1"/>
  <c r="H6" i="4" l="1"/>
  <c r="G5" i="4"/>
  <c r="G6" i="4" s="1"/>
  <c r="I14" i="4"/>
  <c r="G13" i="4"/>
  <c r="G15" i="4" s="1"/>
  <c r="H9" i="4"/>
  <c r="G8" i="4"/>
  <c r="G9" i="4" s="1"/>
  <c r="N5" i="4"/>
  <c r="N6" i="4" s="1"/>
  <c r="M8" i="4"/>
  <c r="M5" i="4"/>
  <c r="N8" i="4"/>
  <c r="N9" i="4" s="1"/>
  <c r="M8" i="2"/>
  <c r="M9" i="2" s="1"/>
  <c r="L8" i="2"/>
  <c r="L9" i="2" s="1"/>
  <c r="F14" i="2"/>
  <c r="F18" i="1" a="1"/>
  <c r="F18" i="1" s="1"/>
  <c r="G23" i="1"/>
  <c r="K23" i="1" s="1"/>
  <c r="A39" i="1" s="1"/>
  <c r="H14" i="4" l="1"/>
  <c r="H15" i="4" s="1"/>
  <c r="I15" i="4"/>
  <c r="M9" i="4"/>
  <c r="L8" i="4"/>
  <c r="L9" i="4" s="1"/>
  <c r="L5" i="4"/>
  <c r="L6" i="4" s="1"/>
  <c r="M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Олег  Бурдуков</author>
  </authors>
  <commentList>
    <comment ref="J8" authorId="0" shapeId="0" xr:uid="{2553E269-CC0B-5A46-804B-F3FE0DC5F98C}">
      <text>
        <r>
          <rPr>
            <b/>
            <sz val="10"/>
            <color rgb="FF000000"/>
            <rFont val="Tahoma"/>
            <family val="2"/>
          </rPr>
          <t xml:space="preserve">Defining the least Face value:
</t>
        </r>
        <r>
          <rPr>
            <sz val="10"/>
            <color rgb="FF000000"/>
            <rFont val="Tahoma"/>
            <family val="2"/>
          </rPr>
          <t xml:space="preserve">1. Define the minimum equity PV.
</t>
        </r>
        <r>
          <rPr>
            <sz val="10"/>
            <color rgb="FF000000"/>
            <rFont val="Tahoma"/>
            <family val="2"/>
          </rPr>
          <t xml:space="preserve">2. D=A-E
</t>
        </r>
        <r>
          <rPr>
            <sz val="10"/>
            <color rgb="FF000000"/>
            <rFont val="Tahoma"/>
            <family val="2"/>
          </rPr>
          <t>3. Compute the FV of 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<sst xmlns="http://schemas.openxmlformats.org/spreadsheetml/2006/main" count="265" uniqueCount="97">
  <si>
    <t>Mini-case 3.1</t>
  </si>
  <si>
    <t>Mini-case 3.2</t>
  </si>
  <si>
    <t>Mini-case 3.3</t>
  </si>
  <si>
    <t>Mini-case 3.4</t>
  </si>
  <si>
    <t>Mini-case 3.5</t>
  </si>
  <si>
    <t>Mini-case 3.6</t>
  </si>
  <si>
    <t>Assumptions</t>
  </si>
  <si>
    <t>State</t>
  </si>
  <si>
    <t>Probability</t>
  </si>
  <si>
    <t>TASK A</t>
  </si>
  <si>
    <t>TASK B</t>
  </si>
  <si>
    <t>T = 0</t>
  </si>
  <si>
    <t>T = 1</t>
  </si>
  <si>
    <t>––––––––––––</t>
  </si>
  <si>
    <t>Face value of debt</t>
  </si>
  <si>
    <t>1) Debt value</t>
  </si>
  <si>
    <t>2) Equity value</t>
  </si>
  <si>
    <t>!MM holds=&gt;</t>
  </si>
  <si>
    <t>TASK C</t>
  </si>
  <si>
    <t>⍺</t>
  </si>
  <si>
    <t>The debt holders are going to bear the cost. The financial distress costs arise only in case of default. Even if there is no fin.distress costs, the equity holders get nothing from the cashflow due to FCF being consumed by the debt holders in full. Thus, additional expenses in the worst scenario are born by debt holders, whereby these costs reduce their income. Meanwhile, equity holders get nothing as before.</t>
  </si>
  <si>
    <t>3) Total value loss</t>
  </si>
  <si>
    <t>E + D</t>
  </si>
  <si>
    <r>
      <rPr>
        <sz val="16"/>
        <color theme="1"/>
        <rFont val="Aptos Narrow (Body)"/>
      </rPr>
      <t>r</t>
    </r>
    <r>
      <rPr>
        <sz val="8"/>
        <color theme="1"/>
        <rFont val="Aptos Narrow (Body)"/>
      </rPr>
      <t>f</t>
    </r>
  </si>
  <si>
    <r>
      <t>V</t>
    </r>
    <r>
      <rPr>
        <sz val="8"/>
        <color theme="1"/>
        <rFont val="Aptos Narrow (Body)"/>
      </rPr>
      <t>0</t>
    </r>
    <r>
      <rPr>
        <sz val="12"/>
        <color theme="1"/>
        <rFont val="Aptos Narrow"/>
        <family val="2"/>
        <scheme val="minor"/>
      </rPr>
      <t>(U)</t>
    </r>
  </si>
  <si>
    <r>
      <t>V</t>
    </r>
    <r>
      <rPr>
        <sz val="8"/>
        <color theme="1"/>
        <rFont val="Aptos Narrow (Body)"/>
      </rPr>
      <t>0</t>
    </r>
    <r>
      <rPr>
        <sz val="12"/>
        <color theme="1"/>
        <rFont val="Aptos Narrow"/>
        <family val="2"/>
        <scheme val="minor"/>
      </rPr>
      <t>(L)</t>
    </r>
  </si>
  <si>
    <t>Good</t>
  </si>
  <si>
    <t>Bad</t>
  </si>
  <si>
    <r>
      <t>~FCF</t>
    </r>
    <r>
      <rPr>
        <sz val="8"/>
        <color theme="1"/>
        <rFont val="Aptos Narrow (Body)"/>
      </rPr>
      <t>1</t>
    </r>
  </si>
  <si>
    <t>Face value of debt at T = 1</t>
  </si>
  <si>
    <t>Cost of investment (T = 0)</t>
  </si>
  <si>
    <t>Cashflow at T = 1</t>
  </si>
  <si>
    <t>NPV of the project</t>
  </si>
  <si>
    <t>Firm's assets</t>
  </si>
  <si>
    <t>Good state</t>
  </si>
  <si>
    <t>Bad state</t>
  </si>
  <si>
    <t>D</t>
  </si>
  <si>
    <t>E</t>
  </si>
  <si>
    <t>Without project</t>
  </si>
  <si>
    <t>With project (E-financed)</t>
  </si>
  <si>
    <t>Project</t>
  </si>
  <si>
    <t>∑</t>
  </si>
  <si>
    <t>MV(D) increase</t>
  </si>
  <si>
    <t>MV(E) increase</t>
  </si>
  <si>
    <t>Invested by E</t>
  </si>
  <si>
    <t>The task b) results show the issue of the debt overhang in the capital structure. Due to considerable share of debt, equity holders won't gain neither invested sum in full, nor additional profit. Thus, though the investment increases the Firm value, it's actually not optimal for equity holders</t>
  </si>
  <si>
    <t>TASK D</t>
  </si>
  <si>
    <t>TASK E</t>
  </si>
  <si>
    <t xml:space="preserve">In case of reduction, both parties are going to profit from the project. If debt holders won't agree on reduction, they'll get nothing, since equity holders, who control the firm, won't realize the project due to potential losses. Thus, for debt holders it is choice between 0 income and income of roughly 42,85 </t>
  </si>
  <si>
    <t>TASK F</t>
  </si>
  <si>
    <t>Yes. It's easy to observe, as the debt PV with project in this case would increase in comparison to scenario without the project.</t>
  </si>
  <si>
    <t>TASK G</t>
  </si>
  <si>
    <t>This is the least Face value debtholders would accept. If the Face value falls below this level, it'd be better for debt holders to abbandon the project, as they'd profit more without it</t>
  </si>
  <si>
    <r>
      <t>PV</t>
    </r>
    <r>
      <rPr>
        <sz val="8"/>
        <color theme="1"/>
        <rFont val="Aptos Narrow (Body)"/>
      </rPr>
      <t xml:space="preserve">proj </t>
    </r>
  </si>
  <si>
    <r>
      <t>F</t>
    </r>
    <r>
      <rPr>
        <sz val="8"/>
        <color theme="1"/>
        <rFont val="Aptos Narrow (Body)"/>
      </rPr>
      <t>min</t>
    </r>
  </si>
  <si>
    <t>PV(E)</t>
  </si>
  <si>
    <t>PV(D)</t>
  </si>
  <si>
    <t>PV(Firm)</t>
  </si>
  <si>
    <t>TASK C,D</t>
  </si>
  <si>
    <t>The agency problem illustrated refers to the benefit of excess risk-taking for equity holders. In our case, we observe that whatever decision on free cash is met, the equity holders gain absolutely nothing in bad state. Thus, the only thing that defines their income is good state CF. The more volatile is the investment, the greater can be the payoff in good state. Hence, equity holders would take advantage of such a project. Negative present value certainly, won't hurt them, as they'll spend on investment the money that else would go to debt holders. This means debt holders bear the cost of such a strategy</t>
  </si>
  <si>
    <r>
      <t>Project's CF</t>
    </r>
    <r>
      <rPr>
        <sz val="8"/>
        <color theme="1"/>
        <rFont val="Aptos Narrow (Body)"/>
      </rPr>
      <t>1</t>
    </r>
  </si>
  <si>
    <r>
      <t>NPV</t>
    </r>
    <r>
      <rPr>
        <sz val="8"/>
        <color theme="1"/>
        <rFont val="Aptos Narrow (Body)"/>
      </rPr>
      <t>project</t>
    </r>
  </si>
  <si>
    <t>Excess cash</t>
  </si>
  <si>
    <t>Project 1 (Safe)</t>
  </si>
  <si>
    <t>Project 2 (Risky)</t>
  </si>
  <si>
    <t>Cash Flow</t>
  </si>
  <si>
    <t>Initial investment (cash outflow at T = 0)</t>
  </si>
  <si>
    <t>TASK A,B</t>
  </si>
  <si>
    <t>NPV</t>
  </si>
  <si>
    <t>Project 1</t>
  </si>
  <si>
    <t>Project 2</t>
  </si>
  <si>
    <t>The agency problem illustrated is concept of short-sighted investment. In task c, the bank has all information given in assumptions, so that it's sure the management chooses the safe project with greater NPV. Perhaps as we see in this task, due to riskiness of debt in the second project, equity holders choose the project 2</t>
  </si>
  <si>
    <r>
      <t>E = V</t>
    </r>
    <r>
      <rPr>
        <sz val="8"/>
        <color theme="1"/>
        <rFont val="Aptos Narrow (Body)"/>
      </rPr>
      <t>0</t>
    </r>
    <r>
      <rPr>
        <sz val="12"/>
        <color theme="1"/>
        <rFont val="Aptos Narrow"/>
        <family val="2"/>
        <scheme val="minor"/>
      </rPr>
      <t>(U)</t>
    </r>
  </si>
  <si>
    <r>
      <t>F</t>
    </r>
    <r>
      <rPr>
        <sz val="8"/>
        <color theme="1"/>
        <rFont val="Aptos Narrow (Body)"/>
      </rPr>
      <t>sp</t>
    </r>
  </si>
  <si>
    <r>
      <t>(130 - F</t>
    </r>
    <r>
      <rPr>
        <sz val="8"/>
        <color theme="1"/>
        <rFont val="Aptos Narrow (Body)"/>
      </rPr>
      <t>max</t>
    </r>
    <r>
      <rPr>
        <sz val="12"/>
        <color theme="1"/>
        <rFont val="Aptos Narrow"/>
        <family val="2"/>
        <scheme val="minor"/>
      </rPr>
      <t>) * 0,8 + (100 - F</t>
    </r>
    <r>
      <rPr>
        <sz val="8"/>
        <color theme="1"/>
        <rFont val="Aptos Narrow (Body)"/>
      </rPr>
      <t>max</t>
    </r>
    <r>
      <rPr>
        <sz val="12"/>
        <color theme="1"/>
        <rFont val="Aptos Narrow"/>
        <family val="2"/>
        <scheme val="minor"/>
      </rPr>
      <t>) * 0,2 = E</t>
    </r>
  </si>
  <si>
    <r>
      <t>(200 - F</t>
    </r>
    <r>
      <rPr>
        <sz val="8"/>
        <color theme="1"/>
        <rFont val="Aptos Narrow (Body)"/>
      </rPr>
      <t>max</t>
    </r>
    <r>
      <rPr>
        <sz val="12"/>
        <color theme="1"/>
        <rFont val="Aptos Narrow"/>
        <family val="2"/>
        <scheme val="minor"/>
      </rPr>
      <t>) * 0,5 + 0 = E</t>
    </r>
  </si>
  <si>
    <r>
      <t>124 - F</t>
    </r>
    <r>
      <rPr>
        <sz val="8"/>
        <color theme="1"/>
        <rFont val="Aptos Narrow (Body)"/>
      </rPr>
      <t>max</t>
    </r>
    <r>
      <rPr>
        <sz val="12"/>
        <color theme="1"/>
        <rFont val="Aptos Narrow"/>
        <family val="2"/>
        <scheme val="minor"/>
      </rPr>
      <t xml:space="preserve"> = 100 - 0,5F</t>
    </r>
    <r>
      <rPr>
        <sz val="8"/>
        <color theme="1"/>
        <rFont val="Aptos Narrow (Body)"/>
      </rPr>
      <t>max</t>
    </r>
  </si>
  <si>
    <r>
      <t>F</t>
    </r>
    <r>
      <rPr>
        <sz val="8"/>
        <color theme="1"/>
        <rFont val="Aptos Narrow (Body)"/>
      </rPr>
      <t>max</t>
    </r>
    <r>
      <rPr>
        <sz val="12"/>
        <color theme="1"/>
        <rFont val="Aptos Narrow"/>
        <family val="2"/>
        <scheme val="minor"/>
      </rPr>
      <t xml:space="preserve"> =</t>
    </r>
  </si>
  <si>
    <r>
      <t>F</t>
    </r>
    <r>
      <rPr>
        <sz val="8"/>
        <color theme="1"/>
        <rFont val="Aptos Narrow (Body)"/>
      </rPr>
      <t>CB</t>
    </r>
  </si>
  <si>
    <t>CD</t>
  </si>
  <si>
    <r>
      <t>λ</t>
    </r>
    <r>
      <rPr>
        <sz val="8"/>
        <color theme="1"/>
        <rFont val="Aptos Narrow (Body)"/>
      </rPr>
      <t>0</t>
    </r>
  </si>
  <si>
    <r>
      <t>λ</t>
    </r>
    <r>
      <rPr>
        <sz val="8"/>
        <color theme="1"/>
        <rFont val="Aptos Narrow (Body)"/>
      </rPr>
      <t>1</t>
    </r>
  </si>
  <si>
    <r>
      <t>λ</t>
    </r>
    <r>
      <rPr>
        <sz val="8"/>
        <color theme="1"/>
        <rFont val="Aptos Narrow (Body)"/>
      </rPr>
      <t>2</t>
    </r>
  </si>
  <si>
    <t>Firm A</t>
  </si>
  <si>
    <t>Firm B</t>
  </si>
  <si>
    <t>CFs at T =</t>
  </si>
  <si>
    <t>Sallary received on the new job at the end of T = 2</t>
  </si>
  <si>
    <t>Period spent unemployed (in years)</t>
  </si>
  <si>
    <t>Annual wage on the new job</t>
  </si>
  <si>
    <t>Discount rate</t>
  </si>
  <si>
    <t>Min.bankruptcy probability Firm A</t>
  </si>
  <si>
    <r>
      <t>E[undiscounted wage]</t>
    </r>
    <r>
      <rPr>
        <sz val="8"/>
        <color theme="1"/>
        <rFont val="Aptos Narrow (Body)"/>
      </rPr>
      <t>2</t>
    </r>
  </si>
  <si>
    <r>
      <t>PV</t>
    </r>
    <r>
      <rPr>
        <sz val="8"/>
        <color theme="1"/>
        <rFont val="Aptos Narrow (Body)"/>
      </rPr>
      <t>A</t>
    </r>
    <r>
      <rPr>
        <sz val="12"/>
        <color theme="1"/>
        <rFont val="Aptos Narrow"/>
        <family val="2"/>
        <scheme val="minor"/>
      </rPr>
      <t>(expected wages)</t>
    </r>
  </si>
  <si>
    <r>
      <t>PV</t>
    </r>
    <r>
      <rPr>
        <sz val="8"/>
        <color theme="1"/>
        <rFont val="Aptos Narrow (Body)"/>
      </rPr>
      <t>B</t>
    </r>
    <r>
      <rPr>
        <sz val="12"/>
        <color theme="1"/>
        <rFont val="Aptos Narrow"/>
        <family val="2"/>
        <scheme val="minor"/>
      </rPr>
      <t>(expected wages)</t>
    </r>
  </si>
  <si>
    <t>The bank won't accept convertible bond at this convertion rate as this tool won't handle the risk-shifting problem. Under given circumstances, equity-holders will choose the project with the smaller payoff to debt holders.</t>
  </si>
  <si>
    <t>No, they wouldn't accept this offer. In this case, if equity holders still choose the more volatile project, the debt holders will also have a volatile return. Moreover, the PV of this return is worth less than 60. Thus, there is a risk for debt investors.</t>
  </si>
  <si>
    <t>No. Equity holders are not willing to invest in the project because investing 100 they gain only 57,14 back, what implies losses from the investment due to the debt holders' claim seniority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</si>
</sst>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2" x14ac:knownFonts="1">
    <font>
      <sz val="12"/>
      <color theme="1"/>
      <name val="Aptos Narrow"/>
      <family val="2"/>
      <scheme val="minor"/>
    </font>
    <font>
      <sz val="12"/>
      <color theme="0"/>
      <name val="Aptos Narrow"/>
      <family val="2"/>
      <scheme val="minor"/>
    </font>
    <font>
      <sz val="10.5"/>
      <color theme="1"/>
      <name val="Aptos Narrow (Body)"/>
    </font>
    <font>
      <sz val="16"/>
      <color theme="1"/>
      <name val="Aptos Narrow (Body)"/>
    </font>
    <font>
      <sz val="8"/>
      <color theme="1"/>
      <name val="Aptos Narrow (Body)"/>
    </font>
    <font>
      <sz val="12"/>
      <color theme="1"/>
      <name val="Aptos Narrow (Body)"/>
    </font>
    <font>
      <sz val="11"/>
      <color theme="1"/>
      <name val="Aptos Narrow"/>
      <family val="2"/>
      <scheme val="minor"/>
    </font>
    <font>
      <sz val="10"/>
      <color rgb="FF000000"/>
      <name val="Tahoma"/>
      <family val="2"/>
    </font>
    <font>
      <b/>
      <sz val="10"/>
      <color rgb="FF000000"/>
      <name val="Tahoma"/>
      <family val="2"/>
    </font>
    <font>
      <sz val="9.5"/>
      <color theme="1"/>
      <name val="Aptos Narrow"/>
      <family val="2"/>
      <scheme val="minor"/>
    </font>
    <font>
      <sz val="9"/>
      <color theme="1"/>
      <name val="Aptos Narrow"/>
      <scheme val="minor"/>
    </font>
    <font>
      <sz val="9"/>
      <color theme="1"/>
      <name val="Aptos Narrow"/>
      <family val="2"/>
      <scheme val="minor"/>
    </font>
  </fonts>
  <fills count="9">
    <fill>
      <patternFill patternType="none"/>
    </fill>
    <fill>
      <patternFill patternType="gray125"/>
    </fill>
    <fill>
      <patternFill patternType="solid">
        <fgColor theme="2" tint="-0.749992370372631"/>
        <bgColor indexed="64"/>
      </patternFill>
    </fill>
    <fill>
      <patternFill patternType="solid">
        <fgColor theme="3" tint="0.499984740745262"/>
        <bgColor indexed="64"/>
      </patternFill>
    </fill>
    <fill>
      <patternFill patternType="solid">
        <fgColor theme="2" tint="-0.499984740745262"/>
        <bgColor indexed="64"/>
      </patternFill>
    </fill>
    <fill>
      <patternFill patternType="solid">
        <fgColor theme="2"/>
        <bgColor indexed="64"/>
      </patternFill>
    </fill>
    <fill>
      <patternFill patternType="solid">
        <fgColor theme="0"/>
        <bgColor indexed="64"/>
      </patternFill>
    </fill>
    <fill>
      <patternFill patternType="solid">
        <fgColor theme="3" tint="0.89999084444715716"/>
        <bgColor indexed="64"/>
      </patternFill>
    </fill>
    <fill>
      <patternFill patternType="solid">
        <fgColor rgb="FFFF00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bottom/>
      <diagonal/>
    </border>
  </borders>
  <cellStyleXfs count="1">
    <xf numFmtId="0" fontId="0" fillId="0" borderId="0"/>
  </cellStyleXfs>
  <cellXfs count="75">
    <xf numFmtId="0" fontId="0" fillId="0" borderId="0" xfId="0"/>
    <xf numFmtId="0" fontId="0" fillId="5" borderId="1" xfId="0" applyFill="1" applyBorder="1" applyAlignment="1">
      <alignment horizontal="center" vertical="center"/>
    </xf>
    <xf numFmtId="0" fontId="0" fillId="0" borderId="1" xfId="0" applyBorder="1" applyAlignment="1">
      <alignment horizontal="center" vertical="center"/>
    </xf>
    <xf numFmtId="0" fontId="1" fillId="4" borderId="1" xfId="0" applyFont="1" applyFill="1" applyBorder="1" applyAlignment="1">
      <alignment horizontal="center" vertical="center"/>
    </xf>
    <xf numFmtId="0" fontId="0" fillId="0" borderId="0" xfId="0" applyAlignment="1">
      <alignment horizontal="center" vertical="center"/>
    </xf>
    <xf numFmtId="0" fontId="0" fillId="5" borderId="2" xfId="0" applyFill="1" applyBorder="1" applyAlignment="1">
      <alignment horizontal="center" vertical="center"/>
    </xf>
    <xf numFmtId="0" fontId="0" fillId="6" borderId="3" xfId="0" applyFill="1" applyBorder="1"/>
    <xf numFmtId="0" fontId="0" fillId="6" borderId="4" xfId="0" applyFill="1" applyBorder="1"/>
    <xf numFmtId="0" fontId="0" fillId="6" borderId="5" xfId="0" applyFill="1" applyBorder="1" applyAlignment="1">
      <alignment horizontal="left"/>
    </xf>
    <xf numFmtId="0" fontId="0" fillId="6" borderId="6" xfId="0" applyFill="1" applyBorder="1"/>
    <xf numFmtId="0" fontId="0" fillId="6" borderId="0" xfId="0" applyFill="1"/>
    <xf numFmtId="0" fontId="0" fillId="6" borderId="7" xfId="0" applyFill="1" applyBorder="1" applyAlignment="1">
      <alignment horizontal="left"/>
    </xf>
    <xf numFmtId="164" fontId="0" fillId="6" borderId="6" xfId="0" applyNumberFormat="1" applyFill="1" applyBorder="1"/>
    <xf numFmtId="0" fontId="0" fillId="6" borderId="8" xfId="0" applyFill="1" applyBorder="1"/>
    <xf numFmtId="0" fontId="0" fillId="6" borderId="9" xfId="0" applyFill="1" applyBorder="1"/>
    <xf numFmtId="0" fontId="0" fillId="6" borderId="10" xfId="0" applyFill="1" applyBorder="1" applyAlignment="1">
      <alignment horizontal="left"/>
    </xf>
    <xf numFmtId="165" fontId="0" fillId="6" borderId="5" xfId="0" applyNumberFormat="1" applyFill="1" applyBorder="1" applyAlignment="1">
      <alignment horizontal="left"/>
    </xf>
    <xf numFmtId="2" fontId="0" fillId="6" borderId="7" xfId="0" applyNumberFormat="1" applyFill="1" applyBorder="1" applyAlignment="1">
      <alignment horizontal="left"/>
    </xf>
    <xf numFmtId="165" fontId="0" fillId="6" borderId="10" xfId="0" applyNumberFormat="1" applyFill="1" applyBorder="1" applyAlignment="1">
      <alignment horizontal="left"/>
    </xf>
    <xf numFmtId="164" fontId="0" fillId="7" borderId="6" xfId="0" applyNumberFormat="1" applyFill="1" applyBorder="1"/>
    <xf numFmtId="164" fontId="0" fillId="7" borderId="1" xfId="0" applyNumberFormat="1" applyFill="1" applyBorder="1" applyAlignment="1">
      <alignment horizontal="center" vertical="center"/>
    </xf>
    <xf numFmtId="0" fontId="0" fillId="7" borderId="1" xfId="0" applyFill="1" applyBorder="1" applyAlignment="1">
      <alignment horizontal="center" vertical="center"/>
    </xf>
    <xf numFmtId="164" fontId="0" fillId="7" borderId="1" xfId="0" applyNumberFormat="1" applyFill="1" applyBorder="1"/>
    <xf numFmtId="0" fontId="6" fillId="5" borderId="1" xfId="0" applyFont="1" applyFill="1" applyBorder="1" applyAlignment="1">
      <alignment horizontal="center" vertical="center"/>
    </xf>
    <xf numFmtId="2" fontId="0" fillId="0" borderId="1" xfId="0" applyNumberFormat="1" applyBorder="1" applyAlignment="1">
      <alignment horizontal="center" vertical="center"/>
    </xf>
    <xf numFmtId="2" fontId="0" fillId="7" borderId="1" xfId="0" applyNumberFormat="1" applyFill="1" applyBorder="1" applyAlignment="1">
      <alignment horizontal="center" vertical="center"/>
    </xf>
    <xf numFmtId="0" fontId="1" fillId="8" borderId="1" xfId="0" applyFont="1" applyFill="1" applyBorder="1" applyAlignment="1">
      <alignment horizontal="center" vertical="center"/>
    </xf>
    <xf numFmtId="0" fontId="0" fillId="0" borderId="0" xfId="0" applyAlignment="1">
      <alignment wrapText="1"/>
    </xf>
    <xf numFmtId="0" fontId="9" fillId="0" borderId="0" xfId="0" applyFont="1" applyAlignment="1">
      <alignment wrapText="1"/>
    </xf>
    <xf numFmtId="0" fontId="0" fillId="5" borderId="11" xfId="0" applyFill="1" applyBorder="1" applyAlignment="1">
      <alignment horizontal="center" vertical="center"/>
    </xf>
    <xf numFmtId="0" fontId="0" fillId="0" borderId="11" xfId="0" applyBorder="1" applyAlignment="1">
      <alignment horizontal="center" vertical="center"/>
    </xf>
    <xf numFmtId="0" fontId="0" fillId="5" borderId="13" xfId="0" applyFill="1" applyBorder="1" applyAlignment="1">
      <alignment horizontal="center" vertical="center"/>
    </xf>
    <xf numFmtId="0" fontId="0" fillId="0" borderId="13" xfId="0" applyBorder="1" applyAlignment="1">
      <alignment horizontal="center" vertical="center"/>
    </xf>
    <xf numFmtId="0" fontId="0" fillId="7" borderId="13" xfId="0" applyFill="1" applyBorder="1" applyAlignment="1">
      <alignment horizontal="center" vertical="center"/>
    </xf>
    <xf numFmtId="0" fontId="6" fillId="0" borderId="0" xfId="0" applyFont="1" applyAlignment="1">
      <alignment wrapText="1"/>
    </xf>
    <xf numFmtId="0" fontId="0" fillId="0" borderId="2" xfId="0" applyBorder="1" applyAlignment="1">
      <alignment horizontal="center" vertical="center"/>
    </xf>
    <xf numFmtId="0" fontId="0" fillId="0" borderId="1" xfId="0" applyBorder="1" applyAlignment="1">
      <alignment horizontal="center" wrapText="1"/>
    </xf>
    <xf numFmtId="0" fontId="1" fillId="0" borderId="0" xfId="0" applyFont="1" applyAlignment="1">
      <alignment horizontal="center" vertical="center"/>
    </xf>
    <xf numFmtId="0" fontId="0" fillId="5" borderId="14" xfId="0" applyFill="1" applyBorder="1" applyAlignment="1">
      <alignment horizontal="center" vertical="center"/>
    </xf>
    <xf numFmtId="2" fontId="0" fillId="0" borderId="0" xfId="0" applyNumberFormat="1" applyAlignment="1">
      <alignment horizontal="center" vertical="center"/>
    </xf>
    <xf numFmtId="0" fontId="1" fillId="2" borderId="1" xfId="0" applyFont="1" applyFill="1" applyBorder="1" applyAlignment="1">
      <alignment horizontal="center" vertical="center"/>
    </xf>
    <xf numFmtId="0" fontId="0" fillId="5" borderId="1" xfId="0" applyFill="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0" xfId="0" applyFont="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0" fillId="5" borderId="2" xfId="0" applyFill="1" applyBorder="1" applyAlignment="1">
      <alignment horizontal="center" vertical="center" wrapText="1"/>
    </xf>
    <xf numFmtId="0" fontId="0" fillId="5" borderId="11" xfId="0" applyFill="1" applyBorder="1" applyAlignment="1">
      <alignment horizontal="center" vertical="center" wrapText="1"/>
    </xf>
    <xf numFmtId="0" fontId="0" fillId="5" borderId="1" xfId="0" applyFill="1" applyBorder="1" applyAlignment="1">
      <alignment horizontal="center"/>
    </xf>
    <xf numFmtId="0" fontId="1" fillId="3" borderId="1" xfId="0" applyFont="1" applyFill="1" applyBorder="1" applyAlignment="1">
      <alignment horizontal="center"/>
    </xf>
    <xf numFmtId="0" fontId="1" fillId="4" borderId="1" xfId="0" applyFont="1" applyFill="1" applyBorder="1" applyAlignment="1">
      <alignment horizontal="center"/>
    </xf>
    <xf numFmtId="0" fontId="1"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5" fillId="5" borderId="1" xfId="0" applyFont="1" applyFill="1" applyBorder="1" applyAlignment="1">
      <alignment horizontal="center" vertical="center"/>
    </xf>
    <xf numFmtId="0" fontId="0" fillId="5" borderId="1" xfId="0" applyFill="1" applyBorder="1" applyAlignment="1">
      <alignment horizontal="center" vertical="center" wrapText="1"/>
    </xf>
    <xf numFmtId="0" fontId="1" fillId="3"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0" fillId="0" borderId="1" xfId="0" applyBorder="1" applyAlignment="1">
      <alignment horizontal="center" vertical="center" wrapText="1"/>
    </xf>
    <xf numFmtId="0" fontId="6"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 fillId="3" borderId="12" xfId="0" applyFont="1" applyFill="1" applyBorder="1" applyAlignment="1">
      <alignment horizontal="center"/>
    </xf>
    <xf numFmtId="0" fontId="10" fillId="0" borderId="1" xfId="0" applyFont="1" applyBorder="1" applyAlignment="1">
      <alignment horizontal="center" vertical="center" wrapText="1"/>
    </xf>
    <xf numFmtId="0" fontId="0" fillId="5" borderId="13" xfId="0"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wrapText="1"/>
    </xf>
    <xf numFmtId="0" fontId="11" fillId="0" borderId="1" xfId="0" applyFont="1" applyBorder="1" applyAlignment="1">
      <alignment horizontal="center" wrapText="1"/>
    </xf>
    <xf numFmtId="0" fontId="0" fillId="5" borderId="2" xfId="0" applyFill="1" applyBorder="1" applyAlignment="1">
      <alignment horizontal="center" vertical="center"/>
    </xf>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colors>
    <mruColors>
      <color rgb="FFE60000"/>
      <color rgb="FFDFBA73"/>
      <color rgb="FFD35F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800100</xdr:colOff>
      <xdr:row>4</xdr:row>
      <xdr:rowOff>114300</xdr:rowOff>
    </xdr:from>
    <xdr:to>
      <xdr:col>8</xdr:col>
      <xdr:colOff>533400</xdr:colOff>
      <xdr:row>7</xdr:row>
      <xdr:rowOff>38100</xdr:rowOff>
    </xdr:to>
    <xdr:cxnSp macro="">
      <xdr:nvCxnSpPr>
        <xdr:cNvPr id="3" name="Straight Connector 2">
          <a:extLst>
            <a:ext uri="{FF2B5EF4-FFF2-40B4-BE49-F238E27FC236}">
              <a16:creationId xmlns:a16="http://schemas.microsoft.com/office/drawing/2014/main" id="{FF0C7AC2-E59D-2D1E-746A-CF915A69C2AA}"/>
            </a:ext>
          </a:extLst>
        </xdr:cNvPr>
        <xdr:cNvCxnSpPr/>
      </xdr:nvCxnSpPr>
      <xdr:spPr>
        <a:xfrm flipH="1">
          <a:off x="4927600" y="927100"/>
          <a:ext cx="2209800" cy="5334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800100</xdr:colOff>
      <xdr:row>6</xdr:row>
      <xdr:rowOff>114300</xdr:rowOff>
    </xdr:from>
    <xdr:to>
      <xdr:col>8</xdr:col>
      <xdr:colOff>533400</xdr:colOff>
      <xdr:row>7</xdr:row>
      <xdr:rowOff>101600</xdr:rowOff>
    </xdr:to>
    <xdr:cxnSp macro="">
      <xdr:nvCxnSpPr>
        <xdr:cNvPr id="5" name="Straight Connector 4">
          <a:extLst>
            <a:ext uri="{FF2B5EF4-FFF2-40B4-BE49-F238E27FC236}">
              <a16:creationId xmlns:a16="http://schemas.microsoft.com/office/drawing/2014/main" id="{AF183AF4-8CB0-2E3D-3C2B-6A9CF122EA2D}"/>
            </a:ext>
          </a:extLst>
        </xdr:cNvPr>
        <xdr:cNvCxnSpPr/>
      </xdr:nvCxnSpPr>
      <xdr:spPr>
        <a:xfrm flipH="1">
          <a:off x="4927600" y="1333500"/>
          <a:ext cx="2209800" cy="1905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812800</xdr:colOff>
      <xdr:row>7</xdr:row>
      <xdr:rowOff>139700</xdr:rowOff>
    </xdr:from>
    <xdr:to>
      <xdr:col>8</xdr:col>
      <xdr:colOff>508000</xdr:colOff>
      <xdr:row>8</xdr:row>
      <xdr:rowOff>127000</xdr:rowOff>
    </xdr:to>
    <xdr:cxnSp macro="">
      <xdr:nvCxnSpPr>
        <xdr:cNvPr id="7" name="Straight Connector 6">
          <a:extLst>
            <a:ext uri="{FF2B5EF4-FFF2-40B4-BE49-F238E27FC236}">
              <a16:creationId xmlns:a16="http://schemas.microsoft.com/office/drawing/2014/main" id="{5BB845AE-A18F-3DCD-3DA8-C3FB6ABD8E00}"/>
            </a:ext>
          </a:extLst>
        </xdr:cNvPr>
        <xdr:cNvCxnSpPr/>
      </xdr:nvCxnSpPr>
      <xdr:spPr>
        <a:xfrm flipH="1" flipV="1">
          <a:off x="4940300" y="1562100"/>
          <a:ext cx="2171700" cy="1905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787400</xdr:colOff>
      <xdr:row>7</xdr:row>
      <xdr:rowOff>177800</xdr:rowOff>
    </xdr:from>
    <xdr:to>
      <xdr:col>8</xdr:col>
      <xdr:colOff>546100</xdr:colOff>
      <xdr:row>10</xdr:row>
      <xdr:rowOff>114300</xdr:rowOff>
    </xdr:to>
    <xdr:cxnSp macro="">
      <xdr:nvCxnSpPr>
        <xdr:cNvPr id="9" name="Straight Connector 8">
          <a:extLst>
            <a:ext uri="{FF2B5EF4-FFF2-40B4-BE49-F238E27FC236}">
              <a16:creationId xmlns:a16="http://schemas.microsoft.com/office/drawing/2014/main" id="{D40D2814-11E4-4082-75E0-216F95978F2F}"/>
            </a:ext>
          </a:extLst>
        </xdr:cNvPr>
        <xdr:cNvCxnSpPr/>
      </xdr:nvCxnSpPr>
      <xdr:spPr>
        <a:xfrm flipH="1" flipV="1">
          <a:off x="4914900" y="1600200"/>
          <a:ext cx="2235200" cy="5461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800100</xdr:colOff>
      <xdr:row>14</xdr:row>
      <xdr:rowOff>139700</xdr:rowOff>
    </xdr:from>
    <xdr:to>
      <xdr:col>8</xdr:col>
      <xdr:colOff>596900</xdr:colOff>
      <xdr:row>17</xdr:row>
      <xdr:rowOff>38100</xdr:rowOff>
    </xdr:to>
    <xdr:cxnSp macro="">
      <xdr:nvCxnSpPr>
        <xdr:cNvPr id="11" name="Straight Connector 10">
          <a:extLst>
            <a:ext uri="{FF2B5EF4-FFF2-40B4-BE49-F238E27FC236}">
              <a16:creationId xmlns:a16="http://schemas.microsoft.com/office/drawing/2014/main" id="{D19C7D4F-8F7C-C6E3-D163-58EF14E0190B}"/>
            </a:ext>
          </a:extLst>
        </xdr:cNvPr>
        <xdr:cNvCxnSpPr/>
      </xdr:nvCxnSpPr>
      <xdr:spPr>
        <a:xfrm flipH="1">
          <a:off x="4927600" y="2984500"/>
          <a:ext cx="2273300" cy="5080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774700</xdr:colOff>
      <xdr:row>16</xdr:row>
      <xdr:rowOff>127000</xdr:rowOff>
    </xdr:from>
    <xdr:to>
      <xdr:col>8</xdr:col>
      <xdr:colOff>584200</xdr:colOff>
      <xdr:row>17</xdr:row>
      <xdr:rowOff>101600</xdr:rowOff>
    </xdr:to>
    <xdr:cxnSp macro="">
      <xdr:nvCxnSpPr>
        <xdr:cNvPr id="13" name="Straight Connector 12">
          <a:extLst>
            <a:ext uri="{FF2B5EF4-FFF2-40B4-BE49-F238E27FC236}">
              <a16:creationId xmlns:a16="http://schemas.microsoft.com/office/drawing/2014/main" id="{C6DD05B9-B1FA-3983-6CC0-81716E19D49E}"/>
            </a:ext>
          </a:extLst>
        </xdr:cNvPr>
        <xdr:cNvCxnSpPr/>
      </xdr:nvCxnSpPr>
      <xdr:spPr>
        <a:xfrm flipH="1">
          <a:off x="4902200" y="3378200"/>
          <a:ext cx="2286000" cy="1778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812800</xdr:colOff>
      <xdr:row>17</xdr:row>
      <xdr:rowOff>165100</xdr:rowOff>
    </xdr:from>
    <xdr:to>
      <xdr:col>8</xdr:col>
      <xdr:colOff>635000</xdr:colOff>
      <xdr:row>18</xdr:row>
      <xdr:rowOff>127000</xdr:rowOff>
    </xdr:to>
    <xdr:cxnSp macro="">
      <xdr:nvCxnSpPr>
        <xdr:cNvPr id="15" name="Straight Connector 14">
          <a:extLst>
            <a:ext uri="{FF2B5EF4-FFF2-40B4-BE49-F238E27FC236}">
              <a16:creationId xmlns:a16="http://schemas.microsoft.com/office/drawing/2014/main" id="{3DD34229-B812-78F4-C0C9-2C14C9ED4DA1}"/>
            </a:ext>
          </a:extLst>
        </xdr:cNvPr>
        <xdr:cNvCxnSpPr/>
      </xdr:nvCxnSpPr>
      <xdr:spPr>
        <a:xfrm flipH="1" flipV="1">
          <a:off x="4940300" y="3619500"/>
          <a:ext cx="2298700" cy="1651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774700</xdr:colOff>
      <xdr:row>18</xdr:row>
      <xdr:rowOff>0</xdr:rowOff>
    </xdr:from>
    <xdr:to>
      <xdr:col>8</xdr:col>
      <xdr:colOff>647700</xdr:colOff>
      <xdr:row>20</xdr:row>
      <xdr:rowOff>114300</xdr:rowOff>
    </xdr:to>
    <xdr:cxnSp macro="">
      <xdr:nvCxnSpPr>
        <xdr:cNvPr id="17" name="Straight Connector 16">
          <a:extLst>
            <a:ext uri="{FF2B5EF4-FFF2-40B4-BE49-F238E27FC236}">
              <a16:creationId xmlns:a16="http://schemas.microsoft.com/office/drawing/2014/main" id="{C365086B-A398-0B83-ED47-33C77F0AD702}"/>
            </a:ext>
          </a:extLst>
        </xdr:cNvPr>
        <xdr:cNvCxnSpPr/>
      </xdr:nvCxnSpPr>
      <xdr:spPr>
        <a:xfrm flipH="1" flipV="1">
          <a:off x="4902200" y="3657600"/>
          <a:ext cx="2349500" cy="5207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749300</xdr:colOff>
      <xdr:row>27</xdr:row>
      <xdr:rowOff>114300</xdr:rowOff>
    </xdr:from>
    <xdr:to>
      <xdr:col>2</xdr:col>
      <xdr:colOff>520700</xdr:colOff>
      <xdr:row>30</xdr:row>
      <xdr:rowOff>38100</xdr:rowOff>
    </xdr:to>
    <xdr:cxnSp macro="">
      <xdr:nvCxnSpPr>
        <xdr:cNvPr id="19" name="Straight Connector 18">
          <a:extLst>
            <a:ext uri="{FF2B5EF4-FFF2-40B4-BE49-F238E27FC236}">
              <a16:creationId xmlns:a16="http://schemas.microsoft.com/office/drawing/2014/main" id="{F482488C-4AE1-CBB3-702F-4C284683410A}"/>
            </a:ext>
          </a:extLst>
        </xdr:cNvPr>
        <xdr:cNvCxnSpPr/>
      </xdr:nvCxnSpPr>
      <xdr:spPr>
        <a:xfrm flipH="1">
          <a:off x="749300" y="5600700"/>
          <a:ext cx="1422400" cy="5334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800100</xdr:colOff>
      <xdr:row>29</xdr:row>
      <xdr:rowOff>114300</xdr:rowOff>
    </xdr:from>
    <xdr:to>
      <xdr:col>2</xdr:col>
      <xdr:colOff>546100</xdr:colOff>
      <xdr:row>30</xdr:row>
      <xdr:rowOff>88900</xdr:rowOff>
    </xdr:to>
    <xdr:cxnSp macro="">
      <xdr:nvCxnSpPr>
        <xdr:cNvPr id="21" name="Straight Connector 20">
          <a:extLst>
            <a:ext uri="{FF2B5EF4-FFF2-40B4-BE49-F238E27FC236}">
              <a16:creationId xmlns:a16="http://schemas.microsoft.com/office/drawing/2014/main" id="{6168647C-157C-36FA-500C-66BC578558A8}"/>
            </a:ext>
          </a:extLst>
        </xdr:cNvPr>
        <xdr:cNvCxnSpPr/>
      </xdr:nvCxnSpPr>
      <xdr:spPr>
        <a:xfrm flipH="1">
          <a:off x="800100" y="6007100"/>
          <a:ext cx="1397000" cy="1778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787400</xdr:colOff>
      <xdr:row>30</xdr:row>
      <xdr:rowOff>152400</xdr:rowOff>
    </xdr:from>
    <xdr:to>
      <xdr:col>2</xdr:col>
      <xdr:colOff>546100</xdr:colOff>
      <xdr:row>31</xdr:row>
      <xdr:rowOff>127000</xdr:rowOff>
    </xdr:to>
    <xdr:cxnSp macro="">
      <xdr:nvCxnSpPr>
        <xdr:cNvPr id="23" name="Straight Connector 22">
          <a:extLst>
            <a:ext uri="{FF2B5EF4-FFF2-40B4-BE49-F238E27FC236}">
              <a16:creationId xmlns:a16="http://schemas.microsoft.com/office/drawing/2014/main" id="{63DE5D66-89C7-DA1A-3631-140DF3C2DAA8}"/>
            </a:ext>
          </a:extLst>
        </xdr:cNvPr>
        <xdr:cNvCxnSpPr/>
      </xdr:nvCxnSpPr>
      <xdr:spPr>
        <a:xfrm flipH="1" flipV="1">
          <a:off x="787400" y="6248400"/>
          <a:ext cx="1409700" cy="1778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762000</xdr:colOff>
      <xdr:row>30</xdr:row>
      <xdr:rowOff>165100</xdr:rowOff>
    </xdr:from>
    <xdr:to>
      <xdr:col>2</xdr:col>
      <xdr:colOff>533400</xdr:colOff>
      <xdr:row>33</xdr:row>
      <xdr:rowOff>127000</xdr:rowOff>
    </xdr:to>
    <xdr:cxnSp macro="">
      <xdr:nvCxnSpPr>
        <xdr:cNvPr id="25" name="Straight Connector 24">
          <a:extLst>
            <a:ext uri="{FF2B5EF4-FFF2-40B4-BE49-F238E27FC236}">
              <a16:creationId xmlns:a16="http://schemas.microsoft.com/office/drawing/2014/main" id="{0E713AE7-9C11-F5E7-9853-F3EA734089EA}"/>
            </a:ext>
          </a:extLst>
        </xdr:cNvPr>
        <xdr:cNvCxnSpPr/>
      </xdr:nvCxnSpPr>
      <xdr:spPr>
        <a:xfrm flipH="1" flipV="1">
          <a:off x="762000" y="6261100"/>
          <a:ext cx="1422400" cy="5715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800100</xdr:colOff>
      <xdr:row>27</xdr:row>
      <xdr:rowOff>127000</xdr:rowOff>
    </xdr:from>
    <xdr:to>
      <xdr:col>8</xdr:col>
      <xdr:colOff>596900</xdr:colOff>
      <xdr:row>30</xdr:row>
      <xdr:rowOff>50800</xdr:rowOff>
    </xdr:to>
    <xdr:cxnSp macro="">
      <xdr:nvCxnSpPr>
        <xdr:cNvPr id="28" name="Straight Connector 27">
          <a:extLst>
            <a:ext uri="{FF2B5EF4-FFF2-40B4-BE49-F238E27FC236}">
              <a16:creationId xmlns:a16="http://schemas.microsoft.com/office/drawing/2014/main" id="{6F2C72F9-4076-6354-2895-D494260907C0}"/>
            </a:ext>
          </a:extLst>
        </xdr:cNvPr>
        <xdr:cNvCxnSpPr/>
      </xdr:nvCxnSpPr>
      <xdr:spPr>
        <a:xfrm flipH="1">
          <a:off x="5753100" y="5613400"/>
          <a:ext cx="1447800" cy="5334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12700</xdr:colOff>
      <xdr:row>29</xdr:row>
      <xdr:rowOff>114300</xdr:rowOff>
    </xdr:from>
    <xdr:to>
      <xdr:col>8</xdr:col>
      <xdr:colOff>635000</xdr:colOff>
      <xdr:row>30</xdr:row>
      <xdr:rowOff>88900</xdr:rowOff>
    </xdr:to>
    <xdr:cxnSp macro="">
      <xdr:nvCxnSpPr>
        <xdr:cNvPr id="30" name="Straight Connector 29">
          <a:extLst>
            <a:ext uri="{FF2B5EF4-FFF2-40B4-BE49-F238E27FC236}">
              <a16:creationId xmlns:a16="http://schemas.microsoft.com/office/drawing/2014/main" id="{3B99B08B-AE79-FE29-7BCF-40D4AABE8FE2}"/>
            </a:ext>
          </a:extLst>
        </xdr:cNvPr>
        <xdr:cNvCxnSpPr/>
      </xdr:nvCxnSpPr>
      <xdr:spPr>
        <a:xfrm flipH="1">
          <a:off x="5791200" y="6007100"/>
          <a:ext cx="1447800" cy="1778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0</xdr:colOff>
      <xdr:row>30</xdr:row>
      <xdr:rowOff>152400</xdr:rowOff>
    </xdr:from>
    <xdr:to>
      <xdr:col>8</xdr:col>
      <xdr:colOff>685800</xdr:colOff>
      <xdr:row>31</xdr:row>
      <xdr:rowOff>139700</xdr:rowOff>
    </xdr:to>
    <xdr:cxnSp macro="">
      <xdr:nvCxnSpPr>
        <xdr:cNvPr id="32" name="Straight Connector 31">
          <a:extLst>
            <a:ext uri="{FF2B5EF4-FFF2-40B4-BE49-F238E27FC236}">
              <a16:creationId xmlns:a16="http://schemas.microsoft.com/office/drawing/2014/main" id="{77BBE61F-ED7B-B6C5-C50D-BF3083BF703A}"/>
            </a:ext>
          </a:extLst>
        </xdr:cNvPr>
        <xdr:cNvCxnSpPr/>
      </xdr:nvCxnSpPr>
      <xdr:spPr>
        <a:xfrm flipH="1" flipV="1">
          <a:off x="5778500" y="6248400"/>
          <a:ext cx="1511300" cy="1905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774700</xdr:colOff>
      <xdr:row>30</xdr:row>
      <xdr:rowOff>177800</xdr:rowOff>
    </xdr:from>
    <xdr:to>
      <xdr:col>8</xdr:col>
      <xdr:colOff>660400</xdr:colOff>
      <xdr:row>33</xdr:row>
      <xdr:rowOff>114300</xdr:rowOff>
    </xdr:to>
    <xdr:cxnSp macro="">
      <xdr:nvCxnSpPr>
        <xdr:cNvPr id="34" name="Straight Connector 33">
          <a:extLst>
            <a:ext uri="{FF2B5EF4-FFF2-40B4-BE49-F238E27FC236}">
              <a16:creationId xmlns:a16="http://schemas.microsoft.com/office/drawing/2014/main" id="{F53B9143-9AD9-8664-5706-AC2724441B65}"/>
            </a:ext>
          </a:extLst>
        </xdr:cNvPr>
        <xdr:cNvCxnSpPr/>
      </xdr:nvCxnSpPr>
      <xdr:spPr>
        <a:xfrm flipH="1" flipV="1">
          <a:off x="5727700" y="6273800"/>
          <a:ext cx="1536700" cy="5461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1A74A-E718-AE4C-AF46-C7347D4C28AB}">
  <sheetPr>
    <tabColor theme="5" tint="0.39997558519241921"/>
  </sheetPr>
  <dimension ref="A1:K39"/>
  <sheetViews>
    <sheetView zoomScaleNormal="100" workbookViewId="0">
      <pane ySplit="1" topLeftCell="A4" activePane="bottomLeft" state="frozen"/>
      <selection pane="bottomLeft" activeCell="N25" sqref="N25"/>
    </sheetView>
  </sheetViews>
  <sheetFormatPr baseColWidth="10" defaultRowHeight="16" x14ac:dyDescent="0.2"/>
  <sheetData>
    <row r="1" spans="1:11" x14ac:dyDescent="0.2">
      <c r="A1" s="43" t="s">
        <v>0</v>
      </c>
      <c r="B1" s="43"/>
      <c r="C1" s="43"/>
      <c r="D1" s="43"/>
      <c r="E1" s="43"/>
      <c r="F1" s="43"/>
      <c r="G1" s="43"/>
      <c r="H1" s="43"/>
      <c r="I1" s="43"/>
      <c r="J1" s="43"/>
      <c r="K1" s="43"/>
    </row>
    <row r="2" spans="1:11" x14ac:dyDescent="0.2">
      <c r="A2" s="56" t="s">
        <v>6</v>
      </c>
      <c r="B2" s="56"/>
      <c r="C2" s="56"/>
      <c r="F2" s="57" t="s">
        <v>10</v>
      </c>
      <c r="G2" s="57"/>
      <c r="H2" s="57"/>
      <c r="I2" s="57"/>
      <c r="J2" s="57"/>
      <c r="K2" s="57"/>
    </row>
    <row r="3" spans="1:11" x14ac:dyDescent="0.2">
      <c r="A3" s="1" t="s">
        <v>7</v>
      </c>
      <c r="B3" s="1" t="s">
        <v>8</v>
      </c>
      <c r="C3" s="1" t="s">
        <v>28</v>
      </c>
      <c r="F3" s="56" t="s">
        <v>15</v>
      </c>
      <c r="G3" s="56"/>
      <c r="H3" s="56"/>
      <c r="I3" s="56"/>
      <c r="J3" s="56"/>
      <c r="K3" s="56"/>
    </row>
    <row r="4" spans="1:11" x14ac:dyDescent="0.2">
      <c r="A4" s="2">
        <v>1</v>
      </c>
      <c r="B4" s="2">
        <v>0.1</v>
      </c>
      <c r="C4" s="2">
        <v>150</v>
      </c>
      <c r="F4" s="5" t="s">
        <v>11</v>
      </c>
      <c r="I4" s="5" t="s">
        <v>12</v>
      </c>
      <c r="K4" s="5" t="s">
        <v>8</v>
      </c>
    </row>
    <row r="5" spans="1:11" x14ac:dyDescent="0.2">
      <c r="A5" s="2">
        <v>2</v>
      </c>
      <c r="B5" s="2">
        <v>0.25</v>
      </c>
      <c r="C5" s="2">
        <v>120</v>
      </c>
      <c r="F5" s="6"/>
      <c r="G5" s="7"/>
      <c r="H5" s="7"/>
      <c r="I5" s="7">
        <f>IF($C$9-C4&lt;0, $C$9, C4)</f>
        <v>100</v>
      </c>
      <c r="J5" s="7" t="s">
        <v>13</v>
      </c>
      <c r="K5" s="8">
        <f>B4</f>
        <v>0.1</v>
      </c>
    </row>
    <row r="6" spans="1:11" x14ac:dyDescent="0.2">
      <c r="A6" s="2">
        <v>3</v>
      </c>
      <c r="B6" s="2">
        <v>0.35</v>
      </c>
      <c r="C6" s="2">
        <v>100</v>
      </c>
      <c r="F6" s="9"/>
      <c r="G6" s="10"/>
      <c r="H6" s="10"/>
      <c r="I6" s="10"/>
      <c r="J6" s="10"/>
      <c r="K6" s="11"/>
    </row>
    <row r="7" spans="1:11" x14ac:dyDescent="0.2">
      <c r="A7" s="2">
        <v>4</v>
      </c>
      <c r="B7" s="2">
        <v>0.3</v>
      </c>
      <c r="C7" s="2">
        <v>70</v>
      </c>
      <c r="F7" s="9"/>
      <c r="G7" s="10"/>
      <c r="H7" s="10"/>
      <c r="I7" s="10">
        <f>IF($C$9-C5&lt;0, $C$9, C5)</f>
        <v>100</v>
      </c>
      <c r="J7" s="10" t="s">
        <v>13</v>
      </c>
      <c r="K7" s="11">
        <f>B5</f>
        <v>0.25</v>
      </c>
    </row>
    <row r="8" spans="1:11" ht="15" customHeight="1" x14ac:dyDescent="0.2">
      <c r="A8" s="60" t="s">
        <v>23</v>
      </c>
      <c r="B8" s="41"/>
      <c r="C8" s="2">
        <v>0.05</v>
      </c>
      <c r="F8" s="19" cm="1">
        <f t="array" ref="F8">SUM(I5:I11*K5:K11)/(1+C8)</f>
        <v>86.666666666666657</v>
      </c>
      <c r="G8" s="10"/>
      <c r="H8" s="10"/>
      <c r="I8" s="10"/>
      <c r="J8" s="10"/>
      <c r="K8" s="11"/>
    </row>
    <row r="9" spans="1:11" x14ac:dyDescent="0.2">
      <c r="A9" s="41" t="s">
        <v>14</v>
      </c>
      <c r="B9" s="41"/>
      <c r="C9" s="2">
        <v>100</v>
      </c>
      <c r="F9" s="9"/>
      <c r="G9" s="10"/>
      <c r="H9" s="10"/>
      <c r="I9" s="10">
        <f>IF($C$9-C6&lt;0, $C$9, C6)</f>
        <v>100</v>
      </c>
      <c r="J9" s="10" t="s">
        <v>13</v>
      </c>
      <c r="K9" s="11">
        <f>B6</f>
        <v>0.35</v>
      </c>
    </row>
    <row r="10" spans="1:11" ht="16" customHeight="1" x14ac:dyDescent="0.2">
      <c r="A10" s="59" t="s">
        <v>19</v>
      </c>
      <c r="B10" s="41"/>
      <c r="C10" s="2">
        <v>0.25</v>
      </c>
      <c r="F10" s="9"/>
      <c r="G10" s="10"/>
      <c r="H10" s="10"/>
      <c r="I10" s="10"/>
      <c r="J10" s="10"/>
      <c r="K10" s="11"/>
    </row>
    <row r="11" spans="1:11" x14ac:dyDescent="0.2">
      <c r="F11" s="13"/>
      <c r="G11" s="14"/>
      <c r="H11" s="14"/>
      <c r="I11" s="14">
        <f>IF($C$9-C7&lt;0, $C$9, C7)</f>
        <v>70</v>
      </c>
      <c r="J11" s="14" t="s">
        <v>13</v>
      </c>
      <c r="K11" s="15">
        <f>B7</f>
        <v>0.3</v>
      </c>
    </row>
    <row r="12" spans="1:11" x14ac:dyDescent="0.2">
      <c r="A12" s="58" t="s">
        <v>9</v>
      </c>
      <c r="B12" s="58"/>
      <c r="C12" s="58"/>
    </row>
    <row r="13" spans="1:11" x14ac:dyDescent="0.2">
      <c r="A13" s="41" t="s">
        <v>24</v>
      </c>
      <c r="B13" s="41"/>
      <c r="C13" s="20" cm="1">
        <f t="array" ref="C13">SUM(C4:C7*B4:B7)/(1+C8)</f>
        <v>96.19047619047619</v>
      </c>
      <c r="F13" s="56" t="s">
        <v>16</v>
      </c>
      <c r="G13" s="56"/>
      <c r="H13" s="56"/>
      <c r="I13" s="56"/>
      <c r="J13" s="56"/>
      <c r="K13" s="56"/>
    </row>
    <row r="14" spans="1:11" x14ac:dyDescent="0.2">
      <c r="F14" s="38" t="s">
        <v>11</v>
      </c>
      <c r="I14" s="38" t="s">
        <v>12</v>
      </c>
      <c r="K14" s="38" t="s">
        <v>8</v>
      </c>
    </row>
    <row r="15" spans="1:11" x14ac:dyDescent="0.2">
      <c r="F15" s="6"/>
      <c r="G15" s="7"/>
      <c r="H15" s="7"/>
      <c r="I15" s="7">
        <f>C4-C28</f>
        <v>50</v>
      </c>
      <c r="J15" s="7" t="s">
        <v>13</v>
      </c>
      <c r="K15" s="16">
        <v>0.1</v>
      </c>
    </row>
    <row r="16" spans="1:11" x14ac:dyDescent="0.2">
      <c r="F16" s="9"/>
      <c r="G16" s="10"/>
      <c r="H16" s="10"/>
      <c r="I16" s="10"/>
      <c r="J16" s="10"/>
      <c r="K16" s="17"/>
    </row>
    <row r="17" spans="1:11" x14ac:dyDescent="0.2">
      <c r="F17" s="9"/>
      <c r="G17" s="10"/>
      <c r="H17" s="10"/>
      <c r="I17" s="10">
        <f>C5-C30</f>
        <v>20</v>
      </c>
      <c r="J17" s="10" t="s">
        <v>13</v>
      </c>
      <c r="K17" s="17">
        <v>0.25</v>
      </c>
    </row>
    <row r="18" spans="1:11" x14ac:dyDescent="0.2">
      <c r="F18" s="12" cm="1">
        <f t="array" ref="F18">SUM(I15:I21*K15:K21)/(1+C8)</f>
        <v>9.5238095238095237</v>
      </c>
      <c r="G18" s="10"/>
      <c r="H18" s="10"/>
      <c r="I18" s="10"/>
      <c r="J18" s="10"/>
      <c r="K18" s="17"/>
    </row>
    <row r="19" spans="1:11" x14ac:dyDescent="0.2">
      <c r="F19" s="9"/>
      <c r="G19" s="10"/>
      <c r="H19" s="10"/>
      <c r="I19" s="10">
        <f>C6-C32</f>
        <v>0</v>
      </c>
      <c r="J19" s="10" t="s">
        <v>13</v>
      </c>
      <c r="K19" s="17">
        <v>0.35</v>
      </c>
    </row>
    <row r="20" spans="1:11" x14ac:dyDescent="0.2">
      <c r="F20" s="9"/>
      <c r="G20" s="10"/>
      <c r="H20" s="10"/>
      <c r="I20" s="10"/>
      <c r="J20" s="10"/>
      <c r="K20" s="17"/>
    </row>
    <row r="21" spans="1:11" x14ac:dyDescent="0.2">
      <c r="F21" s="13"/>
      <c r="G21" s="14"/>
      <c r="H21" s="14"/>
      <c r="I21" s="14">
        <f>C7-I11</f>
        <v>0</v>
      </c>
      <c r="J21" s="14" t="s">
        <v>13</v>
      </c>
      <c r="K21" s="18">
        <v>0.3</v>
      </c>
    </row>
    <row r="23" spans="1:11" x14ac:dyDescent="0.2">
      <c r="F23" s="1" t="s">
        <v>22</v>
      </c>
      <c r="G23" s="20">
        <f>F8+F18</f>
        <v>96.190476190476176</v>
      </c>
      <c r="H23" s="4"/>
      <c r="I23" s="23" t="s">
        <v>17</v>
      </c>
      <c r="J23" s="1" t="s">
        <v>25</v>
      </c>
      <c r="K23" s="20">
        <f>G23</f>
        <v>96.190476190476176</v>
      </c>
    </row>
    <row r="25" spans="1:11" x14ac:dyDescent="0.2">
      <c r="A25" s="57" t="s">
        <v>18</v>
      </c>
      <c r="B25" s="57"/>
      <c r="C25" s="57"/>
      <c r="D25" s="57"/>
      <c r="E25" s="57"/>
      <c r="F25" s="57"/>
      <c r="G25" s="57"/>
      <c r="H25" s="57"/>
      <c r="I25" s="57"/>
      <c r="J25" s="57"/>
      <c r="K25" s="57"/>
    </row>
    <row r="26" spans="1:11" x14ac:dyDescent="0.2">
      <c r="A26" s="56" t="s">
        <v>15</v>
      </c>
      <c r="B26" s="56"/>
      <c r="C26" s="56"/>
      <c r="D26" s="56"/>
      <c r="E26" s="56"/>
      <c r="G26" s="56" t="s">
        <v>16</v>
      </c>
      <c r="H26" s="56"/>
      <c r="I26" s="56"/>
      <c r="J26" s="56"/>
      <c r="K26" s="56"/>
    </row>
    <row r="27" spans="1:11" x14ac:dyDescent="0.2">
      <c r="A27" s="5" t="s">
        <v>11</v>
      </c>
      <c r="B27" s="4"/>
      <c r="C27" s="5" t="s">
        <v>12</v>
      </c>
      <c r="D27" s="4"/>
      <c r="E27" s="5" t="s">
        <v>8</v>
      </c>
      <c r="G27" s="5" t="s">
        <v>11</v>
      </c>
      <c r="H27" s="4"/>
      <c r="I27" s="5" t="s">
        <v>12</v>
      </c>
      <c r="J27" s="4"/>
      <c r="K27" s="5" t="s">
        <v>8</v>
      </c>
    </row>
    <row r="28" spans="1:11" x14ac:dyDescent="0.2">
      <c r="A28" s="6"/>
      <c r="B28" s="7"/>
      <c r="C28" s="7">
        <f>IF($C$9-C4&lt;0, $C$9, C4)</f>
        <v>100</v>
      </c>
      <c r="D28" s="7" t="s">
        <v>13</v>
      </c>
      <c r="E28" s="8">
        <v>0.1</v>
      </c>
      <c r="G28" s="6"/>
      <c r="H28" s="7"/>
      <c r="I28" s="7">
        <f>C4-C28</f>
        <v>50</v>
      </c>
      <c r="J28" s="7" t="s">
        <v>13</v>
      </c>
      <c r="K28" s="8">
        <v>0.1</v>
      </c>
    </row>
    <row r="29" spans="1:11" x14ac:dyDescent="0.2">
      <c r="A29" s="9"/>
      <c r="B29" s="10"/>
      <c r="C29" s="10"/>
      <c r="D29" s="10"/>
      <c r="E29" s="11"/>
      <c r="G29" s="9"/>
      <c r="H29" s="10"/>
      <c r="I29" s="10"/>
      <c r="J29" s="10"/>
      <c r="K29" s="11"/>
    </row>
    <row r="30" spans="1:11" x14ac:dyDescent="0.2">
      <c r="A30" s="9"/>
      <c r="B30" s="10"/>
      <c r="C30" s="10">
        <f>IF($C$9-C5&lt;0, $C$9, C5)</f>
        <v>100</v>
      </c>
      <c r="D30" s="10" t="s">
        <v>13</v>
      </c>
      <c r="E30" s="11">
        <v>0.25</v>
      </c>
      <c r="G30" s="9"/>
      <c r="H30" s="10"/>
      <c r="I30" s="10">
        <f>C5-C30</f>
        <v>20</v>
      </c>
      <c r="J30" s="10" t="s">
        <v>13</v>
      </c>
      <c r="K30" s="11">
        <v>0.25</v>
      </c>
    </row>
    <row r="31" spans="1:11" x14ac:dyDescent="0.2">
      <c r="A31" s="19" cm="1">
        <f t="array" ref="A31">SUM(C28:C34*E28:E34)/(1+C8)</f>
        <v>81.666666666666657</v>
      </c>
      <c r="B31" s="10"/>
      <c r="C31" s="10"/>
      <c r="D31" s="10"/>
      <c r="E31" s="11"/>
      <c r="G31" s="12" cm="1">
        <f t="array" ref="G31">SUM(I28:I34*K28:K34)/(1+C8)</f>
        <v>9.5238095238095237</v>
      </c>
      <c r="H31" s="10"/>
      <c r="I31" s="10"/>
      <c r="J31" s="10"/>
      <c r="K31" s="11"/>
    </row>
    <row r="32" spans="1:11" x14ac:dyDescent="0.2">
      <c r="A32" s="9"/>
      <c r="B32" s="10"/>
      <c r="C32" s="10">
        <f>IF($C$9-C6&lt;0, $C$9, C6)</f>
        <v>100</v>
      </c>
      <c r="D32" s="10" t="s">
        <v>13</v>
      </c>
      <c r="E32" s="11">
        <v>0.35</v>
      </c>
      <c r="G32" s="9"/>
      <c r="H32" s="10"/>
      <c r="I32" s="10">
        <f>C6-C32</f>
        <v>0</v>
      </c>
      <c r="J32" s="10" t="s">
        <v>13</v>
      </c>
      <c r="K32" s="11">
        <v>0.35</v>
      </c>
    </row>
    <row r="33" spans="1:11" x14ac:dyDescent="0.2">
      <c r="A33" s="9"/>
      <c r="B33" s="10"/>
      <c r="C33" s="10"/>
      <c r="D33" s="10"/>
      <c r="E33" s="11"/>
      <c r="G33" s="9"/>
      <c r="H33" s="10"/>
      <c r="I33" s="10"/>
      <c r="J33" s="10"/>
      <c r="K33" s="11"/>
    </row>
    <row r="34" spans="1:11" x14ac:dyDescent="0.2">
      <c r="A34" s="13"/>
      <c r="B34" s="14"/>
      <c r="C34" s="14">
        <f>IF(C7-C9 &lt; 0, C7*(1-C10), C9)</f>
        <v>52.5</v>
      </c>
      <c r="D34" s="14" t="s">
        <v>13</v>
      </c>
      <c r="E34" s="15">
        <v>0.3</v>
      </c>
      <c r="G34" s="13"/>
      <c r="H34" s="14"/>
      <c r="I34" s="14">
        <v>0</v>
      </c>
      <c r="J34" s="14" t="s">
        <v>13</v>
      </c>
      <c r="K34" s="15">
        <v>0.3</v>
      </c>
    </row>
    <row r="35" spans="1:11" x14ac:dyDescent="0.2">
      <c r="G35" s="55" t="s">
        <v>22</v>
      </c>
      <c r="H35" s="55"/>
      <c r="I35" s="55"/>
      <c r="J35" s="55"/>
      <c r="K35" s="22">
        <f>A31+G31</f>
        <v>91.190476190476176</v>
      </c>
    </row>
    <row r="36" spans="1:11" ht="16" customHeight="1" x14ac:dyDescent="0.2"/>
    <row r="37" spans="1:11" x14ac:dyDescent="0.2">
      <c r="A37" s="53" t="s">
        <v>21</v>
      </c>
      <c r="B37" s="44" t="s">
        <v>20</v>
      </c>
      <c r="C37" s="45"/>
      <c r="D37" s="45"/>
      <c r="E37" s="45"/>
      <c r="F37" s="45"/>
      <c r="G37" s="45"/>
      <c r="H37" s="45"/>
      <c r="I37" s="45"/>
      <c r="J37" s="45"/>
      <c r="K37" s="46"/>
    </row>
    <row r="38" spans="1:11" x14ac:dyDescent="0.2">
      <c r="A38" s="54"/>
      <c r="B38" s="47"/>
      <c r="C38" s="48"/>
      <c r="D38" s="48"/>
      <c r="E38" s="48"/>
      <c r="F38" s="48"/>
      <c r="G38" s="48"/>
      <c r="H38" s="48"/>
      <c r="I38" s="48"/>
      <c r="J38" s="48"/>
      <c r="K38" s="49"/>
    </row>
    <row r="39" spans="1:11" x14ac:dyDescent="0.2">
      <c r="A39" s="21">
        <f>-(K23-A31-G31)</f>
        <v>-4.9999999999999947</v>
      </c>
      <c r="B39" s="50"/>
      <c r="C39" s="51"/>
      <c r="D39" s="51"/>
      <c r="E39" s="51"/>
      <c r="F39" s="51"/>
      <c r="G39" s="51"/>
      <c r="H39" s="51"/>
      <c r="I39" s="51"/>
      <c r="J39" s="51"/>
      <c r="K39" s="52"/>
    </row>
  </sheetData>
  <mergeCells count="16">
    <mergeCell ref="A1:K1"/>
    <mergeCell ref="B37:K39"/>
    <mergeCell ref="A37:A38"/>
    <mergeCell ref="G35:J35"/>
    <mergeCell ref="F13:K13"/>
    <mergeCell ref="F3:K3"/>
    <mergeCell ref="F2:K2"/>
    <mergeCell ref="A13:B13"/>
    <mergeCell ref="A12:C12"/>
    <mergeCell ref="A10:B10"/>
    <mergeCell ref="A9:B9"/>
    <mergeCell ref="A8:B8"/>
    <mergeCell ref="A2:C2"/>
    <mergeCell ref="G26:K26"/>
    <mergeCell ref="A26:E26"/>
    <mergeCell ref="A25:K25"/>
  </mergeCells>
  <conditionalFormatting sqref="A31">
    <cfRule type="iconSet" priority="1">
      <iconSet iconSet="3Arrows">
        <cfvo type="percent" val="0"/>
        <cfvo type="num" val="$F$8"/>
        <cfvo type="num" val="$F$8"/>
      </iconSet>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81A84-EC6E-8F4C-9FDF-2833989D7EA9}">
  <sheetPr>
    <tabColor theme="6" tint="0.39997558519241921"/>
  </sheetPr>
  <dimension ref="A1:M26"/>
  <sheetViews>
    <sheetView topLeftCell="G1" zoomScale="141" zoomScaleNormal="141" workbookViewId="0">
      <pane ySplit="1" topLeftCell="A2" activePane="bottomLeft" state="frozen"/>
      <selection pane="bottomLeft" activeCell="H28" sqref="H28"/>
    </sheetView>
  </sheetViews>
  <sheetFormatPr baseColWidth="10" defaultRowHeight="16" x14ac:dyDescent="0.2"/>
  <cols>
    <col min="5" max="5" width="11.6640625" customWidth="1"/>
    <col min="6" max="6" width="12.83203125" bestFit="1" customWidth="1"/>
    <col min="7" max="7" width="13.6640625" bestFit="1" customWidth="1"/>
    <col min="8" max="8" width="13.33203125" bestFit="1" customWidth="1"/>
    <col min="10" max="10" width="11.6640625" bestFit="1" customWidth="1"/>
    <col min="12" max="12" width="10.6640625" customWidth="1"/>
  </cols>
  <sheetData>
    <row r="1" spans="1:13" x14ac:dyDescent="0.2">
      <c r="A1" s="40" t="s">
        <v>1</v>
      </c>
      <c r="B1" s="40"/>
      <c r="C1" s="40"/>
      <c r="D1" s="40"/>
      <c r="E1" s="40"/>
      <c r="F1" s="40"/>
      <c r="G1" s="40"/>
      <c r="H1" s="40"/>
      <c r="I1" s="40"/>
      <c r="J1" s="40"/>
      <c r="K1" s="40"/>
      <c r="L1" s="40"/>
      <c r="M1" s="40"/>
    </row>
    <row r="2" spans="1:13" x14ac:dyDescent="0.2">
      <c r="A2" s="42" t="s">
        <v>6</v>
      </c>
      <c r="B2" s="42"/>
      <c r="C2" s="42"/>
      <c r="D2" s="4"/>
      <c r="E2" s="58" t="s">
        <v>10</v>
      </c>
      <c r="F2" s="58"/>
      <c r="G2" s="58"/>
      <c r="H2" s="58"/>
      <c r="I2" s="4"/>
      <c r="J2" s="58" t="s">
        <v>46</v>
      </c>
      <c r="K2" s="58"/>
      <c r="L2" s="58"/>
      <c r="M2" s="58"/>
    </row>
    <row r="3" spans="1:13" x14ac:dyDescent="0.2">
      <c r="A3" s="1" t="s">
        <v>7</v>
      </c>
      <c r="B3" s="1" t="s">
        <v>8</v>
      </c>
      <c r="C3" s="1" t="s">
        <v>28</v>
      </c>
      <c r="D3" s="4"/>
      <c r="E3" s="62" t="s">
        <v>38</v>
      </c>
      <c r="F3" s="61" t="s">
        <v>11</v>
      </c>
      <c r="G3" s="61" t="s">
        <v>12</v>
      </c>
      <c r="H3" s="61"/>
      <c r="I3" s="4"/>
      <c r="J3" s="62" t="s">
        <v>39</v>
      </c>
      <c r="K3" s="61" t="s">
        <v>11</v>
      </c>
      <c r="L3" s="61" t="s">
        <v>12</v>
      </c>
      <c r="M3" s="61"/>
    </row>
    <row r="4" spans="1:13" x14ac:dyDescent="0.2">
      <c r="A4" s="1" t="s">
        <v>26</v>
      </c>
      <c r="B4" s="2">
        <v>0.4</v>
      </c>
      <c r="C4" s="2">
        <v>1250</v>
      </c>
      <c r="D4" s="4"/>
      <c r="E4" s="62"/>
      <c r="F4" s="61"/>
      <c r="G4" s="1" t="s">
        <v>34</v>
      </c>
      <c r="H4" s="1" t="s">
        <v>35</v>
      </c>
      <c r="I4" s="4"/>
      <c r="J4" s="62"/>
      <c r="K4" s="61"/>
      <c r="L4" s="1" t="s">
        <v>34</v>
      </c>
      <c r="M4" s="1" t="s">
        <v>35</v>
      </c>
    </row>
    <row r="5" spans="1:13" x14ac:dyDescent="0.2">
      <c r="A5" s="1" t="s">
        <v>27</v>
      </c>
      <c r="B5" s="2">
        <v>0.6</v>
      </c>
      <c r="C5" s="2">
        <v>450</v>
      </c>
      <c r="D5" s="4"/>
      <c r="E5" s="1" t="s">
        <v>33</v>
      </c>
      <c r="F5" s="24">
        <f>(G5*B4+H5*B5)/(1+C10)</f>
        <v>733.33333333333326</v>
      </c>
      <c r="G5" s="2">
        <v>1250</v>
      </c>
      <c r="H5" s="2">
        <v>450</v>
      </c>
      <c r="I5" s="4"/>
      <c r="J5" s="1" t="s">
        <v>33</v>
      </c>
      <c r="K5" s="24">
        <f>(L5*B4+M5*B5)/(1+C10)</f>
        <v>733.33333333333326</v>
      </c>
      <c r="L5" s="2">
        <v>1250</v>
      </c>
      <c r="M5" s="2">
        <v>450</v>
      </c>
    </row>
    <row r="6" spans="1:13" x14ac:dyDescent="0.2">
      <c r="A6" s="4"/>
      <c r="B6" s="4"/>
      <c r="C6" s="4"/>
      <c r="D6" s="4"/>
      <c r="E6" s="1" t="s">
        <v>36</v>
      </c>
      <c r="F6" s="24">
        <f>(G6*B4+H6*B5)/(1+C10)</f>
        <v>504.76190476190476</v>
      </c>
      <c r="G6" s="2">
        <f>IF(C4-$C$7&lt;0, C4, $C$7)</f>
        <v>650</v>
      </c>
      <c r="H6" s="2">
        <f>IF(C5-$C$7&lt;0, C5, $C$7)</f>
        <v>450</v>
      </c>
      <c r="I6" s="4"/>
      <c r="J6" s="1" t="s">
        <v>40</v>
      </c>
      <c r="K6" s="24">
        <f>(L6*B4+M6*B5)/(1+C10)</f>
        <v>142.85714285714286</v>
      </c>
      <c r="L6" s="2">
        <v>150</v>
      </c>
      <c r="M6" s="2">
        <v>150</v>
      </c>
    </row>
    <row r="7" spans="1:13" x14ac:dyDescent="0.2">
      <c r="A7" s="61" t="s">
        <v>29</v>
      </c>
      <c r="B7" s="61"/>
      <c r="C7" s="2">
        <v>650</v>
      </c>
      <c r="D7" s="4"/>
      <c r="E7" s="1" t="s">
        <v>37</v>
      </c>
      <c r="F7" s="25">
        <f>G7*B4/(1+C10)</f>
        <v>228.57142857142856</v>
      </c>
      <c r="G7" s="2">
        <f>G5-G6</f>
        <v>600</v>
      </c>
      <c r="H7" s="2">
        <f>H5-H6</f>
        <v>0</v>
      </c>
      <c r="I7" s="4"/>
      <c r="J7" s="1" t="s">
        <v>41</v>
      </c>
      <c r="K7" s="24">
        <f>(L7*B4+M7*B5)/(1+C10)</f>
        <v>876.19047619047615</v>
      </c>
      <c r="L7" s="2">
        <f t="shared" ref="L7" si="0">SUM(L5:L6)</f>
        <v>1400</v>
      </c>
      <c r="M7" s="2">
        <f t="shared" ref="M7" si="1">SUM(M5:M6)</f>
        <v>600</v>
      </c>
    </row>
    <row r="8" spans="1:13" x14ac:dyDescent="0.2">
      <c r="A8" s="61" t="s">
        <v>30</v>
      </c>
      <c r="B8" s="61"/>
      <c r="C8" s="2">
        <v>100</v>
      </c>
      <c r="D8" s="4"/>
      <c r="E8" s="4"/>
      <c r="F8" s="4"/>
      <c r="G8" s="4"/>
      <c r="H8" s="4"/>
      <c r="I8" s="4"/>
      <c r="J8" s="1" t="s">
        <v>36</v>
      </c>
      <c r="K8" s="24">
        <f>K7-K9</f>
        <v>547.61904761904759</v>
      </c>
      <c r="L8" s="21">
        <f>K8*(1+C10)</f>
        <v>575</v>
      </c>
      <c r="M8" s="21">
        <f>K8*(1+C10)</f>
        <v>575</v>
      </c>
    </row>
    <row r="9" spans="1:13" x14ac:dyDescent="0.2">
      <c r="A9" s="61" t="s">
        <v>31</v>
      </c>
      <c r="B9" s="61"/>
      <c r="C9" s="2">
        <v>150</v>
      </c>
      <c r="D9" s="4"/>
      <c r="E9" s="62" t="s">
        <v>39</v>
      </c>
      <c r="F9" s="61" t="s">
        <v>11</v>
      </c>
      <c r="G9" s="61" t="s">
        <v>12</v>
      </c>
      <c r="H9" s="61"/>
      <c r="I9" s="4"/>
      <c r="J9" s="1" t="s">
        <v>37</v>
      </c>
      <c r="K9" s="24">
        <f>F7+C8</f>
        <v>328.57142857142856</v>
      </c>
      <c r="L9" s="2">
        <f>L7-L8</f>
        <v>825</v>
      </c>
      <c r="M9" s="2">
        <f>M7-M8</f>
        <v>25</v>
      </c>
    </row>
    <row r="10" spans="1:13" x14ac:dyDescent="0.2">
      <c r="A10" s="63" t="s">
        <v>23</v>
      </c>
      <c r="B10" s="61"/>
      <c r="C10" s="2">
        <v>0.05</v>
      </c>
      <c r="D10" s="4"/>
      <c r="E10" s="62"/>
      <c r="F10" s="61"/>
      <c r="G10" s="1" t="s">
        <v>34</v>
      </c>
      <c r="H10" s="1" t="s">
        <v>35</v>
      </c>
      <c r="I10" s="4"/>
      <c r="J10" s="4"/>
      <c r="K10" s="4"/>
      <c r="L10" s="4"/>
      <c r="M10" s="4"/>
    </row>
    <row r="11" spans="1:13" x14ac:dyDescent="0.2">
      <c r="A11" s="4"/>
      <c r="B11" s="4"/>
      <c r="C11" s="4"/>
      <c r="D11" s="4"/>
      <c r="E11" s="1" t="s">
        <v>33</v>
      </c>
      <c r="F11" s="24">
        <f>(G11*B4+H11*B5)/(1+C10)</f>
        <v>733.33333333333326</v>
      </c>
      <c r="G11" s="2">
        <v>1250</v>
      </c>
      <c r="H11" s="2">
        <v>450</v>
      </c>
      <c r="I11" s="4"/>
      <c r="J11" s="58" t="s">
        <v>47</v>
      </c>
      <c r="K11" s="58"/>
      <c r="L11" s="58"/>
      <c r="M11" s="58"/>
    </row>
    <row r="12" spans="1:13" x14ac:dyDescent="0.2">
      <c r="A12" s="58" t="s">
        <v>9</v>
      </c>
      <c r="B12" s="58"/>
      <c r="C12" s="58"/>
      <c r="D12" s="4"/>
      <c r="E12" s="1" t="s">
        <v>40</v>
      </c>
      <c r="F12" s="24">
        <f>(G12*B4+H12*B5)/(1+C10)</f>
        <v>142.85714285714286</v>
      </c>
      <c r="G12" s="2">
        <v>150</v>
      </c>
      <c r="H12" s="2">
        <v>150</v>
      </c>
      <c r="I12" s="4"/>
      <c r="J12" s="64" t="s">
        <v>48</v>
      </c>
      <c r="K12" s="64"/>
      <c r="L12" s="64"/>
      <c r="M12" s="64"/>
    </row>
    <row r="13" spans="1:13" x14ac:dyDescent="0.2">
      <c r="A13" s="61" t="s">
        <v>32</v>
      </c>
      <c r="B13" s="61"/>
      <c r="C13" s="21">
        <f>-C8+C9/(1+C10)</f>
        <v>42.857142857142861</v>
      </c>
      <c r="D13" s="4"/>
      <c r="E13" s="1" t="s">
        <v>41</v>
      </c>
      <c r="F13" s="24">
        <f>SUM(F11:F12)</f>
        <v>876.19047619047615</v>
      </c>
      <c r="G13" s="2">
        <f t="shared" ref="G13:H13" si="2">SUM(G11:G12)</f>
        <v>1400</v>
      </c>
      <c r="H13" s="2">
        <f t="shared" si="2"/>
        <v>600</v>
      </c>
      <c r="I13" s="4"/>
      <c r="J13" s="64"/>
      <c r="K13" s="64"/>
      <c r="L13" s="64"/>
      <c r="M13" s="64"/>
    </row>
    <row r="14" spans="1:13" x14ac:dyDescent="0.2">
      <c r="A14" s="4"/>
      <c r="B14" s="4"/>
      <c r="C14" s="4"/>
      <c r="D14" s="4"/>
      <c r="E14" s="1" t="s">
        <v>36</v>
      </c>
      <c r="F14" s="24">
        <f>(G14*B4+H14*B5)/(1+C10)</f>
        <v>590.47619047619048</v>
      </c>
      <c r="G14" s="2">
        <f>IF(G13-$C$7&lt;0, G13, $C$7)</f>
        <v>650</v>
      </c>
      <c r="H14" s="2">
        <f>IF(H13-$C$7&lt;0, H13, $C$7)</f>
        <v>600</v>
      </c>
      <c r="I14" s="4"/>
      <c r="J14" s="64"/>
      <c r="K14" s="64"/>
      <c r="L14" s="64"/>
      <c r="M14" s="64"/>
    </row>
    <row r="15" spans="1:13" x14ac:dyDescent="0.2">
      <c r="A15" s="58" t="s">
        <v>18</v>
      </c>
      <c r="B15" s="58"/>
      <c r="C15" s="58"/>
      <c r="D15" s="4"/>
      <c r="E15" s="1" t="s">
        <v>37</v>
      </c>
      <c r="F15" s="25">
        <f>(G15*B4)/(1+C10)</f>
        <v>285.71428571428572</v>
      </c>
      <c r="G15" s="2">
        <f>G13-G14</f>
        <v>750</v>
      </c>
      <c r="H15" s="2">
        <f>H13-H14</f>
        <v>0</v>
      </c>
      <c r="I15" s="4"/>
      <c r="J15" s="64"/>
      <c r="K15" s="64"/>
      <c r="L15" s="64"/>
      <c r="M15" s="64"/>
    </row>
    <row r="16" spans="1:13" x14ac:dyDescent="0.2">
      <c r="A16" s="65" t="s">
        <v>45</v>
      </c>
      <c r="B16" s="65"/>
      <c r="C16" s="65"/>
      <c r="D16" s="4"/>
      <c r="E16" s="4"/>
      <c r="F16" s="4"/>
      <c r="G16" s="4"/>
      <c r="H16" s="4"/>
      <c r="I16" s="4"/>
      <c r="J16" s="64"/>
      <c r="K16" s="64"/>
      <c r="L16" s="64"/>
      <c r="M16" s="64"/>
    </row>
    <row r="17" spans="1:13" x14ac:dyDescent="0.2">
      <c r="A17" s="65"/>
      <c r="B17" s="65"/>
      <c r="C17" s="65"/>
      <c r="D17" s="4"/>
      <c r="E17" s="1" t="s">
        <v>44</v>
      </c>
      <c r="F17" s="1" t="s">
        <v>53</v>
      </c>
      <c r="G17" s="1" t="s">
        <v>42</v>
      </c>
      <c r="H17" s="1" t="s">
        <v>43</v>
      </c>
      <c r="I17" s="4"/>
      <c r="J17" s="64"/>
      <c r="K17" s="64"/>
      <c r="L17" s="64"/>
      <c r="M17" s="64"/>
    </row>
    <row r="18" spans="1:13" x14ac:dyDescent="0.2">
      <c r="A18" s="65"/>
      <c r="B18" s="65"/>
      <c r="C18" s="65"/>
      <c r="D18" s="4"/>
      <c r="E18" s="2">
        <f>C8</f>
        <v>100</v>
      </c>
      <c r="F18" s="24">
        <f>C9/(1+C10)</f>
        <v>142.85714285714286</v>
      </c>
      <c r="G18" s="24">
        <f>F14-F6</f>
        <v>85.714285714285722</v>
      </c>
      <c r="H18" s="25">
        <f>F15-F7</f>
        <v>57.142857142857167</v>
      </c>
      <c r="I18" s="39"/>
      <c r="J18" s="4"/>
      <c r="K18" s="4"/>
      <c r="L18" s="4"/>
      <c r="M18" s="4"/>
    </row>
    <row r="19" spans="1:13" x14ac:dyDescent="0.2">
      <c r="A19" s="65"/>
      <c r="B19" s="65"/>
      <c r="C19" s="65"/>
      <c r="D19" s="4"/>
      <c r="E19" s="64" t="s">
        <v>96</v>
      </c>
      <c r="F19" s="64"/>
      <c r="G19" s="64"/>
      <c r="H19" s="64"/>
      <c r="I19" s="4"/>
      <c r="J19" s="58" t="s">
        <v>49</v>
      </c>
      <c r="K19" s="58"/>
      <c r="L19" s="58"/>
      <c r="M19" s="58"/>
    </row>
    <row r="20" spans="1:13" x14ac:dyDescent="0.2">
      <c r="A20" s="65"/>
      <c r="B20" s="65"/>
      <c r="C20" s="65"/>
      <c r="D20" s="4"/>
      <c r="E20" s="64"/>
      <c r="F20" s="64"/>
      <c r="G20" s="64"/>
      <c r="H20" s="64"/>
      <c r="I20" s="4"/>
      <c r="J20" s="64" t="s">
        <v>50</v>
      </c>
      <c r="K20" s="64"/>
      <c r="L20" s="64"/>
      <c r="M20" s="64"/>
    </row>
    <row r="21" spans="1:13" x14ac:dyDescent="0.2">
      <c r="A21" s="65"/>
      <c r="B21" s="65"/>
      <c r="C21" s="65"/>
      <c r="D21" s="4"/>
      <c r="E21" s="64"/>
      <c r="F21" s="64"/>
      <c r="G21" s="64"/>
      <c r="H21" s="64"/>
      <c r="I21" s="4"/>
      <c r="J21" s="64"/>
      <c r="K21" s="64"/>
      <c r="L21" s="64"/>
      <c r="M21" s="64"/>
    </row>
    <row r="22" spans="1:13" x14ac:dyDescent="0.2">
      <c r="A22" s="65"/>
      <c r="B22" s="65"/>
      <c r="C22" s="65"/>
      <c r="D22" s="4"/>
      <c r="E22" s="64"/>
      <c r="F22" s="64"/>
      <c r="G22" s="64"/>
      <c r="H22" s="64"/>
      <c r="I22" s="4"/>
      <c r="J22" s="64"/>
      <c r="K22" s="64"/>
      <c r="L22" s="64"/>
      <c r="M22" s="64"/>
    </row>
    <row r="23" spans="1:13" x14ac:dyDescent="0.2">
      <c r="A23" s="4"/>
      <c r="B23" s="4"/>
      <c r="C23" s="4"/>
      <c r="D23" s="4"/>
      <c r="E23" s="4"/>
      <c r="F23" s="4"/>
      <c r="G23" s="4"/>
      <c r="H23" s="4"/>
      <c r="I23" s="4"/>
      <c r="J23" s="4"/>
      <c r="K23" s="4"/>
      <c r="L23" s="4"/>
      <c r="M23" s="4"/>
    </row>
    <row r="24" spans="1:13" x14ac:dyDescent="0.2">
      <c r="A24" s="58" t="s">
        <v>51</v>
      </c>
      <c r="B24" s="58"/>
      <c r="C24" s="58"/>
      <c r="D24" s="58"/>
      <c r="E24" s="58"/>
      <c r="F24" s="58"/>
      <c r="G24" s="58"/>
      <c r="H24" s="58"/>
      <c r="I24" s="58"/>
      <c r="J24" s="58"/>
      <c r="K24" s="58"/>
      <c r="L24" s="58"/>
      <c r="M24" s="58"/>
    </row>
    <row r="25" spans="1:13" x14ac:dyDescent="0.2">
      <c r="A25" s="1" t="s">
        <v>54</v>
      </c>
      <c r="B25" s="66" t="s">
        <v>52</v>
      </c>
      <c r="C25" s="64"/>
      <c r="D25" s="64"/>
      <c r="E25" s="64"/>
      <c r="F25" s="64"/>
      <c r="G25" s="64"/>
      <c r="H25" s="64"/>
      <c r="I25" s="64"/>
      <c r="J25" s="64"/>
      <c r="K25" s="64"/>
      <c r="L25" s="64"/>
      <c r="M25" s="64"/>
    </row>
    <row r="26" spans="1:13" x14ac:dyDescent="0.2">
      <c r="A26" s="21">
        <f>F6*(1+C10)</f>
        <v>530</v>
      </c>
      <c r="B26" s="64"/>
      <c r="C26" s="64"/>
      <c r="D26" s="64"/>
      <c r="E26" s="64"/>
      <c r="F26" s="64"/>
      <c r="G26" s="64"/>
      <c r="H26" s="64"/>
      <c r="I26" s="64"/>
      <c r="J26" s="64"/>
      <c r="K26" s="64"/>
      <c r="L26" s="64"/>
      <c r="M26" s="64"/>
    </row>
  </sheetData>
  <mergeCells count="28">
    <mergeCell ref="A16:C22"/>
    <mergeCell ref="J12:M17"/>
    <mergeCell ref="J20:M22"/>
    <mergeCell ref="B25:M26"/>
    <mergeCell ref="A24:M24"/>
    <mergeCell ref="J19:M19"/>
    <mergeCell ref="A15:C15"/>
    <mergeCell ref="A13:B13"/>
    <mergeCell ref="G9:H9"/>
    <mergeCell ref="E9:E10"/>
    <mergeCell ref="F9:F10"/>
    <mergeCell ref="J11:M11"/>
    <mergeCell ref="E19:H22"/>
    <mergeCell ref="A10:B10"/>
    <mergeCell ref="A9:B9"/>
    <mergeCell ref="A8:B8"/>
    <mergeCell ref="A7:B7"/>
    <mergeCell ref="A12:C12"/>
    <mergeCell ref="A1:M1"/>
    <mergeCell ref="L3:M3"/>
    <mergeCell ref="K3:K4"/>
    <mergeCell ref="J3:J4"/>
    <mergeCell ref="A2:C2"/>
    <mergeCell ref="G3:H3"/>
    <mergeCell ref="F3:F4"/>
    <mergeCell ref="E3:E4"/>
    <mergeCell ref="J2:M2"/>
    <mergeCell ref="E2:H2"/>
  </mergeCells>
  <conditionalFormatting sqref="C13">
    <cfRule type="iconSet" priority="2">
      <iconSet iconSet="3Symbols2">
        <cfvo type="percent" val="0"/>
        <cfvo type="percent" val="33"/>
        <cfvo type="percent" val="67"/>
      </iconSet>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iconSet" priority="1" id="{61C200AD-F6B6-884B-A388-4B4C5EE9563F}">
            <x14:iconSet iconSet="3Arrows" custom="1">
              <x14:cfvo type="percent">
                <xm:f>0</xm:f>
              </x14:cfvo>
              <x14:cfvo type="num" gte="0">
                <xm:f>$H$18</xm:f>
              </x14:cfvo>
              <x14:cfvo type="num">
                <xm:f>$E$18</xm:f>
              </x14:cfvo>
              <x14:cfIcon iconSet="3Arrows" iconId="0"/>
              <x14:cfIcon iconSet="3Arrows" iconId="1"/>
              <x14:cfIcon iconSet="3Symbols" iconId="2"/>
            </x14:iconSet>
          </x14:cfRule>
          <xm:sqref>H18 E18:E19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AEAF4-CFDC-234F-BD34-E3140670DB6B}">
  <sheetPr>
    <tabColor theme="7" tint="0.39997558519241921"/>
  </sheetPr>
  <dimension ref="A1:I17"/>
  <sheetViews>
    <sheetView topLeftCell="E1" zoomScale="196" zoomScaleNormal="196" workbookViewId="0">
      <pane ySplit="1" topLeftCell="A2" activePane="bottomLeft" state="frozen"/>
      <selection pane="bottomLeft" activeCell="H4" sqref="H4"/>
    </sheetView>
  </sheetViews>
  <sheetFormatPr baseColWidth="10" defaultRowHeight="16" x14ac:dyDescent="0.2"/>
  <cols>
    <col min="4" max="4" width="11.83203125" bestFit="1" customWidth="1"/>
    <col min="8" max="8" width="12.83203125" customWidth="1"/>
    <col min="9" max="9" width="13.5" customWidth="1"/>
  </cols>
  <sheetData>
    <row r="1" spans="1:9" x14ac:dyDescent="0.2">
      <c r="A1" s="40" t="s">
        <v>2</v>
      </c>
      <c r="B1" s="40"/>
      <c r="C1" s="40"/>
      <c r="D1" s="40"/>
      <c r="E1" s="40"/>
      <c r="F1" s="40"/>
      <c r="G1" s="40"/>
      <c r="H1" s="40"/>
      <c r="I1" s="40"/>
    </row>
    <row r="2" spans="1:9" x14ac:dyDescent="0.2">
      <c r="A2" s="67" t="s">
        <v>6</v>
      </c>
      <c r="B2" s="67"/>
      <c r="C2" s="67"/>
      <c r="D2" s="67"/>
      <c r="E2" s="4"/>
      <c r="F2" s="2"/>
      <c r="G2" s="1" t="s">
        <v>55</v>
      </c>
      <c r="H2" s="1" t="s">
        <v>56</v>
      </c>
      <c r="I2" s="1" t="s">
        <v>57</v>
      </c>
    </row>
    <row r="3" spans="1:9" x14ac:dyDescent="0.2">
      <c r="A3" s="1" t="s">
        <v>7</v>
      </c>
      <c r="B3" s="1" t="s">
        <v>8</v>
      </c>
      <c r="C3" s="1" t="s">
        <v>28</v>
      </c>
      <c r="D3" s="1" t="s">
        <v>60</v>
      </c>
      <c r="E3" s="4"/>
      <c r="F3" s="3" t="s">
        <v>9</v>
      </c>
      <c r="G3" s="2">
        <f>D8*B4</f>
        <v>3500</v>
      </c>
      <c r="H3" s="24">
        <f>(C4*B4+(C5+D8*(1+D7))*B5)/(1+D7)</f>
        <v>30309.523809523809</v>
      </c>
      <c r="I3" s="24">
        <f>G3+H3</f>
        <v>33809.523809523809</v>
      </c>
    </row>
    <row r="4" spans="1:9" x14ac:dyDescent="0.2">
      <c r="A4" s="1" t="s">
        <v>26</v>
      </c>
      <c r="B4" s="2">
        <v>0.7</v>
      </c>
      <c r="C4" s="2">
        <v>40000</v>
      </c>
      <c r="D4" s="2">
        <v>6750</v>
      </c>
      <c r="E4" s="4"/>
      <c r="F4" s="3" t="s">
        <v>58</v>
      </c>
      <c r="G4" s="2">
        <f>D4*B4/(1+D7)</f>
        <v>4500</v>
      </c>
      <c r="H4" s="24">
        <f>(C4*B4+C5*B5)/(1+D7)</f>
        <v>28809.523809523809</v>
      </c>
      <c r="I4" s="24">
        <f>G4+H4</f>
        <v>33309.523809523809</v>
      </c>
    </row>
    <row r="5" spans="1:9" x14ac:dyDescent="0.2">
      <c r="A5" s="1" t="s">
        <v>27</v>
      </c>
      <c r="B5" s="2">
        <v>0.3</v>
      </c>
      <c r="C5" s="2">
        <v>7500</v>
      </c>
      <c r="D5" s="2">
        <v>0</v>
      </c>
      <c r="E5" s="4"/>
      <c r="F5" s="4"/>
      <c r="G5" s="4"/>
      <c r="H5" s="4"/>
      <c r="I5" s="4"/>
    </row>
    <row r="6" spans="1:9" x14ac:dyDescent="0.2">
      <c r="A6" s="4"/>
      <c r="B6" s="4"/>
      <c r="C6" s="4"/>
      <c r="D6" s="4"/>
      <c r="E6" s="4"/>
      <c r="F6" s="4"/>
      <c r="G6" s="4"/>
      <c r="H6" s="4"/>
      <c r="I6" s="4"/>
    </row>
    <row r="7" spans="1:9" ht="16" customHeight="1" x14ac:dyDescent="0.2">
      <c r="A7" s="60" t="s">
        <v>23</v>
      </c>
      <c r="B7" s="41"/>
      <c r="C7" s="41"/>
      <c r="D7" s="2">
        <v>0.05</v>
      </c>
      <c r="E7" s="4"/>
      <c r="F7" s="4"/>
      <c r="G7" s="4"/>
      <c r="H7" s="4"/>
      <c r="I7" s="4"/>
    </row>
    <row r="8" spans="1:9" x14ac:dyDescent="0.2">
      <c r="A8" s="41" t="s">
        <v>62</v>
      </c>
      <c r="B8" s="41"/>
      <c r="C8" s="41"/>
      <c r="D8" s="2">
        <v>5000</v>
      </c>
      <c r="E8" s="4"/>
      <c r="F8" s="4"/>
      <c r="G8" s="4"/>
      <c r="H8" s="4"/>
      <c r="I8" s="4"/>
    </row>
    <row r="9" spans="1:9" x14ac:dyDescent="0.2">
      <c r="A9" s="41" t="s">
        <v>14</v>
      </c>
      <c r="B9" s="41"/>
      <c r="C9" s="41"/>
      <c r="D9" s="2">
        <v>40000</v>
      </c>
      <c r="E9" s="4"/>
      <c r="F9" s="58" t="s">
        <v>10</v>
      </c>
      <c r="G9" s="58"/>
      <c r="H9" s="1" t="s">
        <v>61</v>
      </c>
      <c r="I9" s="26">
        <f>-D8+(D4*B4+D5*B5)/(1+D7)</f>
        <v>-500</v>
      </c>
    </row>
    <row r="10" spans="1:9" x14ac:dyDescent="0.2">
      <c r="A10" s="4"/>
      <c r="B10" s="4"/>
      <c r="C10" s="4"/>
      <c r="D10" s="4"/>
      <c r="E10" s="4"/>
      <c r="F10" s="4"/>
      <c r="G10" s="4"/>
      <c r="H10" s="4"/>
      <c r="I10" s="4"/>
    </row>
    <row r="11" spans="1:9" x14ac:dyDescent="0.2">
      <c r="A11" s="58" t="s">
        <v>47</v>
      </c>
      <c r="B11" s="58"/>
      <c r="C11" s="58"/>
      <c r="D11" s="58"/>
      <c r="E11" s="58"/>
      <c r="F11" s="58"/>
      <c r="G11" s="58"/>
      <c r="H11" s="58"/>
      <c r="I11" s="58"/>
    </row>
    <row r="12" spans="1:9" ht="16" customHeight="1" x14ac:dyDescent="0.2">
      <c r="A12" s="64" t="s">
        <v>59</v>
      </c>
      <c r="B12" s="64"/>
      <c r="C12" s="64"/>
      <c r="D12" s="64"/>
      <c r="E12" s="64"/>
      <c r="F12" s="64"/>
      <c r="G12" s="64"/>
      <c r="H12" s="64"/>
      <c r="I12" s="64"/>
    </row>
    <row r="13" spans="1:9" x14ac:dyDescent="0.2">
      <c r="A13" s="64"/>
      <c r="B13" s="64"/>
      <c r="C13" s="64"/>
      <c r="D13" s="64"/>
      <c r="E13" s="64"/>
      <c r="F13" s="64"/>
      <c r="G13" s="64"/>
      <c r="H13" s="64"/>
      <c r="I13" s="64"/>
    </row>
    <row r="14" spans="1:9" x14ac:dyDescent="0.2">
      <c r="A14" s="64"/>
      <c r="B14" s="64"/>
      <c r="C14" s="64"/>
      <c r="D14" s="64"/>
      <c r="E14" s="64"/>
      <c r="F14" s="64"/>
      <c r="G14" s="64"/>
      <c r="H14" s="64"/>
      <c r="I14" s="64"/>
    </row>
    <row r="15" spans="1:9" x14ac:dyDescent="0.2">
      <c r="A15" s="64"/>
      <c r="B15" s="64"/>
      <c r="C15" s="64"/>
      <c r="D15" s="64"/>
      <c r="E15" s="64"/>
      <c r="F15" s="64"/>
      <c r="G15" s="64"/>
      <c r="H15" s="64"/>
      <c r="I15" s="64"/>
    </row>
    <row r="16" spans="1:9" x14ac:dyDescent="0.2">
      <c r="A16" s="64"/>
      <c r="B16" s="64"/>
      <c r="C16" s="64"/>
      <c r="D16" s="64"/>
      <c r="E16" s="64"/>
      <c r="F16" s="64"/>
      <c r="G16" s="64"/>
      <c r="H16" s="64"/>
      <c r="I16" s="64"/>
    </row>
    <row r="17" spans="1:9" x14ac:dyDescent="0.2">
      <c r="A17" s="64"/>
      <c r="B17" s="64"/>
      <c r="C17" s="64"/>
      <c r="D17" s="64"/>
      <c r="E17" s="64"/>
      <c r="F17" s="64"/>
      <c r="G17" s="64"/>
      <c r="H17" s="64"/>
      <c r="I17" s="64"/>
    </row>
  </sheetData>
  <mergeCells count="8">
    <mergeCell ref="A1:I1"/>
    <mergeCell ref="A2:D2"/>
    <mergeCell ref="A12:I17"/>
    <mergeCell ref="F9:G9"/>
    <mergeCell ref="A11:I11"/>
    <mergeCell ref="A9:C9"/>
    <mergeCell ref="A8:C8"/>
    <mergeCell ref="A7:C7"/>
  </mergeCells>
  <conditionalFormatting sqref="G4">
    <cfRule type="iconSet" priority="3">
      <iconSet iconSet="3Arrows">
        <cfvo type="percent" val="0"/>
        <cfvo type="percent" val="33"/>
        <cfvo type="percent" val="67"/>
      </iconSet>
    </cfRule>
  </conditionalFormatting>
  <conditionalFormatting sqref="H4">
    <cfRule type="iconSet" priority="2">
      <iconSet iconSet="3Arrows">
        <cfvo type="percent" val="0"/>
        <cfvo type="num" val="$H$3" gte="0"/>
        <cfvo type="num" val="$H$3" gte="0"/>
      </iconSet>
    </cfRule>
  </conditionalFormatting>
  <conditionalFormatting sqref="I4">
    <cfRule type="iconSet" priority="1">
      <iconSet iconSet="3Arrows">
        <cfvo type="percent" val="0"/>
        <cfvo type="num" val="$I$3" gte="0"/>
        <cfvo type="num" val="$I$3" gte="0"/>
      </iconSet>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93431-8941-E346-A3F3-1B7F89A2EC52}">
  <sheetPr>
    <tabColor rgb="FFFFFF00"/>
  </sheetPr>
  <dimension ref="A1:S20"/>
  <sheetViews>
    <sheetView topLeftCell="K1" zoomScale="116" zoomScaleNormal="116" workbookViewId="0">
      <pane ySplit="1" topLeftCell="A2" activePane="bottomLeft" state="frozen"/>
      <selection pane="bottomLeft" activeCell="K20" sqref="K20"/>
    </sheetView>
  </sheetViews>
  <sheetFormatPr baseColWidth="10" defaultRowHeight="16" x14ac:dyDescent="0.2"/>
  <sheetData>
    <row r="1" spans="1:19" x14ac:dyDescent="0.2">
      <c r="A1" s="40" t="s">
        <v>3</v>
      </c>
      <c r="B1" s="40"/>
      <c r="C1" s="40"/>
      <c r="D1" s="40"/>
      <c r="E1" s="40"/>
      <c r="F1" s="40"/>
      <c r="G1" s="40"/>
      <c r="H1" s="40"/>
      <c r="I1" s="40"/>
      <c r="J1" s="40"/>
      <c r="K1" s="40"/>
      <c r="L1" s="40"/>
      <c r="M1" s="40"/>
      <c r="N1" s="40"/>
      <c r="O1" s="40"/>
      <c r="P1" s="40"/>
      <c r="Q1" s="40"/>
      <c r="R1" s="40"/>
      <c r="S1" s="40"/>
    </row>
    <row r="2" spans="1:19" x14ac:dyDescent="0.2">
      <c r="A2" s="42" t="s">
        <v>6</v>
      </c>
      <c r="B2" s="42"/>
      <c r="C2" s="42"/>
      <c r="D2" s="42"/>
      <c r="E2" s="4"/>
      <c r="F2" s="58" t="s">
        <v>18</v>
      </c>
      <c r="G2" s="41" t="s">
        <v>11</v>
      </c>
      <c r="H2" s="41" t="s">
        <v>12</v>
      </c>
      <c r="I2" s="41"/>
      <c r="J2" s="4"/>
      <c r="K2" s="58" t="s">
        <v>47</v>
      </c>
      <c r="L2" s="41" t="s">
        <v>11</v>
      </c>
      <c r="M2" s="41" t="s">
        <v>12</v>
      </c>
      <c r="N2" s="41"/>
      <c r="O2" s="4"/>
      <c r="P2" s="58" t="s">
        <v>51</v>
      </c>
      <c r="Q2" s="41" t="s">
        <v>11</v>
      </c>
      <c r="R2" s="41" t="s">
        <v>12</v>
      </c>
      <c r="S2" s="41"/>
    </row>
    <row r="3" spans="1:19" x14ac:dyDescent="0.2">
      <c r="A3" s="1"/>
      <c r="B3" s="1" t="s">
        <v>7</v>
      </c>
      <c r="C3" s="1" t="s">
        <v>8</v>
      </c>
      <c r="D3" s="1" t="s">
        <v>65</v>
      </c>
      <c r="E3" s="4"/>
      <c r="F3" s="58"/>
      <c r="G3" s="41"/>
      <c r="H3" s="1" t="s">
        <v>34</v>
      </c>
      <c r="I3" s="1" t="s">
        <v>35</v>
      </c>
      <c r="J3" s="4"/>
      <c r="K3" s="58"/>
      <c r="L3" s="41"/>
      <c r="M3" s="1" t="s">
        <v>34</v>
      </c>
      <c r="N3" s="1" t="s">
        <v>35</v>
      </c>
      <c r="O3" s="4"/>
      <c r="P3" s="58"/>
      <c r="Q3" s="41"/>
      <c r="R3" s="1" t="s">
        <v>34</v>
      </c>
      <c r="S3" s="1" t="s">
        <v>35</v>
      </c>
    </row>
    <row r="4" spans="1:19" x14ac:dyDescent="0.2">
      <c r="A4" s="61" t="s">
        <v>63</v>
      </c>
      <c r="B4" s="2" t="s">
        <v>26</v>
      </c>
      <c r="C4" s="2">
        <v>0.8</v>
      </c>
      <c r="D4" s="2">
        <v>130</v>
      </c>
      <c r="E4" s="4"/>
      <c r="F4" s="1" t="s">
        <v>69</v>
      </c>
      <c r="G4" s="2">
        <f>H4*C4+I4*C5</f>
        <v>124</v>
      </c>
      <c r="H4" s="2">
        <f>D4</f>
        <v>130</v>
      </c>
      <c r="I4" s="2">
        <f>D5</f>
        <v>100</v>
      </c>
      <c r="J4" s="4"/>
      <c r="K4" s="1" t="s">
        <v>69</v>
      </c>
      <c r="L4" s="2">
        <f>G4</f>
        <v>124</v>
      </c>
      <c r="M4" s="2">
        <f>H4</f>
        <v>130</v>
      </c>
      <c r="N4" s="2">
        <f>I4</f>
        <v>100</v>
      </c>
      <c r="O4" s="4"/>
      <c r="P4" s="1" t="s">
        <v>69</v>
      </c>
      <c r="Q4" s="2">
        <f>R4*C4+S4*C5</f>
        <v>124</v>
      </c>
      <c r="R4" s="2">
        <v>130</v>
      </c>
      <c r="S4" s="2">
        <v>100</v>
      </c>
    </row>
    <row r="5" spans="1:19" ht="17" thickBot="1" x14ac:dyDescent="0.25">
      <c r="A5" s="69"/>
      <c r="B5" s="32" t="s">
        <v>27</v>
      </c>
      <c r="C5" s="32">
        <v>0.2</v>
      </c>
      <c r="D5" s="32">
        <v>100</v>
      </c>
      <c r="E5" s="4"/>
      <c r="F5" s="1" t="s">
        <v>36</v>
      </c>
      <c r="G5" s="2">
        <f>H5*C4+I5*C5</f>
        <v>60</v>
      </c>
      <c r="H5" s="2">
        <f>IF(H4-$D$11&lt;0,H4,$D$11)</f>
        <v>60</v>
      </c>
      <c r="I5" s="2">
        <f>IF(I4-$D$11&lt;0,I4,$D$11)</f>
        <v>60</v>
      </c>
      <c r="J5" s="4"/>
      <c r="K5" s="1" t="s">
        <v>36</v>
      </c>
      <c r="L5" s="2">
        <f>M5*C4+N5*C5</f>
        <v>100</v>
      </c>
      <c r="M5" s="2">
        <f>H14</f>
        <v>100</v>
      </c>
      <c r="N5" s="2">
        <f>IF(N4-H14&lt;0,N4,H14)</f>
        <v>100</v>
      </c>
      <c r="O5" s="4"/>
      <c r="P5" s="1" t="s">
        <v>36</v>
      </c>
      <c r="Q5" s="2">
        <v>48</v>
      </c>
      <c r="R5" s="2">
        <v>48</v>
      </c>
      <c r="S5" s="2">
        <v>48</v>
      </c>
    </row>
    <row r="6" spans="1:19" ht="18" thickTop="1" thickBot="1" x14ac:dyDescent="0.25">
      <c r="A6" s="54" t="s">
        <v>64</v>
      </c>
      <c r="B6" s="30" t="s">
        <v>26</v>
      </c>
      <c r="C6" s="30">
        <v>0.5</v>
      </c>
      <c r="D6" s="30">
        <v>200</v>
      </c>
      <c r="E6" s="4"/>
      <c r="F6" s="31" t="s">
        <v>37</v>
      </c>
      <c r="G6" s="32">
        <f>G4-G5</f>
        <v>64</v>
      </c>
      <c r="H6" s="32">
        <f t="shared" ref="H6:I6" si="0">H4-H5</f>
        <v>70</v>
      </c>
      <c r="I6" s="32">
        <f t="shared" si="0"/>
        <v>40</v>
      </c>
      <c r="J6" s="4"/>
      <c r="K6" s="31" t="s">
        <v>37</v>
      </c>
      <c r="L6" s="33">
        <f>L4-L5</f>
        <v>24</v>
      </c>
      <c r="M6" s="32">
        <f t="shared" ref="M6:N6" si="1">M4-M5</f>
        <v>30</v>
      </c>
      <c r="N6" s="32">
        <f t="shared" si="1"/>
        <v>0</v>
      </c>
      <c r="O6" s="4"/>
      <c r="P6" s="31" t="s">
        <v>37</v>
      </c>
      <c r="Q6" s="32">
        <f>Q4-Q5</f>
        <v>76</v>
      </c>
      <c r="R6" s="32">
        <f t="shared" ref="R6:S6" si="2">R4-R5</f>
        <v>82</v>
      </c>
      <c r="S6" s="32">
        <f t="shared" si="2"/>
        <v>52</v>
      </c>
    </row>
    <row r="7" spans="1:19" ht="17" thickTop="1" x14ac:dyDescent="0.2">
      <c r="A7" s="61"/>
      <c r="B7" s="2" t="s">
        <v>27</v>
      </c>
      <c r="C7" s="2">
        <v>0.5</v>
      </c>
      <c r="D7" s="2">
        <v>20</v>
      </c>
      <c r="E7" s="4"/>
      <c r="F7" s="29" t="s">
        <v>70</v>
      </c>
      <c r="G7" s="30">
        <f>H7*C6+I7*C7</f>
        <v>110</v>
      </c>
      <c r="H7" s="30">
        <f>D6</f>
        <v>200</v>
      </c>
      <c r="I7" s="30">
        <f>D7</f>
        <v>20</v>
      </c>
      <c r="J7" s="4"/>
      <c r="K7" s="29" t="s">
        <v>70</v>
      </c>
      <c r="L7" s="30">
        <f>G7</f>
        <v>110</v>
      </c>
      <c r="M7" s="30">
        <f>H7</f>
        <v>200</v>
      </c>
      <c r="N7" s="30">
        <f>I7</f>
        <v>20</v>
      </c>
      <c r="O7" s="4"/>
      <c r="P7" s="29" t="s">
        <v>70</v>
      </c>
      <c r="Q7" s="30">
        <f>L7</f>
        <v>110</v>
      </c>
      <c r="R7" s="30">
        <f>M7</f>
        <v>200</v>
      </c>
      <c r="S7" s="30">
        <f>N7</f>
        <v>20</v>
      </c>
    </row>
    <row r="8" spans="1:19" x14ac:dyDescent="0.2">
      <c r="A8" s="4"/>
      <c r="B8" s="4"/>
      <c r="C8" s="4"/>
      <c r="D8" s="4"/>
      <c r="E8" s="4"/>
      <c r="F8" s="1" t="s">
        <v>36</v>
      </c>
      <c r="G8" s="2">
        <f>H8*C6+I8*C7</f>
        <v>40</v>
      </c>
      <c r="H8" s="2">
        <f>IF(H7-$D$11&lt;0,H7,$D$11)</f>
        <v>60</v>
      </c>
      <c r="I8" s="2">
        <f>IF(I7-$D$11&lt;0,I7,$D$11)</f>
        <v>20</v>
      </c>
      <c r="J8" s="4"/>
      <c r="K8" s="1" t="s">
        <v>36</v>
      </c>
      <c r="L8" s="2">
        <f>M8*C6+N8*C7</f>
        <v>60</v>
      </c>
      <c r="M8" s="2">
        <f>H14</f>
        <v>100</v>
      </c>
      <c r="N8" s="2">
        <f>IF(N7-H14&lt;0,N7,H14)</f>
        <v>20</v>
      </c>
      <c r="O8" s="4"/>
      <c r="P8" s="1" t="s">
        <v>36</v>
      </c>
      <c r="Q8" s="2">
        <f>R8*C6+S8*C7</f>
        <v>34</v>
      </c>
      <c r="R8" s="2">
        <v>48</v>
      </c>
      <c r="S8" s="2">
        <v>20</v>
      </c>
    </row>
    <row r="9" spans="1:19" ht="16" customHeight="1" x14ac:dyDescent="0.2">
      <c r="A9" s="60" t="s">
        <v>23</v>
      </c>
      <c r="B9" s="41"/>
      <c r="C9" s="41"/>
      <c r="D9" s="2">
        <v>0</v>
      </c>
      <c r="E9" s="4"/>
      <c r="F9" s="1" t="s">
        <v>37</v>
      </c>
      <c r="G9" s="2">
        <f>G7-G8</f>
        <v>70</v>
      </c>
      <c r="H9" s="2">
        <f t="shared" ref="H9:I9" si="3">H7-H8</f>
        <v>140</v>
      </c>
      <c r="I9" s="2">
        <f t="shared" si="3"/>
        <v>0</v>
      </c>
      <c r="J9" s="4"/>
      <c r="K9" s="1" t="s">
        <v>37</v>
      </c>
      <c r="L9" s="21">
        <f>L7-L8</f>
        <v>50</v>
      </c>
      <c r="M9" s="2">
        <f t="shared" ref="M9:N9" si="4">M7-M8</f>
        <v>100</v>
      </c>
      <c r="N9" s="2">
        <f t="shared" si="4"/>
        <v>0</v>
      </c>
      <c r="O9" s="4"/>
      <c r="P9" s="1" t="s">
        <v>37</v>
      </c>
      <c r="Q9" s="2">
        <f>Q7-Q8</f>
        <v>76</v>
      </c>
      <c r="R9" s="2">
        <f t="shared" ref="R9:S9" si="5">R7-R8</f>
        <v>152</v>
      </c>
      <c r="S9" s="2">
        <f t="shared" si="5"/>
        <v>0</v>
      </c>
    </row>
    <row r="10" spans="1:19" ht="16" customHeight="1" x14ac:dyDescent="0.2">
      <c r="A10" s="41" t="s">
        <v>66</v>
      </c>
      <c r="B10" s="41"/>
      <c r="C10" s="41"/>
      <c r="D10" s="2">
        <v>-60</v>
      </c>
      <c r="E10" s="4"/>
      <c r="F10" s="4"/>
      <c r="G10" s="4"/>
      <c r="H10" s="4"/>
      <c r="I10" s="4"/>
      <c r="J10" s="4"/>
      <c r="K10" s="4"/>
      <c r="L10" s="4"/>
      <c r="M10" s="4"/>
      <c r="N10" s="4"/>
      <c r="O10" s="4"/>
      <c r="P10" s="4"/>
      <c r="Q10" s="4"/>
      <c r="R10" s="4"/>
      <c r="S10" s="4"/>
    </row>
    <row r="11" spans="1:19" ht="15" customHeight="1" x14ac:dyDescent="0.2">
      <c r="A11" s="41" t="s">
        <v>73</v>
      </c>
      <c r="B11" s="41"/>
      <c r="C11" s="41"/>
      <c r="D11" s="2">
        <v>60</v>
      </c>
      <c r="E11" s="4"/>
      <c r="F11" s="58" t="s">
        <v>46</v>
      </c>
      <c r="G11" s="41" t="s">
        <v>11</v>
      </c>
      <c r="H11" s="41" t="s">
        <v>12</v>
      </c>
      <c r="I11" s="41"/>
      <c r="J11" s="4"/>
      <c r="K11" s="58" t="s">
        <v>49</v>
      </c>
      <c r="L11" s="58"/>
      <c r="M11" s="58"/>
      <c r="N11" s="58"/>
      <c r="O11" s="4"/>
      <c r="P11" s="4"/>
      <c r="Q11" s="4"/>
      <c r="R11" s="4"/>
      <c r="S11" s="4"/>
    </row>
    <row r="12" spans="1:19" ht="16" customHeight="1" x14ac:dyDescent="0.2">
      <c r="A12" s="4"/>
      <c r="B12" s="4"/>
      <c r="C12" s="4"/>
      <c r="D12" s="4"/>
      <c r="E12" s="4"/>
      <c r="F12" s="58"/>
      <c r="G12" s="41"/>
      <c r="H12" s="1" t="s">
        <v>34</v>
      </c>
      <c r="I12" s="1" t="s">
        <v>35</v>
      </c>
      <c r="J12" s="4"/>
      <c r="K12" s="68" t="s">
        <v>71</v>
      </c>
      <c r="L12" s="68"/>
      <c r="M12" s="68"/>
      <c r="N12" s="68"/>
      <c r="O12" s="4"/>
      <c r="P12" s="70" t="s">
        <v>74</v>
      </c>
      <c r="Q12" s="70"/>
      <c r="R12" s="70"/>
      <c r="S12" s="70"/>
    </row>
    <row r="13" spans="1:19" ht="16" customHeight="1" x14ac:dyDescent="0.2">
      <c r="A13" s="58" t="s">
        <v>67</v>
      </c>
      <c r="B13" s="1"/>
      <c r="C13" s="1" t="s">
        <v>68</v>
      </c>
      <c r="D13" s="1" t="s">
        <v>72</v>
      </c>
      <c r="E13" s="4"/>
      <c r="F13" s="1" t="s">
        <v>70</v>
      </c>
      <c r="G13" s="2">
        <f>H13*C6+I13*C7</f>
        <v>110</v>
      </c>
      <c r="H13" s="2">
        <f>H7</f>
        <v>200</v>
      </c>
      <c r="I13" s="2">
        <f>I7</f>
        <v>20</v>
      </c>
      <c r="J13" s="4"/>
      <c r="K13" s="68"/>
      <c r="L13" s="68"/>
      <c r="M13" s="68"/>
      <c r="N13" s="68"/>
      <c r="O13" s="4"/>
      <c r="P13" s="70" t="s">
        <v>75</v>
      </c>
      <c r="Q13" s="70"/>
      <c r="R13" s="70"/>
      <c r="S13" s="70"/>
    </row>
    <row r="14" spans="1:19" x14ac:dyDescent="0.2">
      <c r="A14" s="58"/>
      <c r="B14" s="1" t="s">
        <v>69</v>
      </c>
      <c r="C14" s="2">
        <f>D10+D4*C4+D5*C5</f>
        <v>64</v>
      </c>
      <c r="D14" s="2" cm="1">
        <f t="array" ref="D14">SUM(D4:D5*C4:C5)</f>
        <v>124</v>
      </c>
      <c r="E14" s="4"/>
      <c r="F14" s="1" t="s">
        <v>36</v>
      </c>
      <c r="G14" s="2">
        <v>60</v>
      </c>
      <c r="H14" s="21">
        <f>(G14-I14*C7)/C6</f>
        <v>100</v>
      </c>
      <c r="I14" s="2">
        <f>I13</f>
        <v>20</v>
      </c>
      <c r="J14" s="4"/>
      <c r="K14" s="68"/>
      <c r="L14" s="68"/>
      <c r="M14" s="68"/>
      <c r="N14" s="68"/>
      <c r="O14" s="4"/>
      <c r="P14" s="70" t="s">
        <v>76</v>
      </c>
      <c r="Q14" s="70"/>
      <c r="R14" s="70"/>
      <c r="S14" s="70"/>
    </row>
    <row r="15" spans="1:19" x14ac:dyDescent="0.2">
      <c r="A15" s="58"/>
      <c r="B15" s="1" t="s">
        <v>70</v>
      </c>
      <c r="C15" s="2" cm="1">
        <f t="array" ref="C15">D10+SUM(D6:D7*C6:C7)</f>
        <v>50</v>
      </c>
      <c r="D15" s="2" cm="1">
        <f t="array" ref="D15">SUM(D6:D7*C6:C7)</f>
        <v>110</v>
      </c>
      <c r="E15" s="4"/>
      <c r="F15" s="1" t="s">
        <v>37</v>
      </c>
      <c r="G15" s="2">
        <f>G13-G14</f>
        <v>50</v>
      </c>
      <c r="H15" s="2">
        <f>H13-H14</f>
        <v>100</v>
      </c>
      <c r="I15" s="2">
        <f>I13-I14</f>
        <v>0</v>
      </c>
      <c r="J15" s="4"/>
      <c r="K15" s="68"/>
      <c r="L15" s="68"/>
      <c r="M15" s="68"/>
      <c r="N15" s="68"/>
      <c r="O15" s="4"/>
      <c r="P15" s="41" t="s">
        <v>77</v>
      </c>
      <c r="Q15" s="41"/>
      <c r="R15" s="41"/>
      <c r="S15" s="21">
        <v>48</v>
      </c>
    </row>
    <row r="16" spans="1:19" x14ac:dyDescent="0.2">
      <c r="K16" s="28"/>
      <c r="L16" s="28"/>
      <c r="M16" s="28"/>
      <c r="N16" s="28"/>
    </row>
    <row r="17" spans="11:14" x14ac:dyDescent="0.2">
      <c r="K17" s="27"/>
      <c r="L17" s="27"/>
      <c r="M17" s="27"/>
      <c r="N17" s="27"/>
    </row>
    <row r="18" spans="11:14" x14ac:dyDescent="0.2">
      <c r="K18" s="27"/>
      <c r="L18" s="27"/>
      <c r="M18" s="27"/>
      <c r="N18" s="27"/>
    </row>
    <row r="19" spans="11:14" x14ac:dyDescent="0.2">
      <c r="K19" s="27"/>
      <c r="L19" s="27"/>
      <c r="M19" s="27"/>
      <c r="N19" s="27"/>
    </row>
    <row r="20" spans="11:14" x14ac:dyDescent="0.2">
      <c r="K20" s="27"/>
      <c r="L20" s="27"/>
      <c r="M20" s="27"/>
      <c r="N20" s="27"/>
    </row>
  </sheetData>
  <mergeCells count="26">
    <mergeCell ref="G2:G3"/>
    <mergeCell ref="P13:S13"/>
    <mergeCell ref="P14:S14"/>
    <mergeCell ref="P15:R15"/>
    <mergeCell ref="A9:C9"/>
    <mergeCell ref="A10:C10"/>
    <mergeCell ref="A11:C11"/>
    <mergeCell ref="H11:I11"/>
    <mergeCell ref="G11:G12"/>
    <mergeCell ref="P12:S12"/>
    <mergeCell ref="A1:S1"/>
    <mergeCell ref="A2:D2"/>
    <mergeCell ref="K12:N15"/>
    <mergeCell ref="P2:P3"/>
    <mergeCell ref="K11:N11"/>
    <mergeCell ref="K2:K3"/>
    <mergeCell ref="F11:F12"/>
    <mergeCell ref="F2:F3"/>
    <mergeCell ref="A13:A15"/>
    <mergeCell ref="A6:A7"/>
    <mergeCell ref="A4:A5"/>
    <mergeCell ref="R2:S2"/>
    <mergeCell ref="Q2:Q3"/>
    <mergeCell ref="M2:N2"/>
    <mergeCell ref="L2:L3"/>
    <mergeCell ref="H2:I2"/>
  </mergeCells>
  <conditionalFormatting sqref="D14:D15">
    <cfRule type="iconSet" priority="7">
      <iconSet iconSet="3Symbols2">
        <cfvo type="percent" val="0"/>
        <cfvo type="percent" val="33"/>
        <cfvo type="percent" val="67"/>
      </iconSet>
    </cfRule>
  </conditionalFormatting>
  <conditionalFormatting sqref="G9 G6">
    <cfRule type="iconSet" priority="9">
      <iconSet iconSet="3Symbols2">
        <cfvo type="percent" val="0"/>
        <cfvo type="percent" val="33"/>
        <cfvo type="percent" val="67"/>
      </iconSet>
    </cfRule>
  </conditionalFormatting>
  <conditionalFormatting sqref="H5:I5 H8:I8">
    <cfRule type="dataBar" priority="8">
      <dataBar>
        <cfvo type="min"/>
        <cfvo type="max"/>
        <color rgb="FF63C384"/>
      </dataBar>
      <extLst>
        <ext xmlns:x14="http://schemas.microsoft.com/office/spreadsheetml/2009/9/main" uri="{B025F937-C7B1-47D3-B67F-A62EFF666E3E}">
          <x14:id>{ADF15DAF-BA01-1F4F-91FD-0DE9DF3FD0DE}</x14:id>
        </ext>
      </extLst>
    </cfRule>
  </conditionalFormatting>
  <conditionalFormatting sqref="M5:N5 M8:N8">
    <cfRule type="dataBar" priority="1">
      <dataBar>
        <cfvo type="min"/>
        <cfvo type="max"/>
        <color rgb="FF63C384"/>
      </dataBar>
      <extLst>
        <ext xmlns:x14="http://schemas.microsoft.com/office/spreadsheetml/2009/9/main" uri="{B025F937-C7B1-47D3-B67F-A62EFF666E3E}">
          <x14:id>{269AE0F6-2DA5-504B-BD07-4E3E0407493C}</x14:id>
        </ext>
      </extLst>
    </cfRule>
  </conditionalFormatting>
  <conditionalFormatting sqref="R5:S5 R8:S8">
    <cfRule type="dataBar" priority="2">
      <dataBar>
        <cfvo type="min"/>
        <cfvo type="max"/>
        <color rgb="FF63C384"/>
      </dataBar>
      <extLst>
        <ext xmlns:x14="http://schemas.microsoft.com/office/spreadsheetml/2009/9/main" uri="{B025F937-C7B1-47D3-B67F-A62EFF666E3E}">
          <x14:id>{21727106-2E4F-9449-AF14-DD37ECCB693A}</x14:id>
        </ext>
      </extLst>
    </cfRule>
  </conditionalFormatting>
  <pageMargins left="0.7" right="0.7" top="0.75" bottom="0.75" header="0.3" footer="0.3"/>
  <ignoredErrors>
    <ignoredError sqref="C15 D14:D15" formulaRange="1"/>
    <ignoredError sqref="G6:G9" formula="1"/>
  </ignoredErrors>
  <extLst>
    <ext xmlns:x14="http://schemas.microsoft.com/office/spreadsheetml/2009/9/main" uri="{78C0D931-6437-407d-A8EE-F0AAD7539E65}">
      <x14:conditionalFormattings>
        <x14:conditionalFormatting xmlns:xm="http://schemas.microsoft.com/office/excel/2006/main">
          <x14:cfRule type="dataBar" id="{ADF15DAF-BA01-1F4F-91FD-0DE9DF3FD0DE}">
            <x14:dataBar minLength="0" maxLength="100" border="1" negativeBarBorderColorSameAsPositive="0">
              <x14:cfvo type="autoMin"/>
              <x14:cfvo type="autoMax"/>
              <x14:borderColor rgb="FF63C384"/>
              <x14:negativeFillColor rgb="FFFF0000"/>
              <x14:negativeBorderColor rgb="FFFF0000"/>
              <x14:axisColor rgb="FF000000"/>
            </x14:dataBar>
          </x14:cfRule>
          <xm:sqref>H5:I5 H8:I8</xm:sqref>
        </x14:conditionalFormatting>
        <x14:conditionalFormatting xmlns:xm="http://schemas.microsoft.com/office/excel/2006/main">
          <x14:cfRule type="dataBar" id="{269AE0F6-2DA5-504B-BD07-4E3E0407493C}">
            <x14:dataBar minLength="0" maxLength="100" border="1" negativeBarBorderColorSameAsPositive="0">
              <x14:cfvo type="autoMin"/>
              <x14:cfvo type="autoMax"/>
              <x14:borderColor rgb="FF63C384"/>
              <x14:negativeFillColor rgb="FFFF0000"/>
              <x14:negativeBorderColor rgb="FFFF0000"/>
              <x14:axisColor rgb="FF000000"/>
            </x14:dataBar>
          </x14:cfRule>
          <xm:sqref>M5:N5 M8:N8</xm:sqref>
        </x14:conditionalFormatting>
        <x14:conditionalFormatting xmlns:xm="http://schemas.microsoft.com/office/excel/2006/main">
          <x14:cfRule type="dataBar" id="{21727106-2E4F-9449-AF14-DD37ECCB693A}">
            <x14:dataBar minLength="0" maxLength="100" border="1" negativeBarBorderColorSameAsPositive="0">
              <x14:cfvo type="autoMin"/>
              <x14:cfvo type="autoMax"/>
              <x14:borderColor rgb="FF63C384"/>
              <x14:negativeFillColor rgb="FFFF0000"/>
              <x14:negativeBorderColor rgb="FFFF0000"/>
              <x14:axisColor rgb="FF000000"/>
            </x14:dataBar>
          </x14:cfRule>
          <xm:sqref>R5:S5 R8:S8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ADF1C-563E-CF4C-9F40-97A8ED431FFC}">
  <sheetPr>
    <tabColor theme="8" tint="0.39997558519241921"/>
  </sheetPr>
  <dimension ref="A1:N18"/>
  <sheetViews>
    <sheetView topLeftCell="I1" zoomScale="146" zoomScaleNormal="146" workbookViewId="0">
      <pane ySplit="1" topLeftCell="A2" activePane="bottomLeft" state="frozen"/>
      <selection pane="bottomLeft" activeCell="E23" sqref="E23"/>
    </sheetView>
  </sheetViews>
  <sheetFormatPr baseColWidth="10" defaultRowHeight="16" x14ac:dyDescent="0.2"/>
  <sheetData>
    <row r="1" spans="1:14" x14ac:dyDescent="0.2">
      <c r="A1" s="74" t="s">
        <v>4</v>
      </c>
      <c r="B1" s="74"/>
      <c r="C1" s="74"/>
      <c r="D1" s="74"/>
      <c r="E1" s="74"/>
      <c r="F1" s="74"/>
      <c r="G1" s="74"/>
      <c r="H1" s="74"/>
      <c r="I1" s="74"/>
      <c r="J1" s="74"/>
      <c r="K1" s="74"/>
      <c r="L1" s="74"/>
      <c r="M1" s="74"/>
      <c r="N1" s="74"/>
    </row>
    <row r="2" spans="1:14" x14ac:dyDescent="0.2">
      <c r="A2" s="42" t="s">
        <v>6</v>
      </c>
      <c r="B2" s="42"/>
      <c r="C2" s="42"/>
      <c r="D2" s="42"/>
      <c r="F2" s="58" t="s">
        <v>9</v>
      </c>
      <c r="G2" s="41" t="s">
        <v>11</v>
      </c>
      <c r="H2" s="41" t="s">
        <v>12</v>
      </c>
      <c r="I2" s="41"/>
      <c r="K2" s="58" t="s">
        <v>18</v>
      </c>
      <c r="L2" s="41" t="s">
        <v>11</v>
      </c>
      <c r="M2" s="41" t="s">
        <v>12</v>
      </c>
      <c r="N2" s="41"/>
    </row>
    <row r="3" spans="1:14" x14ac:dyDescent="0.2">
      <c r="A3" s="1"/>
      <c r="B3" s="1" t="s">
        <v>7</v>
      </c>
      <c r="C3" s="1" t="s">
        <v>8</v>
      </c>
      <c r="D3" s="1" t="s">
        <v>65</v>
      </c>
      <c r="F3" s="58"/>
      <c r="G3" s="41"/>
      <c r="H3" s="1" t="s">
        <v>34</v>
      </c>
      <c r="I3" s="1" t="s">
        <v>35</v>
      </c>
      <c r="K3" s="58"/>
      <c r="L3" s="41"/>
      <c r="M3" s="1" t="s">
        <v>34</v>
      </c>
      <c r="N3" s="1" t="s">
        <v>35</v>
      </c>
    </row>
    <row r="4" spans="1:14" x14ac:dyDescent="0.2">
      <c r="A4" s="61" t="s">
        <v>63</v>
      </c>
      <c r="B4" s="2" t="s">
        <v>26</v>
      </c>
      <c r="C4" s="2">
        <v>0.8</v>
      </c>
      <c r="D4" s="2">
        <v>130</v>
      </c>
      <c r="F4" s="1" t="s">
        <v>69</v>
      </c>
      <c r="G4" s="2">
        <f>H4*C4+I4*C5</f>
        <v>124</v>
      </c>
      <c r="H4" s="2">
        <f>D4</f>
        <v>130</v>
      </c>
      <c r="I4" s="2">
        <f>D5</f>
        <v>100</v>
      </c>
      <c r="K4" s="1" t="s">
        <v>69</v>
      </c>
      <c r="L4" s="2">
        <f>M4*C4+N4*C5</f>
        <v>124</v>
      </c>
      <c r="M4" s="2">
        <f>H4</f>
        <v>130</v>
      </c>
      <c r="N4" s="2">
        <f>I4</f>
        <v>100</v>
      </c>
    </row>
    <row r="5" spans="1:14" ht="17" thickBot="1" x14ac:dyDescent="0.25">
      <c r="A5" s="69"/>
      <c r="B5" s="32" t="s">
        <v>27</v>
      </c>
      <c r="C5" s="32">
        <v>0.2</v>
      </c>
      <c r="D5" s="32">
        <v>100</v>
      </c>
      <c r="F5" s="1" t="s">
        <v>79</v>
      </c>
      <c r="G5" s="2">
        <f>H5*C4+I5*C5</f>
        <v>60</v>
      </c>
      <c r="H5" s="2">
        <f>IF(H4*$D$11&lt;$D$10,IF(H4&lt;$D$10,H4,$D$10),H4*$D$11)</f>
        <v>60</v>
      </c>
      <c r="I5" s="2">
        <f>IF(I4*$D$11&lt;$D$10,IF(I4&lt;$D$10,I4,$D$10),I4*$D$11)</f>
        <v>60</v>
      </c>
      <c r="K5" s="1" t="s">
        <v>79</v>
      </c>
      <c r="L5" s="2">
        <f>N5*C4+M5*C5</f>
        <v>60</v>
      </c>
      <c r="M5" s="2">
        <f>IF(M4*$D$12&lt;$D$10,IF(M4&lt;$D$10,M4,$D$10),M4*$D$12)</f>
        <v>60</v>
      </c>
      <c r="N5" s="2">
        <f>IF(N4*$D$12&lt;$D$10,IF(N4&lt;$D$10,N4,$D$10),N4*$D$12)</f>
        <v>60</v>
      </c>
    </row>
    <row r="6" spans="1:14" ht="18" thickTop="1" thickBot="1" x14ac:dyDescent="0.25">
      <c r="A6" s="54" t="s">
        <v>64</v>
      </c>
      <c r="B6" s="30" t="s">
        <v>26</v>
      </c>
      <c r="C6" s="30">
        <v>0.5</v>
      </c>
      <c r="D6" s="30">
        <v>200</v>
      </c>
      <c r="F6" s="31" t="s">
        <v>37</v>
      </c>
      <c r="G6" s="32">
        <f>G4-G5</f>
        <v>64</v>
      </c>
      <c r="H6" s="32">
        <f t="shared" ref="H6:I6" si="0">H4-H5</f>
        <v>70</v>
      </c>
      <c r="I6" s="32">
        <f t="shared" si="0"/>
        <v>40</v>
      </c>
      <c r="K6" s="31" t="s">
        <v>37</v>
      </c>
      <c r="L6" s="32">
        <f>L4-L5</f>
        <v>64</v>
      </c>
      <c r="M6" s="32">
        <f t="shared" ref="M6:N6" si="1">M4-M5</f>
        <v>70</v>
      </c>
      <c r="N6" s="32">
        <f t="shared" si="1"/>
        <v>40</v>
      </c>
    </row>
    <row r="7" spans="1:14" ht="17" thickTop="1" x14ac:dyDescent="0.2">
      <c r="A7" s="61"/>
      <c r="B7" s="2" t="s">
        <v>27</v>
      </c>
      <c r="C7" s="2">
        <v>0.5</v>
      </c>
      <c r="D7" s="2">
        <v>20</v>
      </c>
      <c r="F7" s="29" t="s">
        <v>70</v>
      </c>
      <c r="G7" s="30">
        <f>H7*C6+I7*C7</f>
        <v>110</v>
      </c>
      <c r="H7" s="30">
        <f>D6</f>
        <v>200</v>
      </c>
      <c r="I7" s="30">
        <f>D7</f>
        <v>20</v>
      </c>
      <c r="K7" s="29" t="s">
        <v>70</v>
      </c>
      <c r="L7" s="30">
        <f>M7*C6+N7*C7</f>
        <v>110</v>
      </c>
      <c r="M7" s="30">
        <f>H7</f>
        <v>200</v>
      </c>
      <c r="N7" s="30">
        <f>I7</f>
        <v>20</v>
      </c>
    </row>
    <row r="8" spans="1:14" x14ac:dyDescent="0.2">
      <c r="A8" s="4"/>
      <c r="B8" s="4"/>
      <c r="C8" s="4"/>
      <c r="D8" s="4"/>
      <c r="F8" s="1" t="s">
        <v>79</v>
      </c>
      <c r="G8" s="2">
        <f>H8*C6+I8*C7</f>
        <v>40</v>
      </c>
      <c r="H8" s="2">
        <f>IF(H7*$D$11&lt;$D$10,IF(H7&lt;$D$10,H7,$D$10),H7*$D$11)</f>
        <v>60</v>
      </c>
      <c r="I8" s="2">
        <f>IF(I7*$D$11&lt;$D$10,IF(I7&lt;$D$10,I7,$D$10),I7*$D$11)</f>
        <v>20</v>
      </c>
      <c r="K8" s="1" t="s">
        <v>79</v>
      </c>
      <c r="L8" s="2">
        <f>M8*C6+N8*C7</f>
        <v>55</v>
      </c>
      <c r="M8" s="2">
        <f>IF(M7*$D$12&lt;$D$10,IF(M7&lt;$D$10,M7,$D$10),M7*$D$12)</f>
        <v>90</v>
      </c>
      <c r="N8" s="2">
        <f>IF(N7*$D$12&lt;$D$10,IF(N7&lt;$D$10,N7,$D$10),N7*$D$12)</f>
        <v>20</v>
      </c>
    </row>
    <row r="9" spans="1:14" ht="16" customHeight="1" x14ac:dyDescent="0.2">
      <c r="A9" s="60" t="s">
        <v>23</v>
      </c>
      <c r="B9" s="41"/>
      <c r="C9" s="41"/>
      <c r="D9" s="2">
        <v>0</v>
      </c>
      <c r="F9" s="1" t="s">
        <v>37</v>
      </c>
      <c r="G9" s="2">
        <f>G7-G8</f>
        <v>70</v>
      </c>
      <c r="H9" s="2">
        <f t="shared" ref="H9:I9" si="2">H7-H8</f>
        <v>140</v>
      </c>
      <c r="I9" s="2">
        <f t="shared" si="2"/>
        <v>0</v>
      </c>
      <c r="K9" s="1" t="s">
        <v>37</v>
      </c>
      <c r="L9" s="2">
        <f>L7-L8</f>
        <v>55</v>
      </c>
      <c r="M9" s="2">
        <f t="shared" ref="M9:N9" si="3">M7-M8</f>
        <v>110</v>
      </c>
      <c r="N9" s="2">
        <f t="shared" si="3"/>
        <v>0</v>
      </c>
    </row>
    <row r="10" spans="1:14" x14ac:dyDescent="0.2">
      <c r="A10" s="73" t="s">
        <v>78</v>
      </c>
      <c r="B10" s="73"/>
      <c r="C10" s="73"/>
      <c r="D10" s="35">
        <v>60</v>
      </c>
    </row>
    <row r="11" spans="1:14" ht="15" customHeight="1" x14ac:dyDescent="0.2">
      <c r="A11" s="55" t="s">
        <v>80</v>
      </c>
      <c r="B11" s="55"/>
      <c r="C11" s="55"/>
      <c r="D11" s="2">
        <v>0.3</v>
      </c>
      <c r="F11" s="58" t="s">
        <v>10</v>
      </c>
      <c r="G11" s="72" t="s">
        <v>94</v>
      </c>
      <c r="H11" s="72"/>
      <c r="I11" s="72"/>
      <c r="K11" s="58" t="s">
        <v>46</v>
      </c>
      <c r="L11" s="41" t="s">
        <v>11</v>
      </c>
      <c r="M11" s="41" t="s">
        <v>12</v>
      </c>
      <c r="N11" s="41"/>
    </row>
    <row r="12" spans="1:14" ht="17" customHeight="1" x14ac:dyDescent="0.2">
      <c r="A12" s="55" t="s">
        <v>81</v>
      </c>
      <c r="B12" s="55"/>
      <c r="C12" s="55"/>
      <c r="D12" s="2">
        <v>0.45</v>
      </c>
      <c r="F12" s="58"/>
      <c r="G12" s="72"/>
      <c r="H12" s="72"/>
      <c r="I12" s="72"/>
      <c r="K12" s="58"/>
      <c r="L12" s="41"/>
      <c r="M12" s="1" t="s">
        <v>34</v>
      </c>
      <c r="N12" s="1" t="s">
        <v>35</v>
      </c>
    </row>
    <row r="13" spans="1:14" ht="16" customHeight="1" x14ac:dyDescent="0.2">
      <c r="A13" s="55" t="s">
        <v>82</v>
      </c>
      <c r="B13" s="55"/>
      <c r="C13" s="55"/>
      <c r="D13" s="36">
        <v>0.36</v>
      </c>
      <c r="E13" s="34"/>
      <c r="F13" s="58"/>
      <c r="G13" s="72"/>
      <c r="H13" s="72"/>
      <c r="I13" s="72"/>
      <c r="K13" s="1" t="s">
        <v>69</v>
      </c>
      <c r="L13" s="2">
        <v>124</v>
      </c>
      <c r="M13" s="2">
        <v>130</v>
      </c>
      <c r="N13" s="2">
        <v>100</v>
      </c>
    </row>
    <row r="14" spans="1:14" x14ac:dyDescent="0.2">
      <c r="B14" s="34"/>
      <c r="C14" s="34"/>
      <c r="D14" s="34"/>
      <c r="E14" s="34"/>
      <c r="F14" s="58"/>
      <c r="G14" s="72"/>
      <c r="H14" s="72"/>
      <c r="I14" s="72"/>
      <c r="K14" s="1" t="s">
        <v>79</v>
      </c>
      <c r="L14" s="2">
        <v>60</v>
      </c>
      <c r="M14" s="2">
        <f>IF(M13*$D$13&lt;$D$10,IF(M13&lt;$D$10,M13,$D$10),M13*$D$13)</f>
        <v>60</v>
      </c>
      <c r="N14" s="2">
        <f>IF(N13*$D$13&lt;$D$10,IF(N13&lt;$D$10,N13,$D$10),N13*$D$13)</f>
        <v>60</v>
      </c>
    </row>
    <row r="15" spans="1:14" ht="17" thickBot="1" x14ac:dyDescent="0.25">
      <c r="K15" s="31" t="s">
        <v>37</v>
      </c>
      <c r="L15" s="32">
        <f>L13-L14</f>
        <v>64</v>
      </c>
      <c r="M15" s="32">
        <f t="shared" ref="M15:N15" si="4">M13-M14</f>
        <v>70</v>
      </c>
      <c r="N15" s="32">
        <f t="shared" si="4"/>
        <v>40</v>
      </c>
    </row>
    <row r="16" spans="1:14" ht="17" customHeight="1" thickTop="1" x14ac:dyDescent="0.2">
      <c r="A16" s="58" t="s">
        <v>47</v>
      </c>
      <c r="B16" s="71" t="s">
        <v>95</v>
      </c>
      <c r="C16" s="71"/>
      <c r="D16" s="71"/>
      <c r="E16" s="71"/>
      <c r="F16" s="71"/>
      <c r="G16" s="71"/>
      <c r="H16" s="71"/>
      <c r="I16" s="71"/>
      <c r="K16" s="29" t="s">
        <v>70</v>
      </c>
      <c r="L16" s="30">
        <v>110</v>
      </c>
      <c r="M16" s="30">
        <v>200</v>
      </c>
      <c r="N16" s="30">
        <v>20</v>
      </c>
    </row>
    <row r="17" spans="1:14" ht="16" customHeight="1" x14ac:dyDescent="0.2">
      <c r="A17" s="58"/>
      <c r="B17" s="71"/>
      <c r="C17" s="71"/>
      <c r="D17" s="71"/>
      <c r="E17" s="71"/>
      <c r="F17" s="71"/>
      <c r="G17" s="71"/>
      <c r="H17" s="71"/>
      <c r="I17" s="71"/>
      <c r="K17" s="1" t="s">
        <v>79</v>
      </c>
      <c r="L17" s="2">
        <f>M17*C6+N17*C7</f>
        <v>46</v>
      </c>
      <c r="M17" s="2">
        <f>IF(M16*$D$13&lt;$D$10,IF(M16&lt;$D$10,M16,$D$10),M16*$D$13)</f>
        <v>72</v>
      </c>
      <c r="N17" s="2">
        <f>IF(N16*$D$13&lt;$D$10,IF(N16&lt;$D$10,N16,$D$10),N16*$D$13)</f>
        <v>20</v>
      </c>
    </row>
    <row r="18" spans="1:14" x14ac:dyDescent="0.2">
      <c r="A18" s="58"/>
      <c r="B18" s="71"/>
      <c r="C18" s="71"/>
      <c r="D18" s="71"/>
      <c r="E18" s="71"/>
      <c r="F18" s="71"/>
      <c r="G18" s="71"/>
      <c r="H18" s="71"/>
      <c r="I18" s="71"/>
      <c r="K18" s="1" t="s">
        <v>37</v>
      </c>
      <c r="L18" s="2">
        <f>L16-L17</f>
        <v>64</v>
      </c>
      <c r="M18" s="2">
        <f t="shared" ref="M18:N18" si="5">M16-M17</f>
        <v>128</v>
      </c>
      <c r="N18" s="2">
        <f t="shared" si="5"/>
        <v>0</v>
      </c>
    </row>
  </sheetData>
  <mergeCells count="22">
    <mergeCell ref="A1:N1"/>
    <mergeCell ref="M2:N2"/>
    <mergeCell ref="K2:K3"/>
    <mergeCell ref="K11:K12"/>
    <mergeCell ref="L11:L12"/>
    <mergeCell ref="M11:N11"/>
    <mergeCell ref="B16:I18"/>
    <mergeCell ref="G11:I14"/>
    <mergeCell ref="F11:F14"/>
    <mergeCell ref="A16:A18"/>
    <mergeCell ref="L2:L3"/>
    <mergeCell ref="F2:F3"/>
    <mergeCell ref="G2:G3"/>
    <mergeCell ref="H2:I2"/>
    <mergeCell ref="A11:C11"/>
    <mergeCell ref="A2:D2"/>
    <mergeCell ref="A4:A5"/>
    <mergeCell ref="A6:A7"/>
    <mergeCell ref="A9:C9"/>
    <mergeCell ref="A10:C10"/>
    <mergeCell ref="A12:C12"/>
    <mergeCell ref="A13:C13"/>
  </mergeCells>
  <conditionalFormatting sqref="G6 G9">
    <cfRule type="iconSet" priority="8">
      <iconSet iconSet="3Symbols2">
        <cfvo type="percent" val="0"/>
        <cfvo type="percent" val="33"/>
        <cfvo type="percent" val="67"/>
      </iconSet>
    </cfRule>
  </conditionalFormatting>
  <conditionalFormatting sqref="L6 L9">
    <cfRule type="iconSet" priority="6">
      <iconSet iconSet="3Symbols2">
        <cfvo type="percent" val="0"/>
        <cfvo type="percent" val="33"/>
        <cfvo type="percent" val="67"/>
      </iconSet>
    </cfRule>
  </conditionalFormatting>
  <conditionalFormatting sqref="M8">
    <cfRule type="iconSet" priority="3">
      <iconSet iconSet="3Flags">
        <cfvo type="percent" val="0"/>
        <cfvo type="percent" val="33"/>
        <cfvo type="percent" val="67"/>
      </iconSet>
    </cfRule>
  </conditionalFormatting>
  <pageMargins left="0.7" right="0.7" top="0.75" bottom="0.75" header="0.3" footer="0.3"/>
  <ignoredErrors>
    <ignoredError sqref="G6"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9764E-E543-D046-8C09-7A7E3F78C7A7}">
  <sheetPr>
    <tabColor rgb="FFDFBA73"/>
  </sheetPr>
  <dimension ref="A1:E19"/>
  <sheetViews>
    <sheetView tabSelected="1" zoomScale="187" zoomScaleNormal="187" workbookViewId="0">
      <pane ySplit="1" topLeftCell="A2" activePane="bottomLeft" state="frozen"/>
      <selection pane="bottomLeft" activeCell="B21" sqref="B21"/>
    </sheetView>
  </sheetViews>
  <sheetFormatPr baseColWidth="10" defaultRowHeight="16" x14ac:dyDescent="0.2"/>
  <cols>
    <col min="5" max="5" width="12.83203125" bestFit="1" customWidth="1"/>
  </cols>
  <sheetData>
    <row r="1" spans="1:5" x14ac:dyDescent="0.2">
      <c r="A1" s="40" t="s">
        <v>5</v>
      </c>
      <c r="B1" s="40"/>
      <c r="C1" s="40"/>
      <c r="D1" s="40"/>
      <c r="E1" s="40"/>
    </row>
    <row r="2" spans="1:5" x14ac:dyDescent="0.2">
      <c r="A2" s="42" t="s">
        <v>6</v>
      </c>
      <c r="B2" s="42"/>
      <c r="C2" s="42"/>
      <c r="D2" s="42"/>
      <c r="E2" s="42"/>
    </row>
    <row r="3" spans="1:5" x14ac:dyDescent="0.2">
      <c r="A3" s="41"/>
      <c r="B3" s="41"/>
      <c r="C3" s="1" t="s">
        <v>83</v>
      </c>
      <c r="D3" s="41" t="s">
        <v>84</v>
      </c>
      <c r="E3" s="41"/>
    </row>
    <row r="4" spans="1:5" x14ac:dyDescent="0.2">
      <c r="A4" s="41" t="s">
        <v>8</v>
      </c>
      <c r="B4" s="41"/>
      <c r="C4" s="2">
        <v>1</v>
      </c>
      <c r="D4" s="2">
        <v>0.6</v>
      </c>
      <c r="E4" s="2">
        <v>0.4</v>
      </c>
    </row>
    <row r="5" spans="1:5" x14ac:dyDescent="0.2">
      <c r="A5" s="1" t="s">
        <v>85</v>
      </c>
      <c r="B5" s="1">
        <v>1</v>
      </c>
      <c r="C5" s="2">
        <v>82500</v>
      </c>
      <c r="D5" s="2">
        <v>97500</v>
      </c>
      <c r="E5" s="2">
        <v>97500</v>
      </c>
    </row>
    <row r="6" spans="1:5" x14ac:dyDescent="0.2">
      <c r="A6" s="1" t="s">
        <v>85</v>
      </c>
      <c r="B6" s="1">
        <v>2</v>
      </c>
      <c r="C6" s="2">
        <v>82500</v>
      </c>
      <c r="D6" s="2">
        <v>25000</v>
      </c>
      <c r="E6" s="2">
        <v>97500</v>
      </c>
    </row>
    <row r="7" spans="1:5" x14ac:dyDescent="0.2">
      <c r="A7" s="4"/>
      <c r="B7" s="4"/>
      <c r="C7" s="4"/>
      <c r="D7" s="4"/>
      <c r="E7" s="4"/>
    </row>
    <row r="8" spans="1:5" x14ac:dyDescent="0.2">
      <c r="A8" s="41" t="s">
        <v>88</v>
      </c>
      <c r="B8" s="41"/>
      <c r="C8" s="41"/>
      <c r="D8" s="41"/>
      <c r="E8" s="2">
        <v>60000</v>
      </c>
    </row>
    <row r="9" spans="1:5" x14ac:dyDescent="0.2">
      <c r="A9" s="41" t="s">
        <v>87</v>
      </c>
      <c r="B9" s="41"/>
      <c r="C9" s="41"/>
      <c r="D9" s="41"/>
      <c r="E9" s="2">
        <v>0.5</v>
      </c>
    </row>
    <row r="10" spans="1:5" x14ac:dyDescent="0.2">
      <c r="A10" s="41" t="s">
        <v>86</v>
      </c>
      <c r="B10" s="41"/>
      <c r="C10" s="41"/>
      <c r="D10" s="41"/>
      <c r="E10" s="2">
        <f>E8*E9</f>
        <v>30000</v>
      </c>
    </row>
    <row r="11" spans="1:5" x14ac:dyDescent="0.2">
      <c r="A11" s="41" t="s">
        <v>89</v>
      </c>
      <c r="B11" s="41"/>
      <c r="C11" s="41"/>
      <c r="D11" s="41"/>
      <c r="E11" s="2">
        <v>0.06</v>
      </c>
    </row>
    <row r="12" spans="1:5" x14ac:dyDescent="0.2">
      <c r="A12" s="4"/>
      <c r="B12" s="4"/>
      <c r="C12" s="4"/>
      <c r="D12" s="4"/>
      <c r="E12" s="4"/>
    </row>
    <row r="13" spans="1:5" x14ac:dyDescent="0.2">
      <c r="A13" s="3" t="s">
        <v>9</v>
      </c>
      <c r="B13" s="41" t="s">
        <v>92</v>
      </c>
      <c r="C13" s="41"/>
      <c r="D13" s="41"/>
      <c r="E13" s="2" cm="1">
        <f t="array" ref="E13">SUM(C5:C6/((1+$E$11)^B5:B6))</f>
        <v>151254.89498042007</v>
      </c>
    </row>
    <row r="14" spans="1:5" x14ac:dyDescent="0.2">
      <c r="A14" s="37"/>
      <c r="B14" s="4"/>
      <c r="C14" s="4"/>
      <c r="D14" s="4"/>
      <c r="E14" s="4"/>
    </row>
    <row r="15" spans="1:5" x14ac:dyDescent="0.2">
      <c r="A15" s="3" t="s">
        <v>10</v>
      </c>
      <c r="B15" s="41" t="s">
        <v>91</v>
      </c>
      <c r="C15" s="41"/>
      <c r="D15" s="41"/>
      <c r="E15" s="2">
        <f>E6*E4+(D6+E10)*D4</f>
        <v>72000</v>
      </c>
    </row>
    <row r="16" spans="1:5" x14ac:dyDescent="0.2">
      <c r="A16" s="37"/>
      <c r="B16" s="4"/>
      <c r="C16" s="4"/>
      <c r="D16" s="4"/>
      <c r="E16" s="4"/>
    </row>
    <row r="17" spans="1:5" x14ac:dyDescent="0.2">
      <c r="A17" s="3" t="s">
        <v>58</v>
      </c>
      <c r="B17" s="41" t="s">
        <v>93</v>
      </c>
      <c r="C17" s="41"/>
      <c r="D17" s="41"/>
      <c r="E17" s="2" cm="1">
        <f t="array" ref="E17">SUM(D5:E5*D4:E4/(1+$E$11)^$B$5)+E15/(1+E11)^B6</f>
        <v>156060.87575649697</v>
      </c>
    </row>
    <row r="18" spans="1:5" x14ac:dyDescent="0.2">
      <c r="A18" s="37"/>
      <c r="B18" s="4"/>
      <c r="C18" s="4"/>
      <c r="D18" s="4"/>
      <c r="E18" s="4"/>
    </row>
    <row r="19" spans="1:5" x14ac:dyDescent="0.2">
      <c r="A19" s="3" t="s">
        <v>47</v>
      </c>
      <c r="B19" s="41" t="s">
        <v>90</v>
      </c>
      <c r="C19" s="41"/>
      <c r="D19" s="41"/>
      <c r="E19" s="2">
        <f>(E13*(1+E11)^B6-E6-E5*(1+E11))/(D6+E10-D5)</f>
        <v>0.72705882352941176</v>
      </c>
    </row>
  </sheetData>
  <mergeCells count="13">
    <mergeCell ref="A1:E1"/>
    <mergeCell ref="A3:B3"/>
    <mergeCell ref="B19:D19"/>
    <mergeCell ref="B17:D17"/>
    <mergeCell ref="B15:D15"/>
    <mergeCell ref="B13:D13"/>
    <mergeCell ref="A11:D11"/>
    <mergeCell ref="A10:D10"/>
    <mergeCell ref="A9:D9"/>
    <mergeCell ref="A8:D8"/>
    <mergeCell ref="A4:B4"/>
    <mergeCell ref="D3:E3"/>
    <mergeCell ref="A2:E2"/>
  </mergeCells>
  <conditionalFormatting sqref="E13 E17">
    <cfRule type="iconSet" priority="1">
      <iconSet iconSet="3Symbols2">
        <cfvo type="percent" val="0"/>
        <cfvo type="percent" val="33"/>
        <cfvo type="percent" val="67"/>
      </iconSet>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M.C.3.1</vt:lpstr>
      <vt:lpstr>M.C.3.2</vt:lpstr>
      <vt:lpstr>M.C.3.3</vt:lpstr>
      <vt:lpstr>M.C.3.4</vt:lpstr>
      <vt:lpstr>M.C.3.5</vt:lpstr>
      <vt:lpstr>M.C.3.6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Олег Бурдуков</dc:creator>
  <cp:lastModifiedBy>Олег Бурдуков</cp:lastModifiedBy>
  <dcterms:created xsi:type="dcterms:W3CDTF">2026-03-28T11:33:06Z</dcterms:created>
  <dcterms:modified xsi:type="dcterms:W3CDTF">2026-04-07T12:55:22Z</dcterms:modified>
</cp:coreProperties>
</file>