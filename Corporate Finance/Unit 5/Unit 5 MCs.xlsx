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olegburdukov/Documents/Österreich/WU/WU Hauptstudium/SBWL/SBWL Finance/Course III Corporate Finance/Interactive part/Unit 5/"/>
    </mc:Choice>
  </mc:AlternateContent>
  <xr:revisionPtr revIDLastSave="0" documentId="13_ncr:1_{3F8FD052-0960-ED4B-8EB1-A41D1557E1D7}" xr6:coauthVersionLast="47" xr6:coauthVersionMax="47" xr10:uidLastSave="{00000000-0000-0000-0000-000000000000}"/>
  <bookViews>
    <workbookView xWindow="0" yWindow="720" windowWidth="29400" windowHeight="18400" activeTab="5" xr2:uid="{EFC05D77-8D4C-124D-B10E-1A378E396B73}"/>
  </bookViews>
  <sheets>
    <sheet name="M.C.5.1" sheetId="1" r:id="rId1"/>
    <sheet name="M.C.5.2" sheetId="2" r:id="rId2"/>
    <sheet name="M.C.5.3" sheetId="3" r:id="rId3"/>
    <sheet name="M.C.5.4" sheetId="4" r:id="rId4"/>
    <sheet name="M.C.5.5" sheetId="5" r:id="rId5"/>
    <sheet name="M.C.5.6"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3" i="6" l="1"/>
  <c r="D19" i="1"/>
  <c r="D15" i="1"/>
  <c r="B18" i="2"/>
  <c r="B15" i="2" a="1"/>
  <c r="B15" i="2" s="1"/>
  <c r="B14" i="2" a="1"/>
  <c r="B14" i="2" s="1"/>
  <c r="E29" i="4"/>
  <c r="D29" i="4"/>
  <c r="I10" i="4"/>
  <c r="I11" i="4" s="1"/>
  <c r="D10" i="4"/>
  <c r="D11" i="4" s="1"/>
  <c r="E9" i="4"/>
  <c r="E10" i="4" s="1"/>
  <c r="E11" i="4" s="1"/>
  <c r="C11" i="4"/>
  <c r="B10" i="4"/>
  <c r="B11" i="4" s="1"/>
  <c r="I4" i="4" a="1"/>
  <c r="I4" i="4" s="1"/>
  <c r="B12" i="6"/>
  <c r="H9" i="6"/>
  <c r="B8" i="6"/>
  <c r="B7" i="6" a="1"/>
  <c r="B7" i="6" s="1"/>
  <c r="H5" i="6"/>
  <c r="G5" i="6"/>
  <c r="N21" i="5"/>
  <c r="O14" i="5"/>
  <c r="O15" i="5" s="1"/>
  <c r="N14" i="5"/>
  <c r="N15" i="5" s="1"/>
  <c r="K20" i="5"/>
  <c r="J21" i="5"/>
  <c r="J10" i="5"/>
  <c r="K8" i="5"/>
  <c r="K10" i="5" s="1"/>
  <c r="J14" i="5" s="1"/>
  <c r="J15" i="5" s="1"/>
  <c r="F21" i="5"/>
  <c r="G20" i="5"/>
  <c r="G22" i="5" s="1"/>
  <c r="G16" i="5"/>
  <c r="F16" i="5"/>
  <c r="F9" i="5"/>
  <c r="G9" i="5"/>
  <c r="G14" i="5"/>
  <c r="F14" i="5"/>
  <c r="F13" i="5"/>
  <c r="F15" i="5" s="1"/>
  <c r="G13" i="5"/>
  <c r="G15" i="5" s="1"/>
  <c r="B21" i="5"/>
  <c r="B20" i="5"/>
  <c r="C14" i="5"/>
  <c r="C13" i="5"/>
  <c r="C15" i="5" s="1"/>
  <c r="C8" i="5"/>
  <c r="H4" i="5"/>
  <c r="N17" i="3"/>
  <c r="M17" i="3"/>
  <c r="L17" i="3" s="1" a="1"/>
  <c r="L17" i="3" s="1"/>
  <c r="K17" i="3" s="1"/>
  <c r="K16" i="3"/>
  <c r="N16" i="3"/>
  <c r="M16" i="3"/>
  <c r="M18" i="3" s="1"/>
  <c r="G18" i="3"/>
  <c r="F14" i="3" a="1"/>
  <c r="F14" i="3" s="1"/>
  <c r="G14" i="3" s="1"/>
  <c r="K6" i="3"/>
  <c r="K7" i="3"/>
  <c r="N7" i="3"/>
  <c r="M7" i="3"/>
  <c r="L7" i="3" s="1" a="1"/>
  <c r="L7" i="3" s="1"/>
  <c r="G8" i="3"/>
  <c r="D4" i="3"/>
  <c r="N6" i="3" s="1"/>
  <c r="C4" i="3"/>
  <c r="G8" i="2"/>
  <c r="F8" i="2"/>
  <c r="E8" i="2" s="1" a="1"/>
  <c r="E8" i="2" s="1"/>
  <c r="G17" i="2" s="1"/>
  <c r="D14" i="1"/>
  <c r="C14" i="1"/>
  <c r="G5" i="2"/>
  <c r="G6" i="2" s="1"/>
  <c r="F5" i="2"/>
  <c r="K5" i="1"/>
  <c r="J5" i="1"/>
  <c r="I5" i="1" s="1" a="1"/>
  <c r="I5" i="1" s="1"/>
  <c r="F3" i="1" a="1"/>
  <c r="F3" i="1" s="1"/>
  <c r="F4" i="1" s="1"/>
  <c r="E30" i="4" l="1"/>
  <c r="D30" i="4"/>
  <c r="B15" i="4" a="1"/>
  <c r="B15" i="4" s="1"/>
  <c r="H10" i="4"/>
  <c r="H11" i="4" s="1"/>
  <c r="B14" i="4" s="1" a="1"/>
  <c r="B14" i="4" s="1"/>
  <c r="H10" i="6"/>
  <c r="H11" i="6" s="1"/>
  <c r="B9" i="6"/>
  <c r="O20" i="5"/>
  <c r="K14" i="5"/>
  <c r="K15" i="5" s="1"/>
  <c r="J20" i="5" s="1"/>
  <c r="J22" i="5" s="1"/>
  <c r="G17" i="5"/>
  <c r="N20" i="5"/>
  <c r="F17" i="5"/>
  <c r="F20" i="5" s="1"/>
  <c r="F22" i="5" s="1"/>
  <c r="N22" i="5"/>
  <c r="B22" i="5"/>
  <c r="C16" i="5"/>
  <c r="C17" i="5" s="1"/>
  <c r="C9" i="5"/>
  <c r="C10" i="5" s="1"/>
  <c r="B8" i="5"/>
  <c r="I14" i="1"/>
  <c r="I15" i="1" s="1"/>
  <c r="D16" i="1"/>
  <c r="D14" i="2"/>
  <c r="H14" i="1"/>
  <c r="C15" i="1"/>
  <c r="C14" i="2"/>
  <c r="E5" i="2" a="1"/>
  <c r="E5" i="2" s="1"/>
  <c r="F6" i="2"/>
  <c r="K18" i="3"/>
  <c r="L16" i="3" a="1"/>
  <c r="L16" i="3" s="1"/>
  <c r="L18" i="3" s="1"/>
  <c r="N18" i="3"/>
  <c r="N8" i="3"/>
  <c r="K8" i="3"/>
  <c r="H14" i="3"/>
  <c r="G19" i="3" s="1"/>
  <c r="G20" i="3" s="1"/>
  <c r="H18" i="3"/>
  <c r="H19" i="3" s="1"/>
  <c r="H20" i="3" s="1"/>
  <c r="F4" i="3" a="1"/>
  <c r="F4" i="3" s="1"/>
  <c r="G4" i="3" s="1"/>
  <c r="M6" i="3"/>
  <c r="K6" i="1"/>
  <c r="K7" i="1" s="1"/>
  <c r="J6" i="1"/>
  <c r="I6" i="1" s="1" a="1"/>
  <c r="I6" i="1" s="1"/>
  <c r="I7" i="1" s="1"/>
  <c r="J7" i="1"/>
  <c r="F5" i="1"/>
  <c r="F6" i="1" s="1"/>
  <c r="B9" i="5" l="1"/>
  <c r="B10" i="5"/>
  <c r="C20" i="5" s="1"/>
  <c r="D15" i="2"/>
  <c r="D16" i="2"/>
  <c r="D17" i="2" s="1"/>
  <c r="D18" i="2"/>
  <c r="G14" i="1" a="1"/>
  <c r="G14" i="1" s="1"/>
  <c r="H15" i="1"/>
  <c r="G15" i="1" s="1" a="1"/>
  <c r="G15" i="1" s="1"/>
  <c r="C15" i="2"/>
  <c r="C16" i="2"/>
  <c r="C17" i="2" s="1"/>
  <c r="B17" i="2" s="1" a="1"/>
  <c r="B17" i="2" s="1"/>
  <c r="G18" i="2" s="1"/>
  <c r="E6" i="2" a="1"/>
  <c r="E6" i="2" s="1"/>
  <c r="B15" i="1" a="1"/>
  <c r="B15" i="1" s="1"/>
  <c r="C16" i="1"/>
  <c r="H8" i="3"/>
  <c r="H4" i="3"/>
  <c r="G9" i="3" s="1"/>
  <c r="G10" i="3" s="1"/>
  <c r="L6" i="3" a="1"/>
  <c r="L6" i="3" s="1"/>
  <c r="L8" i="3" s="1"/>
  <c r="M8" i="3"/>
  <c r="B14" i="1" a="1"/>
  <c r="B14" i="1" s="1"/>
  <c r="G13" i="2" l="1"/>
  <c r="C18" i="2"/>
  <c r="G17" i="1"/>
  <c r="D18" i="1"/>
  <c r="B16" i="1"/>
  <c r="H9" i="3"/>
  <c r="H10" i="3" s="1"/>
  <c r="I16" i="1"/>
  <c r="D20" i="1" l="1"/>
  <c r="D21" i="1"/>
  <c r="H16" i="1"/>
  <c r="H17" i="1" s="1"/>
  <c r="I17" i="1"/>
  <c r="F7" i="2" l="1"/>
  <c r="G7" i="2"/>
  <c r="G9" i="2" s="1"/>
  <c r="E7" i="2" l="1" a="1"/>
  <c r="E7" i="2" s="1"/>
  <c r="F9" i="2"/>
  <c r="E9" i="2" s="1" a="1"/>
  <c r="E9" i="2" s="1"/>
  <c r="G1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<sst xmlns="http://schemas.openxmlformats.org/spreadsheetml/2006/main" count="317" uniqueCount="141">
  <si>
    <t>Mini-case 5.1</t>
  </si>
  <si>
    <t>Mini-case 5.6</t>
  </si>
  <si>
    <t>Mini-case 5.5</t>
  </si>
  <si>
    <t>Mini-case 5.4</t>
  </si>
  <si>
    <t>Mini-case 5.3</t>
  </si>
  <si>
    <t>Mini-case 5.2</t>
  </si>
  <si>
    <t>Assumptions</t>
  </si>
  <si>
    <t>Probabilities</t>
  </si>
  <si>
    <t>New project</t>
  </si>
  <si>
    <t>CF</t>
  </si>
  <si>
    <t>TASK A</t>
  </si>
  <si>
    <t>Share to offer</t>
  </si>
  <si>
    <t>TASK B</t>
  </si>
  <si>
    <t>Up-state</t>
  </si>
  <si>
    <t>Down-state</t>
  </si>
  <si>
    <t>T = 1</t>
  </si>
  <si>
    <t>T = 0</t>
  </si>
  <si>
    <t>V(Firm)</t>
  </si>
  <si>
    <t>D</t>
  </si>
  <si>
    <t>E</t>
  </si>
  <si>
    <t>TASK C</t>
  </si>
  <si>
    <t>TASK D</t>
  </si>
  <si>
    <t>Up-State</t>
  </si>
  <si>
    <t>Share of equity to offer to new investors</t>
  </si>
  <si>
    <t>TASK E</t>
  </si>
  <si>
    <t>TASK F</t>
  </si>
  <si>
    <t>Inv. cost</t>
  </si>
  <si>
    <t>Government policies</t>
  </si>
  <si>
    <t>Direct subsidy</t>
  </si>
  <si>
    <t>Credit guarantee</t>
  </si>
  <si>
    <t>Newly issued junior debt</t>
  </si>
  <si>
    <t>The manager will raise debt. She won't abandon the investment because it will increase E in comparison to no-investment E. Since the information about present state of company is uncertain, it is clear that external investors do not have the full information in their possesion. Thus, manager has reasons to consider the pecking order. Debt is risk-free and hence is not affected by information assymetry.</t>
  </si>
  <si>
    <r>
      <t>Here it's crusial to observe that E</t>
    </r>
    <r>
      <rPr>
        <sz val="8"/>
        <color theme="1"/>
        <rFont val="Aptos Narrow (Body)"/>
      </rPr>
      <t>old</t>
    </r>
    <r>
      <rPr>
        <sz val="12"/>
        <color theme="1"/>
        <rFont val="Aptos Narrow"/>
        <family val="2"/>
        <scheme val="minor"/>
      </rPr>
      <t xml:space="preserve"> falls in case of investment given additional debt in the capital structure. Thus, the management doesn't implement the project. We observe the case of debt overhang in the company</t>
    </r>
  </si>
  <si>
    <t>Subsidy</t>
  </si>
  <si>
    <t>E(DS)</t>
  </si>
  <si>
    <t>E(CG)</t>
  </si>
  <si>
    <t>DS is better due to support in every state. CG is implemented only in bad state</t>
  </si>
  <si>
    <t>Fiscal cost (DS)</t>
  </si>
  <si>
    <t>Fiscal cost (CG)</t>
  </si>
  <si>
    <t>Manager</t>
  </si>
  <si>
    <t>Investors</t>
  </si>
  <si>
    <t>Firm value 1</t>
  </si>
  <si>
    <t>Firm value 2</t>
  </si>
  <si>
    <t>Share of V0,manager,post-investment</t>
  </si>
  <si>
    <t>TASK F, G</t>
  </si>
  <si>
    <t>Date</t>
  </si>
  <si>
    <t>Perspective</t>
  </si>
  <si>
    <t>ZCD</t>
  </si>
  <si>
    <t>Investment cost</t>
  </si>
  <si>
    <t>FCF</t>
  </si>
  <si>
    <t>Without project</t>
  </si>
  <si>
    <t>With project</t>
  </si>
  <si>
    <t>∑V(Firm)</t>
  </si>
  <si>
    <t>Additional investment</t>
  </si>
  <si>
    <t xml:space="preserve">Total </t>
  </si>
  <si>
    <t>-</t>
  </si>
  <si>
    <t>Yes, E now invests in the project, as NPV to E is positive</t>
  </si>
  <si>
    <t>No, they won't invest due to losses (NPV to E is negative)</t>
  </si>
  <si>
    <t>TASK Ci</t>
  </si>
  <si>
    <t>TASK Cii</t>
  </si>
  <si>
    <t>TASK Di</t>
  </si>
  <si>
    <t>Bond-holders' decision</t>
  </si>
  <si>
    <t>Reduce</t>
  </si>
  <si>
    <t>Not reduce</t>
  </si>
  <si>
    <t>Contingent</t>
  </si>
  <si>
    <t>F</t>
  </si>
  <si>
    <t>Not reduced</t>
  </si>
  <si>
    <t>Reduced</t>
  </si>
  <si>
    <t>Value per debt-holder</t>
  </si>
  <si>
    <t>Total debt</t>
  </si>
  <si>
    <t>No, she doesn't want to do this. She sees that E will anyway have enough motivation to invest into the project</t>
  </si>
  <si>
    <t>TASK Dii</t>
  </si>
  <si>
    <t>This example displays the holdout problem. Without additional coordination among debt holders, the debt reduction won't make a difference</t>
  </si>
  <si>
    <r>
      <rPr>
        <b/>
        <sz val="16"/>
        <color rgb="FF3F3F3F"/>
        <rFont val="Aptos Narrow (Body)"/>
      </rPr>
      <t>r</t>
    </r>
    <r>
      <rPr>
        <b/>
        <sz val="8"/>
        <color rgb="FF3F3F3F"/>
        <rFont val="Aptos Narrow (Body)"/>
      </rPr>
      <t>f</t>
    </r>
  </si>
  <si>
    <r>
      <t>ZCD</t>
    </r>
    <r>
      <rPr>
        <b/>
        <sz val="8"/>
        <color rgb="FF3F3F3F"/>
        <rFont val="Aptos Narrow (Body)"/>
      </rPr>
      <t>B</t>
    </r>
  </si>
  <si>
    <r>
      <t>ZCD</t>
    </r>
    <r>
      <rPr>
        <b/>
        <sz val="8"/>
        <color rgb="FF3F3F3F"/>
        <rFont val="Aptos Narrow (Body)"/>
      </rPr>
      <t>C</t>
    </r>
  </si>
  <si>
    <r>
      <t>CF</t>
    </r>
    <r>
      <rPr>
        <b/>
        <sz val="8"/>
        <color rgb="FF3F3F3F"/>
        <rFont val="Aptos Narrow (Body)"/>
      </rPr>
      <t>proj</t>
    </r>
  </si>
  <si>
    <r>
      <t>FCF</t>
    </r>
    <r>
      <rPr>
        <b/>
        <sz val="8"/>
        <color rgb="FF3F3F3F"/>
        <rFont val="Aptos Narrow (Body)"/>
      </rPr>
      <t>1</t>
    </r>
  </si>
  <si>
    <r>
      <t>NPV</t>
    </r>
    <r>
      <rPr>
        <b/>
        <sz val="8"/>
        <color rgb="FF3F3F3F"/>
        <rFont val="Aptos Narrow (Body)"/>
      </rPr>
      <t>proj</t>
    </r>
  </si>
  <si>
    <t>Shares outstanding</t>
  </si>
  <si>
    <t>Manager's decision</t>
  </si>
  <si>
    <t>Probability</t>
  </si>
  <si>
    <t>MV(Firm)</t>
  </si>
  <si>
    <t>Equity loss given diversion of funds</t>
  </si>
  <si>
    <t>Monitoring</t>
  </si>
  <si>
    <t>To diverge funds</t>
  </si>
  <si>
    <t>Not to diverge funds</t>
  </si>
  <si>
    <t>E[Equity value]</t>
  </si>
  <si>
    <t>E[Loss due to diversion]</t>
  </si>
  <si>
    <t>Shareholders contigent</t>
  </si>
  <si>
    <t>Quantity of stocks per shareholder</t>
  </si>
  <si>
    <t>Losses faced by 1 shareholder</t>
  </si>
  <si>
    <t>Price per share</t>
  </si>
  <si>
    <t>X</t>
  </si>
  <si>
    <t>Is it optimal to monitor?</t>
  </si>
  <si>
    <t>π</t>
  </si>
  <si>
    <t>T = 2</t>
  </si>
  <si>
    <t>T = 1 (no RM activities)</t>
  </si>
  <si>
    <t>T = 1 (RM)</t>
  </si>
  <si>
    <t>RM cost</t>
  </si>
  <si>
    <t>Profit</t>
  </si>
  <si>
    <t>After-tax profit</t>
  </si>
  <si>
    <t>E[Tax payment]</t>
  </si>
  <si>
    <t>NOL carryforward offset rate cap</t>
  </si>
  <si>
    <t>NOL tax shield</t>
  </si>
  <si>
    <t>T = 2 (firm profits)</t>
  </si>
  <si>
    <t>T = 2 (firm faces losses)</t>
  </si>
  <si>
    <t>Without RM</t>
  </si>
  <si>
    <t>With RM</t>
  </si>
  <si>
    <t>T = 12</t>
  </si>
  <si>
    <t>T = 1 (firm profits)</t>
  </si>
  <si>
    <t>T = 1 (firm faces losses)</t>
  </si>
  <si>
    <t>T = 12 (firm profits)</t>
  </si>
  <si>
    <t>T = 12 (firm faces losses)</t>
  </si>
  <si>
    <r>
      <t>V</t>
    </r>
    <r>
      <rPr>
        <b/>
        <sz val="8"/>
        <color rgb="FF3F3F3F"/>
        <rFont val="Aptos Narrow (Body)"/>
      </rPr>
      <t>post-investment</t>
    </r>
    <r>
      <rPr>
        <b/>
        <sz val="12"/>
        <color rgb="FF3F3F3F"/>
        <rFont val="Aptos Narrow"/>
        <family val="2"/>
        <scheme val="minor"/>
      </rPr>
      <t>(Firm)</t>
    </r>
  </si>
  <si>
    <r>
      <t>CE[V</t>
    </r>
    <r>
      <rPr>
        <b/>
        <sz val="8"/>
        <color rgb="FF3F3F3F"/>
        <rFont val="Aptos Narrow (Body)"/>
      </rPr>
      <t>0</t>
    </r>
    <r>
      <rPr>
        <b/>
        <sz val="12"/>
        <color rgb="FF3F3F3F"/>
        <rFont val="Aptos Narrow"/>
        <family val="2"/>
        <scheme val="minor"/>
      </rPr>
      <t>(Firm)]</t>
    </r>
  </si>
  <si>
    <r>
      <t>V(E</t>
    </r>
    <r>
      <rPr>
        <b/>
        <sz val="8"/>
        <color rgb="FF3F3F3F"/>
        <rFont val="Aptos Narrow (Body)"/>
      </rPr>
      <t>old</t>
    </r>
    <r>
      <rPr>
        <b/>
        <sz val="12"/>
        <color rgb="FF3F3F3F"/>
        <rFont val="Aptos Narrow"/>
        <family val="2"/>
        <scheme val="minor"/>
      </rPr>
      <t>)</t>
    </r>
  </si>
  <si>
    <r>
      <t>V</t>
    </r>
    <r>
      <rPr>
        <b/>
        <sz val="8"/>
        <color rgb="FF3F3F3F"/>
        <rFont val="Aptos Narrow (Body)"/>
      </rPr>
      <t>post-investment</t>
    </r>
    <r>
      <rPr>
        <b/>
        <sz val="12"/>
        <color rgb="FF3F3F3F"/>
        <rFont val="Aptos Narrow"/>
        <family val="2"/>
        <scheme val="minor"/>
      </rPr>
      <t>(E)</t>
    </r>
  </si>
  <si>
    <r>
      <t>F</t>
    </r>
    <r>
      <rPr>
        <b/>
        <sz val="8"/>
        <color rgb="FF3F3F3F"/>
        <rFont val="Aptos Narrow (Body)"/>
      </rPr>
      <t>Dsenior</t>
    </r>
  </si>
  <si>
    <r>
      <t>V</t>
    </r>
    <r>
      <rPr>
        <b/>
        <sz val="8"/>
        <color rgb="FF3F3F3F"/>
        <rFont val="Aptos Narrow (Body)"/>
      </rPr>
      <t>0</t>
    </r>
    <r>
      <rPr>
        <b/>
        <sz val="12"/>
        <color rgb="FF3F3F3F"/>
        <rFont val="Aptos Narrow"/>
        <family val="2"/>
        <scheme val="minor"/>
      </rPr>
      <t>(Firm)</t>
    </r>
  </si>
  <si>
    <r>
      <t>D</t>
    </r>
    <r>
      <rPr>
        <b/>
        <sz val="8"/>
        <color rgb="FF3F3F3F"/>
        <rFont val="Aptos Narrow (Body)"/>
      </rPr>
      <t>senior</t>
    </r>
  </si>
  <si>
    <r>
      <t>D</t>
    </r>
    <r>
      <rPr>
        <b/>
        <sz val="8"/>
        <color rgb="FF3F3F3F"/>
        <rFont val="Aptos Narrow (Body)"/>
      </rPr>
      <t>junior</t>
    </r>
  </si>
  <si>
    <r>
      <t>D</t>
    </r>
    <r>
      <rPr>
        <b/>
        <sz val="8"/>
        <color rgb="FF3F3F3F"/>
        <rFont val="Aptos Narrow (Body)"/>
      </rPr>
      <t>junior</t>
    </r>
    <r>
      <rPr>
        <b/>
        <sz val="12"/>
        <color rgb="FF3F3F3F"/>
        <rFont val="Aptos Narrow"/>
        <family val="2"/>
        <scheme val="minor"/>
      </rPr>
      <t xml:space="preserve"> (firm payoff)</t>
    </r>
  </si>
  <si>
    <r>
      <t>D</t>
    </r>
    <r>
      <rPr>
        <b/>
        <sz val="8"/>
        <color rgb="FF3F3F3F"/>
        <rFont val="Aptos Narrow (Body)"/>
      </rPr>
      <t>junior</t>
    </r>
    <r>
      <rPr>
        <b/>
        <sz val="12"/>
        <color rgb="FF3F3F3F"/>
        <rFont val="Aptos Narrow"/>
        <family val="2"/>
        <scheme val="minor"/>
      </rPr>
      <t xml:space="preserve"> (credit guarantee)</t>
    </r>
  </si>
  <si>
    <r>
      <t>E</t>
    </r>
    <r>
      <rPr>
        <b/>
        <sz val="8"/>
        <color rgb="FF3F3F3F"/>
        <rFont val="Aptos Narrow (Body)"/>
      </rPr>
      <t>new</t>
    </r>
  </si>
  <si>
    <r>
      <t>E</t>
    </r>
    <r>
      <rPr>
        <b/>
        <sz val="8"/>
        <color rgb="FF3F3F3F"/>
        <rFont val="Aptos Narrow (Body)"/>
      </rPr>
      <t>old</t>
    </r>
  </si>
  <si>
    <r>
      <t>V</t>
    </r>
    <r>
      <rPr>
        <b/>
        <sz val="8"/>
        <color rgb="FF3F3F3F"/>
        <rFont val="Aptos Narrow (Body)"/>
      </rPr>
      <t>0,investors,w/o proj.</t>
    </r>
    <r>
      <rPr>
        <b/>
        <sz val="12"/>
        <color rgb="FF3F3F3F"/>
        <rFont val="Aptos Narrow"/>
        <family val="2"/>
        <scheme val="minor"/>
      </rPr>
      <t>(Firm)</t>
    </r>
  </si>
  <si>
    <r>
      <t>V</t>
    </r>
    <r>
      <rPr>
        <b/>
        <sz val="8"/>
        <color rgb="FF3F3F3F"/>
        <rFont val="Aptos Narrow (Body)"/>
      </rPr>
      <t>0,investors</t>
    </r>
    <r>
      <rPr>
        <b/>
        <sz val="12"/>
        <color rgb="FF3F3F3F"/>
        <rFont val="Aptos Narrow"/>
        <family val="2"/>
        <scheme val="minor"/>
      </rPr>
      <t>(Firm)</t>
    </r>
  </si>
  <si>
    <r>
      <t>Share of V</t>
    </r>
    <r>
      <rPr>
        <b/>
        <sz val="8"/>
        <color rgb="FF3F3F3F"/>
        <rFont val="Aptos Narrow (Body)"/>
      </rPr>
      <t>0,investors</t>
    </r>
    <r>
      <rPr>
        <b/>
        <sz val="12"/>
        <color rgb="FF3F3F3F"/>
        <rFont val="Aptos Narrow"/>
        <family val="2"/>
        <scheme val="minor"/>
      </rPr>
      <t>(Firm)</t>
    </r>
  </si>
  <si>
    <r>
      <t>V</t>
    </r>
    <r>
      <rPr>
        <b/>
        <sz val="8"/>
        <color rgb="FF3F3F3F"/>
        <rFont val="Aptos Narrow (Body)"/>
      </rPr>
      <t>0,manager</t>
    </r>
    <r>
      <rPr>
        <b/>
        <sz val="12"/>
        <color rgb="FF3F3F3F"/>
        <rFont val="Aptos Narrow"/>
        <family val="2"/>
        <scheme val="minor"/>
      </rPr>
      <t>(Firm)</t>
    </r>
  </si>
  <si>
    <r>
      <t>T</t>
    </r>
    <r>
      <rPr>
        <b/>
        <sz val="8"/>
        <color rgb="FF3F3F3F"/>
        <rFont val="Aptos Narrow (Body)"/>
      </rPr>
      <t>C</t>
    </r>
  </si>
  <si>
    <r>
      <t>E</t>
    </r>
    <r>
      <rPr>
        <b/>
        <sz val="8"/>
        <color rgb="FF3F3F3F"/>
        <rFont val="Aptos Narrow (Body)"/>
      </rPr>
      <t>RM</t>
    </r>
    <r>
      <rPr>
        <b/>
        <sz val="12"/>
        <color rgb="FF3F3F3F"/>
        <rFont val="Aptos Narrow"/>
        <family val="2"/>
        <scheme val="minor"/>
      </rPr>
      <t>[V(Firm)]</t>
    </r>
  </si>
  <si>
    <r>
      <t>E</t>
    </r>
    <r>
      <rPr>
        <b/>
        <sz val="8"/>
        <color rgb="FF3F3F3F"/>
        <rFont val="Aptos Narrow (Body)"/>
      </rPr>
      <t>no RM</t>
    </r>
    <r>
      <rPr>
        <b/>
        <sz val="12"/>
        <color rgb="FF3F3F3F"/>
        <rFont val="Aptos Narrow"/>
        <family val="2"/>
        <scheme val="minor"/>
      </rPr>
      <t>[V(Firm)]</t>
    </r>
  </si>
  <si>
    <t>TASK Ei</t>
  </si>
  <si>
    <t>TASK Eii</t>
  </si>
  <si>
    <r>
      <t>The manager will finance the project with debt. Basically, it is value of equity for old share holders what she maximizes and we need to compare the real equity of value in both scenarios to the case without the project. Although in case of equity-financing E</t>
    </r>
    <r>
      <rPr>
        <sz val="8"/>
        <color theme="1"/>
        <rFont val="Aptos Narrow (Body)"/>
      </rPr>
      <t>old</t>
    </r>
    <r>
      <rPr>
        <sz val="11.5"/>
        <color theme="1"/>
        <rFont val="Aptos Narrow"/>
        <family val="2"/>
        <scheme val="minor"/>
      </rPr>
      <t xml:space="preserve"> increases too (slightly), the debt financing doesn't expose the company to the investors' payoff which in reality is greater than investors think. Thus, considering information in manager's possession, debt is cheaper and E is going to be maximized</t>
    </r>
  </si>
  <si>
    <t>Shareholders cannot affect operating risk in this way. To do effective RM actions for the firm profits, one has to impact its idiosyncratic risk so that the companies operating activities generate more stable revenue. It's final operating profit what tax authorities deduct taxs from</t>
  </si>
  <si>
    <t>Yes, it's optimal for them: it's actually comparison between getting 2050 (E doesn't realise the project, and 2200 (E realises it under reduced Face value)</t>
  </si>
  <si>
    <t>This mini-case displays an example of free-rider problem in terms of monitoring. The company loses its value due to funds diversion only if everyone acts in their own interest and considers only own position when meeting decision whether to invest in monitoring.</t>
  </si>
  <si>
    <t>She will raise equity as the old shareholders value in company will be greater in this case. Basically, the signal of equity-financing in this case indicates low firm value. It's quite easy to observe in example from the manager's perspective: the lower is the value of the firm,  the lower payoff new equity holder will gain in reality. The firm is simply not ready for the fixed debt payment as it will reduce equity value more significantly</t>
  </si>
  <si>
    <t>The tax system has fixed corporate taxt rate which means higher taxes for higher profits. Tax bills are set based on the final operating profits, not ist expectation of it. The less risky the revenues are, the lower tax payment is considered for the future profits.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</si>
</sst>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 #,##0.00;[Red]&quot;€&quot;\ \-#,##0.00"/>
    <numFmt numFmtId="164" formatCode="0.000"/>
  </numFmts>
  <fonts count="19" x14ac:knownFonts="1">
    <font>
      <sz val="12"/>
      <color theme="1"/>
      <name val="Aptos Narrow"/>
      <family val="2"/>
      <scheme val="minor"/>
    </font>
    <font>
      <sz val="12"/>
      <color theme="0"/>
      <name val="Aptos Narrow"/>
      <family val="2"/>
      <scheme val="minor"/>
    </font>
    <font>
      <sz val="8"/>
      <color theme="1"/>
      <name val="Aptos Narrow (Body)"/>
    </font>
    <font>
      <sz val="12"/>
      <color theme="1"/>
      <name val="Aptos Narrow"/>
      <family val="2"/>
      <scheme val="minor"/>
    </font>
    <font>
      <sz val="12"/>
      <color rgb="FF006100"/>
      <name val="Aptos Narrow"/>
      <family val="2"/>
      <scheme val="minor"/>
    </font>
    <font>
      <sz val="12"/>
      <color rgb="FF9C0006"/>
      <name val="Aptos Narrow"/>
      <family val="2"/>
      <scheme val="minor"/>
    </font>
    <font>
      <b/>
      <sz val="12"/>
      <color rgb="FF3F3F3F"/>
      <name val="Aptos Narrow"/>
      <family val="2"/>
      <scheme val="minor"/>
    </font>
    <font>
      <sz val="12"/>
      <color rgb="FFFF0000"/>
      <name val="Aptos Narrow"/>
      <family val="2"/>
      <scheme val="minor"/>
    </font>
    <font>
      <sz val="11"/>
      <color theme="1"/>
      <name val="Aptos Narrow"/>
      <family val="2"/>
      <scheme val="minor"/>
    </font>
    <font>
      <sz val="11.5"/>
      <color theme="1"/>
      <name val="Aptos Narrow"/>
      <family val="2"/>
      <scheme val="minor"/>
    </font>
    <font>
      <b/>
      <sz val="8"/>
      <color rgb="FF3F3F3F"/>
      <name val="Aptos Narrow (Body)"/>
    </font>
    <font>
      <b/>
      <sz val="16"/>
      <color rgb="FF3F3F3F"/>
      <name val="Aptos Narrow (Body)"/>
    </font>
    <font>
      <b/>
      <sz val="12"/>
      <color rgb="FF3F3F3F"/>
      <name val="Aptos Narrow (Body)"/>
    </font>
    <font>
      <sz val="8"/>
      <color theme="1"/>
      <name val="Aptos Narrow"/>
      <family val="2"/>
      <scheme val="minor"/>
    </font>
    <font>
      <b/>
      <sz val="10"/>
      <color rgb="FF3F3F3F"/>
      <name val="Aptos Narrow"/>
      <family val="2"/>
      <scheme val="minor"/>
    </font>
    <font>
      <b/>
      <sz val="8"/>
      <color rgb="FF3F3F3F"/>
      <name val="Aptos Narrow"/>
      <family val="2"/>
      <scheme val="minor"/>
    </font>
    <font>
      <b/>
      <sz val="14"/>
      <color rgb="FF3F3F3F"/>
      <name val="Aptos Narrow"/>
      <family val="2"/>
      <scheme val="minor"/>
    </font>
    <font>
      <sz val="12"/>
      <color theme="0"/>
      <name val="Aptos Narrow"/>
      <scheme val="minor"/>
    </font>
    <font>
      <sz val="12"/>
      <color theme="0" tint="-0.249977111117893"/>
      <name val="Aptos Narrow"/>
      <family val="2"/>
      <scheme val="minor"/>
    </font>
  </fonts>
  <fills count="16">
    <fill>
      <patternFill patternType="none"/>
    </fill>
    <fill>
      <patternFill patternType="gray125"/>
    </fill>
    <fill>
      <patternFill patternType="solid">
        <fgColor theme="2" tint="-0.749992370372631"/>
        <bgColor indexed="64"/>
      </patternFill>
    </fill>
    <fill>
      <patternFill patternType="solid">
        <fgColor theme="2" tint="-0.499984740745262"/>
        <bgColor indexed="64"/>
      </patternFill>
    </fill>
    <fill>
      <patternFill patternType="solid">
        <fgColor theme="3" tint="0.89999084444715716"/>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2F2F2"/>
      </patternFill>
    </fill>
    <fill>
      <patternFill patternType="solid">
        <fgColor theme="5" tint="0.59999389629810485"/>
        <bgColor indexed="65"/>
      </patternFill>
    </fill>
    <fill>
      <patternFill patternType="solid">
        <fgColor theme="7"/>
      </patternFill>
    </fill>
    <fill>
      <patternFill patternType="solid">
        <fgColor theme="8" tint="0.59999389629810485"/>
        <bgColor indexed="65"/>
      </patternFill>
    </fill>
    <fill>
      <patternFill patternType="solid">
        <fgColor theme="0"/>
        <bgColor indexed="64"/>
      </patternFill>
    </fill>
    <fill>
      <patternFill patternType="solid">
        <fgColor theme="5" tint="0.39997558519241921"/>
        <bgColor indexed="65"/>
      </patternFill>
    </fill>
    <fill>
      <patternFill patternType="solid">
        <fgColor theme="9" tint="0.39997558519241921"/>
        <bgColor indexed="65"/>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3F3F3F"/>
      </left>
      <right style="thin">
        <color rgb="FF3F3F3F"/>
      </right>
      <top style="thin">
        <color rgb="FF3F3F3F"/>
      </top>
      <bottom style="thin">
        <color rgb="FF3F3F3F"/>
      </bottom>
      <diagonal/>
    </border>
    <border>
      <left style="thin">
        <color indexed="64"/>
      </left>
      <right style="thick">
        <color indexed="64"/>
      </right>
      <top style="thin">
        <color indexed="64"/>
      </top>
      <bottom style="thin">
        <color indexed="64"/>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indexed="64"/>
      </right>
      <top style="thin">
        <color rgb="FF3F3F3F"/>
      </top>
      <bottom style="thin">
        <color rgb="FF3F3F3F"/>
      </bottom>
      <diagonal/>
    </border>
  </borders>
  <cellStyleXfs count="9">
    <xf numFmtId="0" fontId="0" fillId="0" borderId="0"/>
    <xf numFmtId="0" fontId="4" fillId="7" borderId="0" applyNumberFormat="0" applyBorder="0" applyAlignment="0" applyProtection="0"/>
    <xf numFmtId="0" fontId="5" fillId="8" borderId="0" applyNumberFormat="0" applyBorder="0" applyAlignment="0" applyProtection="0"/>
    <xf numFmtId="0" fontId="6" fillId="9" borderId="14" applyNumberFormat="0" applyAlignment="0" applyProtection="0"/>
    <xf numFmtId="0" fontId="3" fillId="10" borderId="0" applyNumberFormat="0" applyBorder="0" applyAlignment="0" applyProtection="0"/>
    <xf numFmtId="0" fontId="1" fillId="11" borderId="0" applyNumberFormat="0" applyBorder="0" applyAlignment="0" applyProtection="0"/>
    <xf numFmtId="0" fontId="3" fillId="12"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cellStyleXfs>
  <cellXfs count="87">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9" fontId="0" fillId="0" borderId="1" xfId="0" applyNumberFormat="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1" fillId="3" borderId="1" xfId="0" applyFont="1" applyFill="1" applyBorder="1" applyAlignment="1">
      <alignment horizontal="center" vertical="center"/>
    </xf>
    <xf numFmtId="0" fontId="0" fillId="0" borderId="0" xfId="0" applyAlignment="1">
      <alignment horizontal="center" vertical="center" wrapText="1"/>
    </xf>
    <xf numFmtId="0" fontId="0" fillId="6" borderId="1" xfId="0" applyFill="1" applyBorder="1" applyAlignment="1">
      <alignment horizontal="center" vertical="center"/>
    </xf>
    <xf numFmtId="10" fontId="0" fillId="4" borderId="1" xfId="0" applyNumberFormat="1" applyFill="1" applyBorder="1" applyAlignment="1">
      <alignment horizontal="center" vertical="center"/>
    </xf>
    <xf numFmtId="2" fontId="0" fillId="0" borderId="1" xfId="0" applyNumberFormat="1" applyBorder="1" applyAlignment="1">
      <alignment horizontal="center" vertical="center"/>
    </xf>
    <xf numFmtId="0" fontId="0" fillId="0" borderId="0" xfId="0" applyAlignment="1">
      <alignment vertical="center" wrapText="1"/>
    </xf>
    <xf numFmtId="0" fontId="1" fillId="11" borderId="1" xfId="5" applyBorder="1" applyAlignment="1">
      <alignment horizontal="center" vertical="center"/>
    </xf>
    <xf numFmtId="0" fontId="0" fillId="0" borderId="5" xfId="0" applyBorder="1" applyAlignment="1">
      <alignment horizontal="center" vertical="center"/>
    </xf>
    <xf numFmtId="0" fontId="1" fillId="13" borderId="3" xfId="0" applyFont="1" applyFill="1" applyBorder="1" applyAlignment="1">
      <alignment horizontal="center" vertical="center"/>
    </xf>
    <xf numFmtId="0" fontId="1" fillId="13" borderId="4" xfId="0" applyFont="1" applyFill="1" applyBorder="1" applyAlignment="1">
      <alignment horizontal="center" vertical="center"/>
    </xf>
    <xf numFmtId="0" fontId="1" fillId="13" borderId="5" xfId="0" applyFont="1" applyFill="1" applyBorder="1" applyAlignment="1">
      <alignment horizontal="center" vertical="center"/>
    </xf>
    <xf numFmtId="0" fontId="0" fillId="4" borderId="5" xfId="0" applyFill="1" applyBorder="1" applyAlignment="1">
      <alignment horizontal="center" vertical="center"/>
    </xf>
    <xf numFmtId="0" fontId="3" fillId="12" borderId="5" xfId="6" applyBorder="1" applyAlignment="1">
      <alignment horizontal="center" vertical="center"/>
    </xf>
    <xf numFmtId="0" fontId="0" fillId="0" borderId="15" xfId="0" applyBorder="1" applyAlignment="1">
      <alignment horizontal="center" vertical="center"/>
    </xf>
    <xf numFmtId="0" fontId="0" fillId="4" borderId="15" xfId="0" applyFill="1" applyBorder="1" applyAlignment="1">
      <alignment horizontal="center" vertical="center"/>
    </xf>
    <xf numFmtId="0" fontId="3" fillId="10" borderId="15" xfId="4" applyBorder="1" applyAlignment="1">
      <alignment horizontal="center" vertical="center"/>
    </xf>
    <xf numFmtId="2" fontId="0" fillId="0" borderId="15" xfId="0" applyNumberFormat="1" applyBorder="1" applyAlignment="1">
      <alignment horizontal="center" vertical="center"/>
    </xf>
    <xf numFmtId="9" fontId="0" fillId="0" borderId="15" xfId="0" applyNumberFormat="1" applyBorder="1" applyAlignment="1">
      <alignment horizontal="center" vertical="center"/>
    </xf>
    <xf numFmtId="9" fontId="0" fillId="0" borderId="5" xfId="0" applyNumberFormat="1" applyBorder="1" applyAlignment="1">
      <alignment horizontal="center" vertical="center"/>
    </xf>
    <xf numFmtId="0" fontId="6" fillId="9" borderId="14" xfId="3" applyAlignment="1">
      <alignment horizontal="center" vertical="center"/>
    </xf>
    <xf numFmtId="0" fontId="6" fillId="9" borderId="1" xfId="3" applyBorder="1" applyAlignment="1">
      <alignment horizontal="center" vertical="center"/>
    </xf>
    <xf numFmtId="0" fontId="7" fillId="0" borderId="1" xfId="0" applyFont="1" applyBorder="1" applyAlignment="1">
      <alignment horizontal="center" vertical="center"/>
    </xf>
    <xf numFmtId="0" fontId="5" fillId="8" borderId="1" xfId="2" applyBorder="1" applyAlignment="1">
      <alignment horizontal="center" vertical="center"/>
    </xf>
    <xf numFmtId="0" fontId="4" fillId="7" borderId="1" xfId="1" applyBorder="1" applyAlignment="1">
      <alignment horizontal="center" vertical="center"/>
    </xf>
    <xf numFmtId="164" fontId="0" fillId="0" borderId="1" xfId="0" applyNumberFormat="1" applyBorder="1" applyAlignment="1">
      <alignment horizontal="center" vertical="center"/>
    </xf>
    <xf numFmtId="0" fontId="12" fillId="9" borderId="1" xfId="3" applyFont="1" applyBorder="1" applyAlignment="1">
      <alignment horizontal="center" vertical="center"/>
    </xf>
    <xf numFmtId="0" fontId="13" fillId="0" borderId="0" xfId="0" applyFont="1" applyAlignment="1">
      <alignment horizontal="center" vertical="center" wrapText="1"/>
    </xf>
    <xf numFmtId="0" fontId="3" fillId="12" borderId="1" xfId="6" applyBorder="1" applyAlignment="1">
      <alignment horizontal="center" vertical="center"/>
    </xf>
    <xf numFmtId="0" fontId="3" fillId="14" borderId="1" xfId="7" applyBorder="1" applyAlignment="1">
      <alignment horizontal="center" vertical="center"/>
    </xf>
    <xf numFmtId="0" fontId="3" fillId="15" borderId="1" xfId="8" applyBorder="1" applyAlignment="1">
      <alignment horizontal="center" vertical="center"/>
    </xf>
    <xf numFmtId="2" fontId="5" fillId="8" borderId="1" xfId="2" applyNumberFormat="1" applyBorder="1" applyAlignment="1">
      <alignment horizontal="center" vertical="center"/>
    </xf>
    <xf numFmtId="2" fontId="4" fillId="7" borderId="1" xfId="1" applyNumberFormat="1" applyBorder="1" applyAlignment="1">
      <alignment horizontal="center" vertical="center"/>
    </xf>
    <xf numFmtId="0" fontId="18" fillId="0" borderId="1" xfId="0" applyFont="1" applyBorder="1" applyAlignment="1">
      <alignment horizontal="center" vertical="center"/>
    </xf>
    <xf numFmtId="0" fontId="3" fillId="10" borderId="1" xfId="4" applyBorder="1" applyAlignment="1">
      <alignment horizontal="center" vertical="center"/>
    </xf>
    <xf numFmtId="0" fontId="16" fillId="9" borderId="1" xfId="3" applyFont="1" applyBorder="1" applyAlignment="1">
      <alignment horizontal="center" vertical="center" wrapText="1"/>
    </xf>
    <xf numFmtId="0" fontId="6" fillId="9" borderId="1" xfId="3" applyBorder="1" applyAlignment="1">
      <alignment horizontal="center" vertical="center" wrapText="1"/>
    </xf>
    <xf numFmtId="0" fontId="15" fillId="9" borderId="1" xfId="3" applyFont="1" applyBorder="1" applyAlignment="1">
      <alignment horizontal="center" vertical="center" wrapText="1"/>
    </xf>
    <xf numFmtId="8" fontId="0" fillId="0" borderId="1" xfId="0" applyNumberFormat="1" applyBorder="1" applyAlignment="1">
      <alignment horizontal="center" vertical="center"/>
    </xf>
    <xf numFmtId="8" fontId="7" fillId="0" borderId="1" xfId="0" applyNumberFormat="1" applyFont="1" applyBorder="1" applyAlignment="1">
      <alignment horizontal="center" vertical="center"/>
    </xf>
    <xf numFmtId="0" fontId="14" fillId="9" borderId="1" xfId="3" applyFont="1" applyBorder="1" applyAlignment="1">
      <alignment horizontal="center" vertical="center" wrapText="1"/>
    </xf>
    <xf numFmtId="0" fontId="1" fillId="2" borderId="1" xfId="0" applyFont="1" applyFill="1" applyBorder="1" applyAlignment="1">
      <alignment horizontal="center" vertical="center"/>
    </xf>
    <xf numFmtId="0" fontId="1" fillId="11" borderId="1" xfId="5" applyBorder="1" applyAlignment="1">
      <alignment horizontal="center" vertical="center"/>
    </xf>
    <xf numFmtId="0" fontId="6" fillId="9" borderId="1" xfId="3" applyBorder="1" applyAlignment="1">
      <alignment horizontal="center" vertical="center"/>
    </xf>
    <xf numFmtId="0" fontId="0" fillId="0" borderId="1" xfId="0" applyBorder="1" applyAlignment="1">
      <alignment horizontal="center" vertical="center" wrapText="1"/>
    </xf>
    <xf numFmtId="0" fontId="1" fillId="3" borderId="3"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1" xfId="0" applyFont="1" applyFill="1" applyBorder="1" applyAlignment="1">
      <alignment horizontal="center" vertical="center"/>
    </xf>
    <xf numFmtId="0" fontId="17" fillId="3" borderId="12" xfId="3" applyFont="1" applyFill="1" applyBorder="1" applyAlignment="1">
      <alignment horizontal="center" vertical="center"/>
    </xf>
    <xf numFmtId="0" fontId="6" fillId="9" borderId="14" xfId="3" applyAlignment="1">
      <alignment horizontal="center" vertical="center"/>
    </xf>
    <xf numFmtId="0" fontId="1" fillId="3" borderId="4" xfId="0" applyFont="1" applyFill="1" applyBorder="1" applyAlignment="1">
      <alignment horizontal="center" vertical="center"/>
    </xf>
    <xf numFmtId="0" fontId="6" fillId="9" borderId="16" xfId="3" applyBorder="1" applyAlignment="1">
      <alignment horizontal="center" vertical="center"/>
    </xf>
    <xf numFmtId="0" fontId="6" fillId="9" borderId="17" xfId="3" applyBorder="1" applyAlignment="1">
      <alignment horizontal="center" vertical="center"/>
    </xf>
    <xf numFmtId="0" fontId="6" fillId="9" borderId="18" xfId="3" applyBorder="1" applyAlignment="1">
      <alignment horizontal="center" vertical="center"/>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3" fillId="12" borderId="5" xfId="6" applyBorder="1" applyAlignment="1">
      <alignment horizontal="center" vertical="center"/>
    </xf>
    <xf numFmtId="0" fontId="3" fillId="12" borderId="1" xfId="6" applyBorder="1" applyAlignment="1">
      <alignment horizontal="center" vertical="center"/>
    </xf>
    <xf numFmtId="0" fontId="9" fillId="0" borderId="1" xfId="0" applyFont="1" applyBorder="1" applyAlignment="1">
      <alignment horizontal="center" vertical="center" wrapText="1"/>
    </xf>
    <xf numFmtId="0" fontId="1" fillId="3" borderId="2" xfId="0" applyFont="1" applyFill="1" applyBorder="1" applyAlignment="1">
      <alignment horizontal="center" vertical="center"/>
    </xf>
    <xf numFmtId="0" fontId="8" fillId="0" borderId="3" xfId="0" applyFont="1" applyBorder="1" applyAlignment="1">
      <alignment horizontal="center" vertical="center" wrapText="1"/>
    </xf>
    <xf numFmtId="0" fontId="8" fillId="0" borderId="4" xfId="0" applyFont="1" applyBorder="1" applyAlignment="1">
      <alignment horizontal="center" vertical="center" wrapText="1"/>
    </xf>
    <xf numFmtId="0" fontId="8" fillId="0" borderId="5" xfId="0" applyFont="1" applyBorder="1" applyAlignment="1">
      <alignment horizontal="center" vertical="center" wrapText="1"/>
    </xf>
    <xf numFmtId="0" fontId="8" fillId="0" borderId="6"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0" xfId="0" applyFont="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3" xfId="0" applyFont="1" applyBorder="1" applyAlignment="1">
      <alignment horizontal="center" vertical="center" wrapText="1"/>
    </xf>
    <xf numFmtId="0" fontId="0" fillId="0" borderId="1" xfId="0" applyNumberFormat="1" applyBorder="1" applyAlignment="1">
      <alignment horizontal="center" vertical="center"/>
    </xf>
    <xf numFmtId="8" fontId="0" fillId="0" borderId="0" xfId="0" applyNumberFormat="1" applyAlignment="1">
      <alignment horizontal="center" vertical="center"/>
    </xf>
  </cellXfs>
  <cellStyles count="9">
    <cellStyle name="40% - Accent2" xfId="4" builtinId="35"/>
    <cellStyle name="40% - Accent5" xfId="6" builtinId="47"/>
    <cellStyle name="60% - Accent2" xfId="7" builtinId="36"/>
    <cellStyle name="60% - Accent6" xfId="8" builtinId="52"/>
    <cellStyle name="Accent4" xfId="5" builtinId="41"/>
    <cellStyle name="Bad" xfId="2" builtinId="27"/>
    <cellStyle name="Good" xfId="1" builtinId="26"/>
    <cellStyle name="Normal" xfId="0" builtinId="0"/>
    <cellStyle name="Output" xfId="3" builtinId="21"/>
  </cellStyles>
  <dxfs count="0"/>
  <tableStyles count="0" defaultTableStyle="TableStyleMedium2" defaultPivotStyle="PivotStyleLight16"/>
  <colors>
    <mruColors>
      <color rgb="FF764115"/>
      <color rgb="FF660000"/>
      <color rgb="FF006A50"/>
      <color rgb="FF720040"/>
      <color rgb="FF002C68"/>
      <color rgb="FF00672B"/>
      <color rgb="FF6B55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3A8B1-2CEA-9140-BDA2-EDF3DEA87BAD}">
  <sheetPr>
    <tabColor rgb="FF6B5500"/>
  </sheetPr>
  <dimension ref="A1:P21"/>
  <sheetViews>
    <sheetView zoomScale="131" zoomScaleNormal="131" workbookViewId="0">
      <pane ySplit="1" topLeftCell="A2" activePane="bottomLeft" state="frozen"/>
      <selection pane="bottomLeft" activeCell="F5" sqref="F5"/>
    </sheetView>
  </sheetViews>
  <sheetFormatPr baseColWidth="10" defaultRowHeight="16" x14ac:dyDescent="0.2"/>
  <cols>
    <col min="2" max="2" width="11.33203125" customWidth="1"/>
    <col min="3" max="3" width="11.83203125" customWidth="1"/>
    <col min="5" max="5" width="17.1640625" bestFit="1" customWidth="1"/>
  </cols>
  <sheetData>
    <row r="1" spans="1:16" x14ac:dyDescent="0.2">
      <c r="A1" s="47" t="s">
        <v>0</v>
      </c>
      <c r="B1" s="47"/>
      <c r="C1" s="47"/>
      <c r="D1" s="47"/>
      <c r="E1" s="47"/>
      <c r="F1" s="47"/>
      <c r="G1" s="47"/>
      <c r="H1" s="47"/>
      <c r="I1" s="47"/>
      <c r="J1" s="47"/>
      <c r="K1" s="47"/>
      <c r="L1" s="47"/>
      <c r="M1" s="47"/>
      <c r="N1" s="47"/>
      <c r="O1" s="47"/>
      <c r="P1" s="47"/>
    </row>
    <row r="2" spans="1:16" x14ac:dyDescent="0.2">
      <c r="A2" s="48" t="s">
        <v>6</v>
      </c>
      <c r="B2" s="48"/>
      <c r="C2" s="48"/>
      <c r="D2" s="1"/>
      <c r="E2" s="53" t="s">
        <v>10</v>
      </c>
      <c r="F2" s="53"/>
      <c r="G2" s="1"/>
      <c r="H2" s="53" t="s">
        <v>12</v>
      </c>
      <c r="I2" s="53"/>
      <c r="J2" s="53"/>
      <c r="K2" s="53"/>
      <c r="L2" s="1"/>
      <c r="M2" s="53" t="s">
        <v>20</v>
      </c>
      <c r="N2" s="53"/>
      <c r="O2" s="53"/>
      <c r="P2" s="53"/>
    </row>
    <row r="3" spans="1:16" ht="16" customHeight="1" x14ac:dyDescent="0.2">
      <c r="A3" s="26" t="s">
        <v>7</v>
      </c>
      <c r="B3" s="4">
        <v>0.5</v>
      </c>
      <c r="C3" s="4">
        <v>0.5</v>
      </c>
      <c r="D3" s="1"/>
      <c r="E3" s="26" t="s">
        <v>115</v>
      </c>
      <c r="F3" s="2" cm="1">
        <f t="array" ref="F3">SUM(B4:C4*B3:C3)</f>
        <v>215</v>
      </c>
      <c r="G3" s="1"/>
      <c r="H3" s="55"/>
      <c r="I3" s="55" t="s">
        <v>16</v>
      </c>
      <c r="J3" s="55" t="s">
        <v>15</v>
      </c>
      <c r="K3" s="55"/>
      <c r="L3" s="1"/>
      <c r="M3" s="50" t="s">
        <v>31</v>
      </c>
      <c r="N3" s="50"/>
      <c r="O3" s="50"/>
      <c r="P3" s="50"/>
    </row>
    <row r="4" spans="1:16" x14ac:dyDescent="0.2">
      <c r="A4" s="26" t="s">
        <v>119</v>
      </c>
      <c r="B4" s="2">
        <v>290</v>
      </c>
      <c r="C4" s="2">
        <v>140</v>
      </c>
      <c r="D4" s="1"/>
      <c r="E4" s="26" t="s">
        <v>114</v>
      </c>
      <c r="F4" s="2">
        <f>F3+C7</f>
        <v>269</v>
      </c>
      <c r="G4" s="1"/>
      <c r="H4" s="55"/>
      <c r="I4" s="55"/>
      <c r="J4" s="26" t="s">
        <v>13</v>
      </c>
      <c r="K4" s="26" t="s">
        <v>14</v>
      </c>
      <c r="L4" s="1"/>
      <c r="M4" s="50"/>
      <c r="N4" s="50"/>
      <c r="O4" s="50"/>
      <c r="P4" s="50"/>
    </row>
    <row r="5" spans="1:16" x14ac:dyDescent="0.2">
      <c r="A5" s="1"/>
      <c r="B5" s="1"/>
      <c r="C5" s="1"/>
      <c r="D5" s="1"/>
      <c r="E5" s="26" t="s">
        <v>11</v>
      </c>
      <c r="F5" s="10">
        <f>C6/F4</f>
        <v>0.15613382899628253</v>
      </c>
      <c r="G5" s="1"/>
      <c r="H5" s="26" t="s">
        <v>17</v>
      </c>
      <c r="I5" s="2" cm="1">
        <f t="array" ref="I5">SUM(J5:K5*B3:C3)</f>
        <v>269</v>
      </c>
      <c r="J5" s="2">
        <f>B4+$C$7</f>
        <v>344</v>
      </c>
      <c r="K5" s="2">
        <f>C4+$C$7</f>
        <v>194</v>
      </c>
      <c r="L5" s="1"/>
      <c r="M5" s="50"/>
      <c r="N5" s="50"/>
      <c r="O5" s="50"/>
      <c r="P5" s="50"/>
    </row>
    <row r="6" spans="1:16" x14ac:dyDescent="0.2">
      <c r="A6" s="55" t="s">
        <v>8</v>
      </c>
      <c r="B6" s="26" t="s">
        <v>26</v>
      </c>
      <c r="C6" s="2">
        <v>42</v>
      </c>
      <c r="D6" s="1"/>
      <c r="E6" s="26" t="s">
        <v>116</v>
      </c>
      <c r="F6" s="6">
        <f>F4*(1-F5)</f>
        <v>226.99999999999997</v>
      </c>
      <c r="G6" s="1"/>
      <c r="H6" s="26" t="s">
        <v>18</v>
      </c>
      <c r="I6" s="2" cm="1">
        <f t="array" ref="I6">SUM(J6:K6*B3:C3)</f>
        <v>42</v>
      </c>
      <c r="J6" s="5">
        <f>IF(J5&lt;$C$6,J5,$C$6)</f>
        <v>42</v>
      </c>
      <c r="K6" s="2">
        <f>IF(K5&lt;$C$6,K5,$C$6)</f>
        <v>42</v>
      </c>
      <c r="L6" s="1"/>
      <c r="M6" s="50"/>
      <c r="N6" s="50"/>
      <c r="O6" s="50"/>
      <c r="P6" s="50"/>
    </row>
    <row r="7" spans="1:16" x14ac:dyDescent="0.2">
      <c r="A7" s="55"/>
      <c r="B7" s="26" t="s">
        <v>9</v>
      </c>
      <c r="C7" s="2">
        <v>54</v>
      </c>
      <c r="D7" s="1"/>
      <c r="E7" s="1"/>
      <c r="F7" s="1"/>
      <c r="G7" s="1"/>
      <c r="H7" s="26" t="s">
        <v>19</v>
      </c>
      <c r="I7" s="6">
        <f>I5-I6</f>
        <v>227</v>
      </c>
      <c r="J7" s="2">
        <f t="shared" ref="J7:K7" si="0">J5-J6</f>
        <v>302</v>
      </c>
      <c r="K7" s="2">
        <f t="shared" si="0"/>
        <v>152</v>
      </c>
      <c r="L7" s="1"/>
      <c r="M7" s="50"/>
      <c r="N7" s="50"/>
      <c r="O7" s="50"/>
      <c r="P7" s="50"/>
    </row>
    <row r="8" spans="1:16" ht="16" customHeight="1" x14ac:dyDescent="0.2">
      <c r="A8" s="1"/>
      <c r="B8" s="1"/>
      <c r="C8" s="1"/>
      <c r="D8" s="1"/>
      <c r="E8" s="1"/>
      <c r="F8" s="1"/>
      <c r="G8" s="1"/>
      <c r="H8" s="1"/>
      <c r="I8" s="1"/>
      <c r="J8" s="1"/>
      <c r="K8" s="1"/>
      <c r="L8" s="1"/>
      <c r="M8" s="50"/>
      <c r="N8" s="50"/>
      <c r="O8" s="50"/>
      <c r="P8" s="50"/>
    </row>
    <row r="9" spans="1:16" x14ac:dyDescent="0.2">
      <c r="A9" s="26" t="s">
        <v>118</v>
      </c>
      <c r="B9" s="2">
        <v>170</v>
      </c>
      <c r="C9" s="1"/>
      <c r="D9" s="1"/>
      <c r="E9" s="1"/>
      <c r="F9" s="1"/>
      <c r="G9" s="1"/>
      <c r="H9" s="1"/>
      <c r="I9" s="1"/>
      <c r="J9" s="1"/>
      <c r="K9" s="1"/>
      <c r="L9" s="1"/>
      <c r="M9" s="50"/>
      <c r="N9" s="50"/>
      <c r="O9" s="50"/>
      <c r="P9" s="50"/>
    </row>
    <row r="10" spans="1:16" x14ac:dyDescent="0.2">
      <c r="A10" s="1"/>
      <c r="B10" s="1"/>
      <c r="C10" s="1"/>
      <c r="D10" s="1"/>
      <c r="E10" s="1"/>
      <c r="F10" s="1"/>
      <c r="G10" s="1"/>
      <c r="H10" s="1"/>
      <c r="I10" s="1"/>
      <c r="J10" s="1"/>
      <c r="K10" s="1"/>
      <c r="L10" s="1"/>
      <c r="M10" s="50"/>
      <c r="N10" s="50"/>
      <c r="O10" s="50"/>
      <c r="P10" s="50"/>
    </row>
    <row r="11" spans="1:16" x14ac:dyDescent="0.2">
      <c r="A11" s="53" t="s">
        <v>21</v>
      </c>
      <c r="B11" s="53"/>
      <c r="C11" s="53"/>
      <c r="D11" s="53"/>
      <c r="E11" s="1"/>
      <c r="F11" s="53" t="s">
        <v>24</v>
      </c>
      <c r="G11" s="53"/>
      <c r="H11" s="53"/>
      <c r="I11" s="53"/>
      <c r="J11" s="1"/>
      <c r="K11" s="1"/>
      <c r="L11" s="1"/>
      <c r="M11" s="50"/>
      <c r="N11" s="50"/>
      <c r="O11" s="50"/>
      <c r="P11" s="50"/>
    </row>
    <row r="12" spans="1:16" ht="16" customHeight="1" x14ac:dyDescent="0.2">
      <c r="A12" s="55"/>
      <c r="B12" s="55" t="s">
        <v>16</v>
      </c>
      <c r="C12" s="55" t="s">
        <v>15</v>
      </c>
      <c r="D12" s="55"/>
      <c r="E12" s="1"/>
      <c r="F12" s="55"/>
      <c r="G12" s="55" t="s">
        <v>16</v>
      </c>
      <c r="H12" s="55" t="s">
        <v>15</v>
      </c>
      <c r="I12" s="55"/>
      <c r="J12" s="1"/>
      <c r="K12" s="1"/>
      <c r="L12" s="1"/>
      <c r="M12" s="50"/>
      <c r="N12" s="50"/>
      <c r="O12" s="50"/>
      <c r="P12" s="50"/>
    </row>
    <row r="13" spans="1:16" x14ac:dyDescent="0.2">
      <c r="A13" s="55"/>
      <c r="B13" s="55"/>
      <c r="C13" s="26" t="s">
        <v>22</v>
      </c>
      <c r="D13" s="26" t="s">
        <v>14</v>
      </c>
      <c r="E13" s="1"/>
      <c r="F13" s="55"/>
      <c r="G13" s="55"/>
      <c r="H13" s="26" t="s">
        <v>22</v>
      </c>
      <c r="I13" s="26" t="s">
        <v>14</v>
      </c>
      <c r="J13" s="1"/>
      <c r="K13" s="1"/>
      <c r="L13" s="1"/>
      <c r="M13" s="1"/>
      <c r="N13" s="1"/>
      <c r="O13" s="1"/>
      <c r="P13" s="1"/>
    </row>
    <row r="14" spans="1:16" x14ac:dyDescent="0.2">
      <c r="A14" s="26" t="s">
        <v>17</v>
      </c>
      <c r="B14" s="2" cm="1">
        <f t="array" ref="B14">SUM(C14:D14*B3:C3)</f>
        <v>215</v>
      </c>
      <c r="C14" s="2">
        <f>B4</f>
        <v>290</v>
      </c>
      <c r="D14" s="2">
        <f>C4</f>
        <v>140</v>
      </c>
      <c r="E14" s="1"/>
      <c r="F14" s="26" t="s">
        <v>17</v>
      </c>
      <c r="G14" s="2" cm="1">
        <f t="array" ref="G14">SUM(H14:I14*B3:C3)</f>
        <v>269</v>
      </c>
      <c r="H14" s="2">
        <f>C14+C7</f>
        <v>344</v>
      </c>
      <c r="I14" s="2">
        <f>D14+C7</f>
        <v>194</v>
      </c>
      <c r="J14" s="1"/>
      <c r="K14" s="51" t="s">
        <v>25</v>
      </c>
      <c r="L14" s="56"/>
      <c r="M14" s="56"/>
      <c r="N14" s="56"/>
      <c r="O14" s="56"/>
      <c r="P14" s="52"/>
    </row>
    <row r="15" spans="1:16" x14ac:dyDescent="0.2">
      <c r="A15" s="26" t="s">
        <v>120</v>
      </c>
      <c r="B15" s="2" cm="1">
        <f t="array" ref="B15">SUM(C15:D15*B3:C3)</f>
        <v>155</v>
      </c>
      <c r="C15" s="2">
        <f>IF(C14-$B$9&lt;0,C14,$B$9)</f>
        <v>170</v>
      </c>
      <c r="D15" s="2">
        <f>IF(D14-$B$9&lt;0,D14,$B$9)</f>
        <v>140</v>
      </c>
      <c r="E15" s="1"/>
      <c r="F15" s="26" t="s">
        <v>120</v>
      </c>
      <c r="G15" s="2" cm="1">
        <f t="array" ref="G15">SUM(H15:I15*B3:C3)</f>
        <v>170</v>
      </c>
      <c r="H15" s="2">
        <f>IF(H14-$B$9&lt;0,H14,$B$9)</f>
        <v>170</v>
      </c>
      <c r="I15" s="2">
        <f>IF(I14-$B$9&lt;0,I14,$B$9)</f>
        <v>170</v>
      </c>
      <c r="J15" s="1"/>
      <c r="K15" s="60" t="s">
        <v>32</v>
      </c>
      <c r="L15" s="61"/>
      <c r="M15" s="61"/>
      <c r="N15" s="61"/>
      <c r="O15" s="61"/>
      <c r="P15" s="62"/>
    </row>
    <row r="16" spans="1:16" x14ac:dyDescent="0.2">
      <c r="A16" s="26" t="s">
        <v>19</v>
      </c>
      <c r="B16" s="2">
        <f>B14-B15</f>
        <v>60</v>
      </c>
      <c r="C16" s="2">
        <f t="shared" ref="C16:D16" si="1">C14-C15</f>
        <v>120</v>
      </c>
      <c r="D16" s="2">
        <f t="shared" si="1"/>
        <v>0</v>
      </c>
      <c r="E16" s="1"/>
      <c r="F16" s="26" t="s">
        <v>121</v>
      </c>
      <c r="G16" s="2">
        <v>42</v>
      </c>
      <c r="H16" s="5">
        <f>(G16-I16*C3)/B3</f>
        <v>60</v>
      </c>
      <c r="I16" s="2">
        <f>I14-I15</f>
        <v>24</v>
      </c>
      <c r="J16" s="1"/>
      <c r="K16" s="63"/>
      <c r="L16" s="64"/>
      <c r="M16" s="64"/>
      <c r="N16" s="64"/>
      <c r="O16" s="64"/>
      <c r="P16" s="65"/>
    </row>
    <row r="17" spans="1:16" x14ac:dyDescent="0.2">
      <c r="A17" s="1"/>
      <c r="B17" s="1"/>
      <c r="C17" s="1"/>
      <c r="D17" s="1"/>
      <c r="E17" s="1"/>
      <c r="F17" s="26" t="s">
        <v>19</v>
      </c>
      <c r="G17" s="9">
        <f>G14-G15-G16</f>
        <v>57</v>
      </c>
      <c r="H17" s="2">
        <f t="shared" ref="H17:I17" si="2">H14-H15-H16</f>
        <v>114</v>
      </c>
      <c r="I17" s="2">
        <f t="shared" si="2"/>
        <v>0</v>
      </c>
      <c r="J17" s="1"/>
      <c r="K17" s="66"/>
      <c r="L17" s="67"/>
      <c r="M17" s="67"/>
      <c r="N17" s="67"/>
      <c r="O17" s="67"/>
      <c r="P17" s="68"/>
    </row>
    <row r="18" spans="1:16" x14ac:dyDescent="0.2">
      <c r="A18" s="55" t="s">
        <v>114</v>
      </c>
      <c r="B18" s="55"/>
      <c r="C18" s="55"/>
      <c r="D18" s="2">
        <f>B14+C7</f>
        <v>269</v>
      </c>
      <c r="E18" s="1"/>
      <c r="F18" s="1"/>
      <c r="G18" s="1"/>
      <c r="H18" s="1"/>
      <c r="I18" s="1"/>
      <c r="J18" s="1"/>
      <c r="K18" s="1"/>
      <c r="L18" s="1"/>
      <c r="M18" s="1"/>
      <c r="N18" s="1"/>
      <c r="O18" s="1"/>
      <c r="P18" s="1"/>
    </row>
    <row r="19" spans="1:16" x14ac:dyDescent="0.2">
      <c r="A19" s="55" t="s">
        <v>117</v>
      </c>
      <c r="B19" s="55"/>
      <c r="C19" s="55"/>
      <c r="D19" s="2">
        <f>D18-B9</f>
        <v>99</v>
      </c>
      <c r="E19" s="1"/>
      <c r="F19" s="1"/>
      <c r="G19" s="1"/>
      <c r="H19" s="1"/>
      <c r="I19" s="1"/>
      <c r="J19" s="1"/>
      <c r="K19" s="1"/>
      <c r="L19" s="1"/>
      <c r="M19" s="1"/>
      <c r="N19" s="1"/>
      <c r="O19" s="1"/>
      <c r="P19" s="1"/>
    </row>
    <row r="20" spans="1:16" x14ac:dyDescent="0.2">
      <c r="A20" s="57" t="s">
        <v>23</v>
      </c>
      <c r="B20" s="58"/>
      <c r="C20" s="59"/>
      <c r="D20" s="10">
        <f>C6/D19</f>
        <v>0.42424242424242425</v>
      </c>
      <c r="E20" s="1"/>
      <c r="F20" s="1"/>
      <c r="G20" s="1"/>
      <c r="H20" s="1"/>
      <c r="I20" s="1"/>
      <c r="J20" s="1"/>
      <c r="K20" s="1"/>
      <c r="L20" s="1"/>
      <c r="M20" s="1"/>
      <c r="N20" s="1"/>
      <c r="O20" s="1"/>
      <c r="P20" s="1"/>
    </row>
    <row r="21" spans="1:16" x14ac:dyDescent="0.2">
      <c r="A21" s="55" t="s">
        <v>116</v>
      </c>
      <c r="B21" s="55"/>
      <c r="C21" s="55"/>
      <c r="D21" s="9">
        <f>D19*(1-D20)</f>
        <v>56.999999999999993</v>
      </c>
      <c r="E21" s="1"/>
      <c r="F21" s="1"/>
      <c r="G21" s="1"/>
      <c r="H21" s="1"/>
      <c r="I21" s="1"/>
      <c r="J21" s="1"/>
      <c r="K21" s="1"/>
      <c r="L21" s="1"/>
      <c r="M21" s="1"/>
      <c r="N21" s="1"/>
      <c r="O21" s="1"/>
      <c r="P21" s="1"/>
    </row>
  </sheetData>
  <mergeCells count="24">
    <mergeCell ref="A21:C21"/>
    <mergeCell ref="A20:C20"/>
    <mergeCell ref="C12:D12"/>
    <mergeCell ref="J3:K3"/>
    <mergeCell ref="I3:I4"/>
    <mergeCell ref="A19:C19"/>
    <mergeCell ref="K15:P17"/>
    <mergeCell ref="M3:P12"/>
    <mergeCell ref="A1:P1"/>
    <mergeCell ref="H12:I12"/>
    <mergeCell ref="A18:C18"/>
    <mergeCell ref="A12:A13"/>
    <mergeCell ref="H3:H4"/>
    <mergeCell ref="F12:F13"/>
    <mergeCell ref="B12:B13"/>
    <mergeCell ref="G12:G13"/>
    <mergeCell ref="F11:I11"/>
    <mergeCell ref="K14:P14"/>
    <mergeCell ref="M2:P2"/>
    <mergeCell ref="H2:K2"/>
    <mergeCell ref="E2:F2"/>
    <mergeCell ref="A11:D11"/>
    <mergeCell ref="A6:A7"/>
    <mergeCell ref="A2:C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2" id="{0FB45B67-91DD-6241-9059-1D636E2171A4}">
            <x14:iconSet iconSet="3Triangles">
              <x14:cfvo type="percent">
                <xm:f>0</xm:f>
              </x14:cfvo>
              <x14:cfvo type="percent">
                <xm:f>33</xm:f>
              </x14:cfvo>
              <x14:cfvo type="percent">
                <xm:f>67</xm:f>
              </x14:cfvo>
            </x14:iconSet>
          </x14:cfRule>
          <xm:sqref>F3 F6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B12C5-363D-5144-98A9-3F53B382287C}">
  <sheetPr>
    <tabColor rgb="FF00672B"/>
  </sheetPr>
  <dimension ref="A1:G18"/>
  <sheetViews>
    <sheetView zoomScale="192" zoomScaleNormal="192" workbookViewId="0">
      <pane ySplit="1" topLeftCell="A2" activePane="bottomLeft" state="frozen"/>
      <selection pane="bottomLeft" activeCell="B21" sqref="B21"/>
    </sheetView>
  </sheetViews>
  <sheetFormatPr baseColWidth="10" defaultRowHeight="16" x14ac:dyDescent="0.2"/>
  <cols>
    <col min="1" max="1" width="20.6640625" bestFit="1" customWidth="1"/>
    <col min="2" max="2" width="20.83203125" customWidth="1"/>
    <col min="6" max="6" width="14.1640625" bestFit="1" customWidth="1"/>
  </cols>
  <sheetData>
    <row r="1" spans="1:7" x14ac:dyDescent="0.2">
      <c r="A1" s="47" t="s">
        <v>5</v>
      </c>
      <c r="B1" s="47"/>
      <c r="C1" s="47"/>
      <c r="D1" s="47"/>
      <c r="E1" s="47"/>
      <c r="F1" s="47"/>
      <c r="G1" s="47"/>
    </row>
    <row r="2" spans="1:7" x14ac:dyDescent="0.2">
      <c r="A2" s="48" t="s">
        <v>27</v>
      </c>
      <c r="B2" s="48"/>
      <c r="C2" s="1"/>
      <c r="D2" s="53" t="s">
        <v>10</v>
      </c>
      <c r="E2" s="53"/>
      <c r="F2" s="53"/>
      <c r="G2" s="53"/>
    </row>
    <row r="3" spans="1:7" x14ac:dyDescent="0.2">
      <c r="A3" s="26" t="s">
        <v>28</v>
      </c>
      <c r="B3" s="2">
        <v>12</v>
      </c>
      <c r="C3" s="1"/>
      <c r="D3" s="55"/>
      <c r="E3" s="55" t="s">
        <v>16</v>
      </c>
      <c r="F3" s="55" t="s">
        <v>15</v>
      </c>
      <c r="G3" s="55"/>
    </row>
    <row r="4" spans="1:7" x14ac:dyDescent="0.2">
      <c r="A4" s="26" t="s">
        <v>29</v>
      </c>
      <c r="B4" s="2" t="s">
        <v>30</v>
      </c>
      <c r="C4" s="1"/>
      <c r="D4" s="55"/>
      <c r="E4" s="55"/>
      <c r="F4" s="26" t="s">
        <v>22</v>
      </c>
      <c r="G4" s="26" t="s">
        <v>14</v>
      </c>
    </row>
    <row r="5" spans="1:7" x14ac:dyDescent="0.2">
      <c r="A5" s="1"/>
      <c r="B5" s="1"/>
      <c r="C5" s="1"/>
      <c r="D5" s="26" t="s">
        <v>17</v>
      </c>
      <c r="E5" s="2" cm="1">
        <f t="array" ref="E5">SUM(F5:G5*'M.C.5.1'!$B$3:$C$3)</f>
        <v>269</v>
      </c>
      <c r="F5" s="2">
        <f>'M.C.5.1'!B4+'M.C.5.1'!$C$7</f>
        <v>344</v>
      </c>
      <c r="G5" s="2">
        <f>'M.C.5.1'!C4+'M.C.5.1'!$C$7</f>
        <v>194</v>
      </c>
    </row>
    <row r="6" spans="1:7" x14ac:dyDescent="0.2">
      <c r="A6" s="1"/>
      <c r="B6" s="1"/>
      <c r="C6" s="1"/>
      <c r="D6" s="26" t="s">
        <v>120</v>
      </c>
      <c r="E6" s="2" cm="1">
        <f t="array" ref="E6">SUM(F6:G6*'M.C.5.1'!$B$3:$C$3)</f>
        <v>170</v>
      </c>
      <c r="F6" s="2">
        <f>IF(F5-'M.C.5.1'!$B$9&lt;0,'M.C.5.2'!F5,'M.C.5.1'!$B$9)</f>
        <v>170</v>
      </c>
      <c r="G6" s="2">
        <f>IF(G5-'M.C.5.1'!$B$9&lt;0,'M.C.5.2'!G5,'M.C.5.1'!$B$9)</f>
        <v>170</v>
      </c>
    </row>
    <row r="7" spans="1:7" x14ac:dyDescent="0.2">
      <c r="A7" s="1"/>
      <c r="B7" s="1"/>
      <c r="C7" s="1"/>
      <c r="D7" s="26" t="s">
        <v>124</v>
      </c>
      <c r="E7" s="2" cm="1">
        <f t="array" ref="E7">SUM(F7:G7*'M.C.5.1'!$B$3:$C$3)</f>
        <v>42.000000000000007</v>
      </c>
      <c r="F7" s="11">
        <f>(F5-F6)*'M.C.5.1'!$D$20</f>
        <v>73.818181818181827</v>
      </c>
      <c r="G7" s="11">
        <f>(G5-G6)*'M.C.5.1'!$D$20</f>
        <v>10.181818181818182</v>
      </c>
    </row>
    <row r="8" spans="1:7" x14ac:dyDescent="0.2">
      <c r="A8" s="1"/>
      <c r="B8" s="1"/>
      <c r="C8" s="1"/>
      <c r="D8" s="26" t="s">
        <v>33</v>
      </c>
      <c r="E8" s="2" cm="1">
        <f t="array" ref="E8">SUM(F8:G8*'M.C.5.1'!$B$3:$C$3)</f>
        <v>12</v>
      </c>
      <c r="F8" s="2">
        <f>$B$3</f>
        <v>12</v>
      </c>
      <c r="G8" s="2">
        <f>$B$3</f>
        <v>12</v>
      </c>
    </row>
    <row r="9" spans="1:7" x14ac:dyDescent="0.2">
      <c r="A9" s="1"/>
      <c r="B9" s="1"/>
      <c r="C9" s="1"/>
      <c r="D9" s="26" t="s">
        <v>125</v>
      </c>
      <c r="E9" s="5" cm="1">
        <f t="array" ref="E9">SUM(F9:G9*'M.C.5.1'!$B$3:$C$3)</f>
        <v>69</v>
      </c>
      <c r="F9" s="11">
        <f>MAX(F5-F6-F7+F8,0)</f>
        <v>112.18181818181817</v>
      </c>
      <c r="G9" s="11">
        <f>MAX(G5-G6-G7+G8,0)</f>
        <v>25.81818181818182</v>
      </c>
    </row>
    <row r="10" spans="1:7" x14ac:dyDescent="0.2">
      <c r="A10" s="1"/>
      <c r="B10" s="1"/>
      <c r="C10" s="1"/>
      <c r="D10" s="1"/>
      <c r="E10" s="1"/>
      <c r="F10" s="1"/>
      <c r="G10" s="1"/>
    </row>
    <row r="11" spans="1:7" x14ac:dyDescent="0.2">
      <c r="A11" s="53" t="s">
        <v>12</v>
      </c>
      <c r="B11" s="53"/>
      <c r="C11" s="53"/>
      <c r="D11" s="53"/>
      <c r="E11" s="1"/>
      <c r="F11" s="53" t="s">
        <v>20</v>
      </c>
      <c r="G11" s="53"/>
    </row>
    <row r="12" spans="1:7" x14ac:dyDescent="0.2">
      <c r="A12" s="55"/>
      <c r="B12" s="55" t="s">
        <v>16</v>
      </c>
      <c r="C12" s="55" t="s">
        <v>15</v>
      </c>
      <c r="D12" s="55"/>
      <c r="E12" s="1"/>
      <c r="F12" s="26" t="s">
        <v>34</v>
      </c>
      <c r="G12" s="2">
        <f>E9</f>
        <v>69</v>
      </c>
    </row>
    <row r="13" spans="1:7" x14ac:dyDescent="0.2">
      <c r="A13" s="55"/>
      <c r="B13" s="55"/>
      <c r="C13" s="26" t="s">
        <v>22</v>
      </c>
      <c r="D13" s="26" t="s">
        <v>14</v>
      </c>
      <c r="E13" s="1"/>
      <c r="F13" s="26" t="s">
        <v>35</v>
      </c>
      <c r="G13" s="2">
        <f>B18</f>
        <v>66</v>
      </c>
    </row>
    <row r="14" spans="1:7" ht="16" customHeight="1" x14ac:dyDescent="0.2">
      <c r="A14" s="26" t="s">
        <v>17</v>
      </c>
      <c r="B14" s="2" cm="1">
        <f t="array" ref="B14">SUM(C14:D14*'M.C.5.1'!$B$3:$C$3)</f>
        <v>269</v>
      </c>
      <c r="C14" s="2">
        <f>'M.C.5.1'!C14+'M.C.5.1'!$C$7</f>
        <v>344</v>
      </c>
      <c r="D14" s="2">
        <f>'M.C.5.1'!D14+'M.C.5.1'!$C$7</f>
        <v>194</v>
      </c>
      <c r="E14" s="1"/>
      <c r="F14" s="50" t="s">
        <v>36</v>
      </c>
      <c r="G14" s="50"/>
    </row>
    <row r="15" spans="1:7" x14ac:dyDescent="0.2">
      <c r="A15" s="26" t="s">
        <v>120</v>
      </c>
      <c r="B15" s="2" cm="1">
        <f t="array" ref="B15">SUM(C15:D15*'M.C.5.1'!$B$3:$C$3)</f>
        <v>170</v>
      </c>
      <c r="C15" s="2">
        <f>IF(C14-'M.C.5.1'!$B$9&lt;0,'M.C.5.2'!C14,'M.C.5.1'!$B$9)</f>
        <v>170</v>
      </c>
      <c r="D15" s="2">
        <f>IF(D14-'M.C.5.1'!$B$9&lt;0,'M.C.5.2'!D14,'M.C.5.1'!$B$9)</f>
        <v>170</v>
      </c>
      <c r="E15" s="1"/>
      <c r="F15" s="50"/>
      <c r="G15" s="50"/>
    </row>
    <row r="16" spans="1:7" x14ac:dyDescent="0.2">
      <c r="A16" s="26" t="s">
        <v>122</v>
      </c>
      <c r="B16" s="5">
        <v>42</v>
      </c>
      <c r="C16" s="2">
        <f>IF(C14-C15&lt;'M.C.5.1'!$C$6,'M.C.5.2'!C14-'M.C.5.2'!C15,'M.C.5.1'!$C$6)</f>
        <v>42</v>
      </c>
      <c r="D16" s="2">
        <f>IF(D14-D15&lt;'M.C.5.1'!$C$6,'M.C.5.2'!D14-'M.C.5.2'!D15,'M.C.5.1'!$C$6)</f>
        <v>24</v>
      </c>
      <c r="E16" s="1"/>
      <c r="F16" s="50"/>
      <c r="G16" s="50"/>
    </row>
    <row r="17" spans="1:7" x14ac:dyDescent="0.2">
      <c r="A17" s="26" t="s">
        <v>123</v>
      </c>
      <c r="B17" s="39" cm="1">
        <f t="array" ref="B17">SUM(C17:D17*'M.C.5.1'!$B$3:$C$3)</f>
        <v>9</v>
      </c>
      <c r="C17" s="2">
        <f>'M.C.5.1'!$C$6-'M.C.5.2'!C16</f>
        <v>0</v>
      </c>
      <c r="D17" s="2">
        <f>'M.C.5.1'!$C$6-'M.C.5.2'!D16</f>
        <v>18</v>
      </c>
      <c r="E17" s="1"/>
      <c r="F17" s="26" t="s">
        <v>37</v>
      </c>
      <c r="G17" s="3">
        <f>E8</f>
        <v>12</v>
      </c>
    </row>
    <row r="18" spans="1:7" x14ac:dyDescent="0.2">
      <c r="A18" s="26" t="s">
        <v>19</v>
      </c>
      <c r="B18" s="2">
        <f>B14-B15-B16+B17</f>
        <v>66</v>
      </c>
      <c r="C18" s="2">
        <f>C14-C15-C16</f>
        <v>132</v>
      </c>
      <c r="D18" s="2">
        <f>D14-D15-D16</f>
        <v>0</v>
      </c>
      <c r="E18" s="1"/>
      <c r="F18" s="26" t="s">
        <v>38</v>
      </c>
      <c r="G18" s="2">
        <f>B17</f>
        <v>9</v>
      </c>
    </row>
  </sheetData>
  <mergeCells count="12">
    <mergeCell ref="F14:G16"/>
    <mergeCell ref="A1:G1"/>
    <mergeCell ref="A2:B2"/>
    <mergeCell ref="F11:G11"/>
    <mergeCell ref="A11:D11"/>
    <mergeCell ref="D2:G2"/>
    <mergeCell ref="D3:D4"/>
    <mergeCell ref="E3:E4"/>
    <mergeCell ref="F3:G3"/>
    <mergeCell ref="A12:A13"/>
    <mergeCell ref="B12:B13"/>
    <mergeCell ref="C12:D12"/>
  </mergeCells>
  <conditionalFormatting sqref="B18">
    <cfRule type="iconSet" priority="4">
      <iconSet iconSet="3Symbols2">
        <cfvo type="percent" val="0"/>
        <cfvo type="percent" val="33"/>
        <cfvo type="percent" val="67"/>
      </iconSet>
    </cfRule>
  </conditionalFormatting>
  <conditionalFormatting sqref="E9">
    <cfRule type="iconSet" priority="5">
      <iconSet iconSet="3Symbols2">
        <cfvo type="percent" val="0"/>
        <cfvo type="percent" val="33"/>
        <cfvo type="percent" val="67"/>
      </iconSet>
    </cfRule>
  </conditionalFormatting>
  <conditionalFormatting sqref="G12:G13">
    <cfRule type="colorScale" priority="2">
      <colorScale>
        <cfvo type="min"/>
        <cfvo type="percentile" val="50"/>
        <cfvo type="max"/>
        <color rgb="FFF8696B"/>
        <color rgb="FFFFEB84"/>
        <color rgb="FF63BE7B"/>
      </colorScale>
    </cfRule>
  </conditionalFormatting>
  <conditionalFormatting sqref="G17:G18">
    <cfRule type="colorScale" priority="1">
      <colorScale>
        <cfvo type="min"/>
        <cfvo type="percentile" val="50"/>
        <cfvo type="max"/>
        <color rgb="FF63BE7B"/>
        <color rgb="FFFCFCFF"/>
        <color rgb="FFF8696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CB3B0-EBDE-0649-8E2C-87BB233E1873}">
  <sheetPr>
    <tabColor rgb="FF002C68"/>
  </sheetPr>
  <dimension ref="A1:N59"/>
  <sheetViews>
    <sheetView zoomScale="135" zoomScaleNormal="135" workbookViewId="0">
      <pane ySplit="1" topLeftCell="A2" activePane="bottomLeft" state="frozen"/>
      <selection pane="bottomLeft" activeCell="I13" sqref="I13"/>
    </sheetView>
  </sheetViews>
  <sheetFormatPr baseColWidth="10" defaultRowHeight="16" x14ac:dyDescent="0.2"/>
  <cols>
    <col min="1" max="1" width="11.33203125" bestFit="1" customWidth="1"/>
    <col min="6" max="6" width="19" bestFit="1" customWidth="1"/>
    <col min="7" max="7" width="13.83203125" bestFit="1" customWidth="1"/>
    <col min="8" max="8" width="21" bestFit="1" customWidth="1"/>
  </cols>
  <sheetData>
    <row r="1" spans="1:14" x14ac:dyDescent="0.2">
      <c r="A1" s="47" t="s">
        <v>4</v>
      </c>
      <c r="B1" s="47"/>
      <c r="C1" s="47"/>
      <c r="D1" s="47"/>
      <c r="E1" s="47"/>
      <c r="F1" s="47"/>
      <c r="G1" s="47"/>
      <c r="H1" s="47"/>
      <c r="I1" s="47"/>
      <c r="J1" s="47"/>
      <c r="K1" s="47"/>
      <c r="L1" s="47"/>
      <c r="M1" s="47"/>
      <c r="N1" s="47"/>
    </row>
    <row r="2" spans="1:14" x14ac:dyDescent="0.2">
      <c r="A2" s="13" t="s">
        <v>41</v>
      </c>
      <c r="B2" s="22" t="s">
        <v>39</v>
      </c>
      <c r="C2" s="69" t="s">
        <v>40</v>
      </c>
      <c r="D2" s="70"/>
      <c r="E2" s="1"/>
      <c r="F2" s="53" t="s">
        <v>10</v>
      </c>
      <c r="G2" s="53"/>
      <c r="H2" s="53"/>
      <c r="I2" s="1"/>
      <c r="J2" s="53" t="s">
        <v>12</v>
      </c>
      <c r="K2" s="53"/>
      <c r="L2" s="53"/>
      <c r="M2" s="53"/>
      <c r="N2" s="53"/>
    </row>
    <row r="3" spans="1:14" x14ac:dyDescent="0.2">
      <c r="A3" s="26" t="s">
        <v>7</v>
      </c>
      <c r="B3" s="24">
        <v>1</v>
      </c>
      <c r="C3" s="25">
        <v>0.5</v>
      </c>
      <c r="D3" s="4">
        <v>0.5</v>
      </c>
      <c r="E3" s="1"/>
      <c r="F3" s="26" t="s">
        <v>126</v>
      </c>
      <c r="G3" s="26" t="s">
        <v>127</v>
      </c>
      <c r="H3" s="26" t="s">
        <v>128</v>
      </c>
      <c r="I3" s="1"/>
      <c r="J3" s="26" t="s">
        <v>46</v>
      </c>
      <c r="K3" s="22" t="s">
        <v>39</v>
      </c>
      <c r="L3" s="69" t="s">
        <v>40</v>
      </c>
      <c r="M3" s="70"/>
      <c r="N3" s="70"/>
    </row>
    <row r="4" spans="1:14" x14ac:dyDescent="0.2">
      <c r="A4" s="26" t="s">
        <v>119</v>
      </c>
      <c r="B4" s="20">
        <v>290</v>
      </c>
      <c r="C4" s="14">
        <f>'M.C.5.1'!B4</f>
        <v>290</v>
      </c>
      <c r="D4" s="2">
        <f>'M.C.5.1'!C4</f>
        <v>140</v>
      </c>
      <c r="E4" s="1"/>
      <c r="F4" s="2" cm="1">
        <f t="array" ref="F4">SUM(C4:D4*C3:D3)</f>
        <v>215</v>
      </c>
      <c r="G4" s="2">
        <f>F4+'M.C.5.1'!C7</f>
        <v>269</v>
      </c>
      <c r="H4" s="10">
        <f>'M.C.5.1'!C6/'M.C.5.3'!G4</f>
        <v>0.15613382899628253</v>
      </c>
      <c r="I4" s="1"/>
      <c r="J4" s="55" t="s">
        <v>45</v>
      </c>
      <c r="K4" s="55" t="s">
        <v>16</v>
      </c>
      <c r="L4" s="55" t="s">
        <v>16</v>
      </c>
      <c r="M4" s="55" t="s">
        <v>15</v>
      </c>
      <c r="N4" s="55"/>
    </row>
    <row r="5" spans="1:14" x14ac:dyDescent="0.2">
      <c r="A5" s="1"/>
      <c r="B5" s="1"/>
      <c r="C5" s="1"/>
      <c r="D5" s="1"/>
      <c r="E5" s="1"/>
      <c r="F5" s="15"/>
      <c r="G5" s="16"/>
      <c r="H5" s="17"/>
      <c r="I5" s="1"/>
      <c r="J5" s="55"/>
      <c r="K5" s="55"/>
      <c r="L5" s="55"/>
      <c r="M5" s="26" t="s">
        <v>13</v>
      </c>
      <c r="N5" s="26" t="s">
        <v>14</v>
      </c>
    </row>
    <row r="6" spans="1:14" x14ac:dyDescent="0.2">
      <c r="A6" s="13" t="s">
        <v>42</v>
      </c>
      <c r="B6" s="22" t="s">
        <v>39</v>
      </c>
      <c r="C6" s="69" t="s">
        <v>40</v>
      </c>
      <c r="D6" s="70"/>
      <c r="E6" s="1"/>
      <c r="F6" s="26" t="s">
        <v>45</v>
      </c>
      <c r="G6" s="55" t="s">
        <v>16</v>
      </c>
      <c r="H6" s="55"/>
      <c r="I6" s="1"/>
      <c r="J6" s="26" t="s">
        <v>17</v>
      </c>
      <c r="K6" s="20">
        <f>B4+'M.C.5.1'!C7</f>
        <v>344</v>
      </c>
      <c r="L6" s="14" cm="1">
        <f t="array" ref="L6">SUM(M6:N6*C3:D3)</f>
        <v>269</v>
      </c>
      <c r="M6" s="2">
        <f>C4+'M.C.5.1'!$C$7</f>
        <v>344</v>
      </c>
      <c r="N6" s="2">
        <f>D4+'M.C.5.1'!$C$7</f>
        <v>194</v>
      </c>
    </row>
    <row r="7" spans="1:14" x14ac:dyDescent="0.2">
      <c r="A7" s="26" t="s">
        <v>7</v>
      </c>
      <c r="B7" s="24">
        <v>1</v>
      </c>
      <c r="C7" s="25">
        <v>0.5</v>
      </c>
      <c r="D7" s="4">
        <v>0.5</v>
      </c>
      <c r="E7" s="1"/>
      <c r="F7" s="26" t="s">
        <v>46</v>
      </c>
      <c r="G7" s="22" t="s">
        <v>39</v>
      </c>
      <c r="H7" s="19" t="s">
        <v>40</v>
      </c>
      <c r="I7" s="1"/>
      <c r="J7" s="26" t="s">
        <v>18</v>
      </c>
      <c r="K7" s="21">
        <f>'M.C.5.1'!C6</f>
        <v>42</v>
      </c>
      <c r="L7" s="18" cm="1">
        <f t="array" ref="L7">SUM(M7:N7*C3:D3)</f>
        <v>42</v>
      </c>
      <c r="M7" s="2">
        <f>'M.C.5.1'!$C$6</f>
        <v>42</v>
      </c>
      <c r="N7" s="2">
        <f>'M.C.5.1'!$C$6</f>
        <v>42</v>
      </c>
    </row>
    <row r="8" spans="1:14" x14ac:dyDescent="0.2">
      <c r="A8" s="26" t="s">
        <v>119</v>
      </c>
      <c r="B8" s="20">
        <v>140</v>
      </c>
      <c r="C8" s="14">
        <v>290</v>
      </c>
      <c r="D8" s="2">
        <v>140</v>
      </c>
      <c r="E8" s="1"/>
      <c r="F8" s="26" t="s">
        <v>129</v>
      </c>
      <c r="G8" s="20">
        <f>B4+'M.C.5.1'!C7</f>
        <v>344</v>
      </c>
      <c r="H8" s="14">
        <f>G4</f>
        <v>269</v>
      </c>
      <c r="I8" s="1"/>
      <c r="J8" s="26" t="s">
        <v>19</v>
      </c>
      <c r="K8" s="20">
        <f>K6-K7</f>
        <v>302</v>
      </c>
      <c r="L8" s="14">
        <f>L6-L7</f>
        <v>227</v>
      </c>
      <c r="M8" s="2">
        <f t="shared" ref="M8:N8" si="0">M6-M7</f>
        <v>302</v>
      </c>
      <c r="N8" s="2">
        <f t="shared" si="0"/>
        <v>152</v>
      </c>
    </row>
    <row r="9" spans="1:14" ht="16" customHeight="1" x14ac:dyDescent="0.2">
      <c r="A9" s="1"/>
      <c r="B9" s="1"/>
      <c r="C9" s="1"/>
      <c r="D9" s="1"/>
      <c r="E9" s="1"/>
      <c r="F9" s="26" t="s">
        <v>124</v>
      </c>
      <c r="G9" s="23">
        <f>G8*$H$4</f>
        <v>53.710037174721194</v>
      </c>
      <c r="H9" s="18">
        <f>H8*$H$4</f>
        <v>42</v>
      </c>
      <c r="I9" s="1"/>
      <c r="J9" s="1"/>
      <c r="K9" s="1"/>
      <c r="L9" s="1"/>
      <c r="M9" s="1"/>
      <c r="N9" s="1"/>
    </row>
    <row r="10" spans="1:14" x14ac:dyDescent="0.2">
      <c r="A10" s="53" t="s">
        <v>20</v>
      </c>
      <c r="B10" s="53"/>
      <c r="C10" s="53"/>
      <c r="D10" s="53"/>
      <c r="E10" s="1"/>
      <c r="F10" s="26" t="s">
        <v>125</v>
      </c>
      <c r="G10" s="23">
        <f>G8-G9</f>
        <v>290.28996282527879</v>
      </c>
      <c r="H10" s="14">
        <f>H8-H9</f>
        <v>227</v>
      </c>
      <c r="I10" s="1"/>
      <c r="J10" s="1"/>
      <c r="K10" s="1"/>
      <c r="L10" s="1"/>
      <c r="M10" s="1"/>
      <c r="N10" s="1"/>
    </row>
    <row r="11" spans="1:14" ht="16" customHeight="1" x14ac:dyDescent="0.2">
      <c r="A11" s="71" t="s">
        <v>135</v>
      </c>
      <c r="B11" s="71"/>
      <c r="C11" s="71"/>
      <c r="D11" s="71"/>
      <c r="E11" s="1"/>
      <c r="F11" s="1"/>
      <c r="G11" s="1"/>
      <c r="H11" s="1"/>
      <c r="I11" s="1"/>
      <c r="J11" s="1"/>
      <c r="K11" s="1"/>
      <c r="L11" s="1"/>
      <c r="M11" s="1"/>
      <c r="N11" s="1"/>
    </row>
    <row r="12" spans="1:14" x14ac:dyDescent="0.2">
      <c r="A12" s="71"/>
      <c r="B12" s="71"/>
      <c r="C12" s="71"/>
      <c r="D12" s="71"/>
      <c r="E12" s="1"/>
      <c r="F12" s="53" t="s">
        <v>21</v>
      </c>
      <c r="G12" s="53"/>
      <c r="H12" s="53"/>
      <c r="I12" s="1"/>
      <c r="J12" s="72" t="s">
        <v>24</v>
      </c>
      <c r="K12" s="53"/>
      <c r="L12" s="53"/>
      <c r="M12" s="53"/>
      <c r="N12" s="53"/>
    </row>
    <row r="13" spans="1:14" ht="16" customHeight="1" x14ac:dyDescent="0.2">
      <c r="A13" s="71"/>
      <c r="B13" s="71"/>
      <c r="C13" s="71"/>
      <c r="D13" s="71"/>
      <c r="E13" s="1"/>
      <c r="F13" s="26" t="s">
        <v>126</v>
      </c>
      <c r="G13" s="26" t="s">
        <v>127</v>
      </c>
      <c r="H13" s="26" t="s">
        <v>128</v>
      </c>
      <c r="I13" s="1"/>
      <c r="J13" s="26" t="s">
        <v>46</v>
      </c>
      <c r="K13" s="22" t="s">
        <v>39</v>
      </c>
      <c r="L13" s="69" t="s">
        <v>40</v>
      </c>
      <c r="M13" s="70"/>
      <c r="N13" s="70"/>
    </row>
    <row r="14" spans="1:14" x14ac:dyDescent="0.2">
      <c r="A14" s="71"/>
      <c r="B14" s="71"/>
      <c r="C14" s="71"/>
      <c r="D14" s="71"/>
      <c r="E14" s="1"/>
      <c r="F14" s="2" cm="1">
        <f t="array" ref="F14">SUM(C8:D8*C7:D7)</f>
        <v>215</v>
      </c>
      <c r="G14" s="2">
        <f>F14+'M.C.5.1'!C7</f>
        <v>269</v>
      </c>
      <c r="H14" s="10">
        <f>'M.C.5.1'!C6/'M.C.5.3'!G14</f>
        <v>0.15613382899628253</v>
      </c>
      <c r="I14" s="1"/>
      <c r="J14" s="55" t="s">
        <v>45</v>
      </c>
      <c r="K14" s="55" t="s">
        <v>16</v>
      </c>
      <c r="L14" s="55" t="s">
        <v>16</v>
      </c>
      <c r="M14" s="55" t="s">
        <v>15</v>
      </c>
      <c r="N14" s="55"/>
    </row>
    <row r="15" spans="1:14" x14ac:dyDescent="0.2">
      <c r="A15" s="71"/>
      <c r="B15" s="71"/>
      <c r="C15" s="71"/>
      <c r="D15" s="71"/>
      <c r="E15" s="1"/>
      <c r="F15" s="15"/>
      <c r="G15" s="16"/>
      <c r="H15" s="17"/>
      <c r="I15" s="1"/>
      <c r="J15" s="55"/>
      <c r="K15" s="55"/>
      <c r="L15" s="55"/>
      <c r="M15" s="26" t="s">
        <v>13</v>
      </c>
      <c r="N15" s="26" t="s">
        <v>14</v>
      </c>
    </row>
    <row r="16" spans="1:14" x14ac:dyDescent="0.2">
      <c r="A16" s="71"/>
      <c r="B16" s="71"/>
      <c r="C16" s="71"/>
      <c r="D16" s="71"/>
      <c r="E16" s="1"/>
      <c r="F16" s="26" t="s">
        <v>45</v>
      </c>
      <c r="G16" s="55" t="s">
        <v>16</v>
      </c>
      <c r="H16" s="55"/>
      <c r="I16" s="1"/>
      <c r="J16" s="26" t="s">
        <v>17</v>
      </c>
      <c r="K16" s="20">
        <f>B8+'M.C.5.1'!C7</f>
        <v>194</v>
      </c>
      <c r="L16" s="14" cm="1">
        <f t="array" ref="L16">SUM(M16:N16*C3:D3)</f>
        <v>269</v>
      </c>
      <c r="M16" s="2">
        <f>C8+'M.C.5.1'!C7</f>
        <v>344</v>
      </c>
      <c r="N16" s="2">
        <f>D8+'M.C.5.1'!C7</f>
        <v>194</v>
      </c>
    </row>
    <row r="17" spans="1:14" x14ac:dyDescent="0.2">
      <c r="A17" s="71"/>
      <c r="B17" s="71"/>
      <c r="C17" s="71"/>
      <c r="D17" s="71"/>
      <c r="E17" s="1"/>
      <c r="F17" s="26" t="s">
        <v>46</v>
      </c>
      <c r="G17" s="22" t="s">
        <v>39</v>
      </c>
      <c r="H17" s="19" t="s">
        <v>40</v>
      </c>
      <c r="I17" s="1"/>
      <c r="J17" s="26" t="s">
        <v>18</v>
      </c>
      <c r="K17" s="21">
        <f>L17</f>
        <v>42</v>
      </c>
      <c r="L17" s="18" cm="1">
        <f t="array" ref="L17">SUM(M17:N17*C7:D7)</f>
        <v>42</v>
      </c>
      <c r="M17" s="2">
        <f>'M.C.5.1'!$C$6</f>
        <v>42</v>
      </c>
      <c r="N17" s="2">
        <f>'M.C.5.1'!$C$6</f>
        <v>42</v>
      </c>
    </row>
    <row r="18" spans="1:14" x14ac:dyDescent="0.2">
      <c r="A18" s="71"/>
      <c r="B18" s="71"/>
      <c r="C18" s="71"/>
      <c r="D18" s="71"/>
      <c r="E18" s="1"/>
      <c r="F18" s="26" t="s">
        <v>129</v>
      </c>
      <c r="G18" s="20">
        <f>B8+'M.C.5.1'!C7</f>
        <v>194</v>
      </c>
      <c r="H18" s="14">
        <f>G14</f>
        <v>269</v>
      </c>
      <c r="I18" s="1"/>
      <c r="J18" s="26" t="s">
        <v>19</v>
      </c>
      <c r="K18" s="20">
        <f>K16-K17</f>
        <v>152</v>
      </c>
      <c r="L18" s="14">
        <f t="shared" ref="L18:N18" si="1">L16-L17</f>
        <v>227</v>
      </c>
      <c r="M18" s="2">
        <f t="shared" si="1"/>
        <v>302</v>
      </c>
      <c r="N18" s="2">
        <f t="shared" si="1"/>
        <v>152</v>
      </c>
    </row>
    <row r="19" spans="1:14" x14ac:dyDescent="0.2">
      <c r="A19" s="71"/>
      <c r="B19" s="71"/>
      <c r="C19" s="71"/>
      <c r="D19" s="71"/>
      <c r="E19" s="1"/>
      <c r="F19" s="26" t="s">
        <v>124</v>
      </c>
      <c r="G19" s="23">
        <f>G18*$H$14</f>
        <v>30.28996282527881</v>
      </c>
      <c r="H19" s="18">
        <f>H18*$H$14</f>
        <v>42</v>
      </c>
      <c r="I19" s="1"/>
      <c r="J19" s="1"/>
      <c r="K19" s="1"/>
      <c r="L19" s="1"/>
      <c r="M19" s="1"/>
      <c r="N19" s="1"/>
    </row>
    <row r="20" spans="1:14" x14ac:dyDescent="0.2">
      <c r="A20" s="71"/>
      <c r="B20" s="71"/>
      <c r="C20" s="71"/>
      <c r="D20" s="71"/>
      <c r="E20" s="1"/>
      <c r="F20" s="26" t="s">
        <v>125</v>
      </c>
      <c r="G20" s="23">
        <f>G18-G19</f>
        <v>163.71003717472118</v>
      </c>
      <c r="H20" s="14">
        <f>H18-H19</f>
        <v>227</v>
      </c>
      <c r="I20" s="1"/>
      <c r="J20" s="1"/>
      <c r="K20" s="1"/>
      <c r="L20" s="1"/>
      <c r="M20" s="1"/>
      <c r="N20" s="1"/>
    </row>
    <row r="21" spans="1:14" ht="16" customHeight="1" x14ac:dyDescent="0.2">
      <c r="A21" s="8"/>
      <c r="B21" s="8"/>
      <c r="C21" s="8"/>
      <c r="D21" s="8"/>
      <c r="E21" s="1"/>
      <c r="F21" s="1"/>
      <c r="G21" s="1"/>
      <c r="H21" s="1"/>
      <c r="I21" s="1"/>
      <c r="J21" s="1"/>
      <c r="K21" s="1"/>
      <c r="L21" s="1"/>
      <c r="M21" s="1"/>
      <c r="N21" s="1"/>
    </row>
    <row r="22" spans="1:14" ht="16" customHeight="1" x14ac:dyDescent="0.2">
      <c r="A22" s="53" t="s">
        <v>44</v>
      </c>
      <c r="B22" s="50" t="s">
        <v>139</v>
      </c>
      <c r="C22" s="50"/>
      <c r="D22" s="50"/>
      <c r="E22" s="50"/>
      <c r="F22" s="50"/>
      <c r="G22" s="50"/>
      <c r="H22" s="50"/>
      <c r="I22" s="50"/>
      <c r="J22" s="50"/>
      <c r="K22" s="50"/>
      <c r="L22" s="50"/>
      <c r="M22" s="50"/>
      <c r="N22" s="50"/>
    </row>
    <row r="23" spans="1:14" x14ac:dyDescent="0.2">
      <c r="A23" s="53"/>
      <c r="B23" s="50"/>
      <c r="C23" s="50"/>
      <c r="D23" s="50"/>
      <c r="E23" s="50"/>
      <c r="F23" s="50"/>
      <c r="G23" s="50"/>
      <c r="H23" s="50"/>
      <c r="I23" s="50"/>
      <c r="J23" s="50"/>
      <c r="K23" s="50"/>
      <c r="L23" s="50"/>
      <c r="M23" s="50"/>
      <c r="N23" s="50"/>
    </row>
    <row r="24" spans="1:14" x14ac:dyDescent="0.2">
      <c r="A24" s="53"/>
      <c r="B24" s="50"/>
      <c r="C24" s="50"/>
      <c r="D24" s="50"/>
      <c r="E24" s="50"/>
      <c r="F24" s="50"/>
      <c r="G24" s="50"/>
      <c r="H24" s="50"/>
      <c r="I24" s="50"/>
      <c r="J24" s="50"/>
      <c r="K24" s="50"/>
      <c r="L24" s="50"/>
      <c r="M24" s="50"/>
      <c r="N24" s="50"/>
    </row>
    <row r="25" spans="1:14" x14ac:dyDescent="0.2">
      <c r="B25" s="12"/>
      <c r="C25" s="12"/>
      <c r="D25" s="12"/>
      <c r="E25" s="12"/>
      <c r="F25" s="12"/>
    </row>
    <row r="26" spans="1:14" x14ac:dyDescent="0.2">
      <c r="B26" s="12"/>
      <c r="C26" s="12"/>
      <c r="D26" s="12"/>
      <c r="E26" s="12"/>
      <c r="F26" s="12"/>
    </row>
    <row r="27" spans="1:14" x14ac:dyDescent="0.2">
      <c r="B27" s="12"/>
      <c r="C27" s="12"/>
      <c r="D27" s="12"/>
      <c r="E27" s="12"/>
      <c r="F27" s="12"/>
    </row>
    <row r="28" spans="1:14" x14ac:dyDescent="0.2">
      <c r="B28" s="12"/>
      <c r="C28" s="12"/>
      <c r="D28" s="12"/>
      <c r="E28" s="12"/>
      <c r="F28" s="12"/>
      <c r="J28" s="12"/>
      <c r="K28" s="12"/>
      <c r="L28" s="12"/>
      <c r="M28" s="12"/>
      <c r="N28" s="12"/>
    </row>
    <row r="59" spans="9:9" x14ac:dyDescent="0.2">
      <c r="I59" t="s">
        <v>43</v>
      </c>
    </row>
  </sheetData>
  <mergeCells count="23">
    <mergeCell ref="B22:N24"/>
    <mergeCell ref="A22:A24"/>
    <mergeCell ref="G16:H16"/>
    <mergeCell ref="L13:N13"/>
    <mergeCell ref="J14:J15"/>
    <mergeCell ref="K14:K15"/>
    <mergeCell ref="L14:L15"/>
    <mergeCell ref="M14:N14"/>
    <mergeCell ref="A1:N1"/>
    <mergeCell ref="C6:D6"/>
    <mergeCell ref="C2:D2"/>
    <mergeCell ref="A11:D20"/>
    <mergeCell ref="J2:N2"/>
    <mergeCell ref="A10:D10"/>
    <mergeCell ref="F12:H12"/>
    <mergeCell ref="F2:H2"/>
    <mergeCell ref="J12:N12"/>
    <mergeCell ref="J4:J5"/>
    <mergeCell ref="L4:L5"/>
    <mergeCell ref="M4:N4"/>
    <mergeCell ref="G6:H6"/>
    <mergeCell ref="L3:N3"/>
    <mergeCell ref="K4:K5"/>
  </mergeCells>
  <conditionalFormatting sqref="G20">
    <cfRule type="dataBar" priority="3">
      <dataBar>
        <cfvo type="num" val="250"/>
        <cfvo type="max"/>
        <color rgb="FF63C384"/>
      </dataBar>
      <extLst>
        <ext xmlns:x14="http://schemas.microsoft.com/office/spreadsheetml/2009/9/main" uri="{B025F937-C7B1-47D3-B67F-A62EFF666E3E}">
          <x14:id>{9C46AED3-DA2A-4A48-8E23-1FA3F24F5C04}</x14:id>
        </ext>
      </extLst>
    </cfRule>
  </conditionalFormatting>
  <conditionalFormatting sqref="K8 B4 G10">
    <cfRule type="dataBar" priority="5">
      <dataBar>
        <cfvo type="num" val="250"/>
        <cfvo type="max"/>
        <color rgb="FF63C384"/>
      </dataBar>
      <extLst>
        <ext xmlns:x14="http://schemas.microsoft.com/office/spreadsheetml/2009/9/main" uri="{B025F937-C7B1-47D3-B67F-A62EFF666E3E}">
          <x14:id>{3EBA2B5D-A228-AF4C-9D3B-38C82DACC884}</x14:id>
        </ext>
      </extLst>
    </cfRule>
  </conditionalFormatting>
  <conditionalFormatting sqref="K18 B8 G20">
    <cfRule type="dataBar" priority="1">
      <dataBar>
        <cfvo type="num" val="100"/>
        <cfvo type="max"/>
        <color rgb="FFFFB628"/>
      </dataBar>
      <extLst>
        <ext xmlns:x14="http://schemas.microsoft.com/office/spreadsheetml/2009/9/main" uri="{B025F937-C7B1-47D3-B67F-A62EFF666E3E}">
          <x14:id>{5D58C58C-FEEA-6B42-8B87-B4E75DF786C5}</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C46AED3-DA2A-4A48-8E23-1FA3F24F5C04}">
            <x14:dataBar minLength="0" maxLength="100" border="1" negativeBarBorderColorSameAsPositive="0">
              <x14:cfvo type="num">
                <xm:f>250</xm:f>
              </x14:cfvo>
              <x14:cfvo type="autoMax"/>
              <x14:borderColor rgb="FF63C384"/>
              <x14:negativeFillColor rgb="FFFF0000"/>
              <x14:negativeBorderColor rgb="FFFF0000"/>
              <x14:axisColor rgb="FF000000"/>
            </x14:dataBar>
          </x14:cfRule>
          <xm:sqref>G20</xm:sqref>
        </x14:conditionalFormatting>
        <x14:conditionalFormatting xmlns:xm="http://schemas.microsoft.com/office/excel/2006/main">
          <x14:cfRule type="dataBar" id="{3EBA2B5D-A228-AF4C-9D3B-38C82DACC884}">
            <x14:dataBar minLength="0" maxLength="100" border="1" negativeBarBorderColorSameAsPositive="0">
              <x14:cfvo type="num">
                <xm:f>250</xm:f>
              </x14:cfvo>
              <x14:cfvo type="autoMax"/>
              <x14:borderColor rgb="FF63C384"/>
              <x14:negativeFillColor rgb="FFFF0000"/>
              <x14:negativeBorderColor rgb="FFFF0000"/>
              <x14:axisColor rgb="FF000000"/>
            </x14:dataBar>
          </x14:cfRule>
          <xm:sqref>K8 B4 G10</xm:sqref>
        </x14:conditionalFormatting>
        <x14:conditionalFormatting xmlns:xm="http://schemas.microsoft.com/office/excel/2006/main">
          <x14:cfRule type="dataBar" id="{5D58C58C-FEEA-6B42-8B87-B4E75DF786C5}">
            <x14:dataBar minLength="0" maxLength="100" border="1" negativeBarBorderColorSameAsPositive="0">
              <x14:cfvo type="num">
                <xm:f>100</xm:f>
              </x14:cfvo>
              <x14:cfvo type="autoMax"/>
              <x14:borderColor rgb="FFFFB628"/>
              <x14:negativeFillColor rgb="FFFF0000"/>
              <x14:negativeBorderColor rgb="FFFF0000"/>
              <x14:axisColor rgb="FF000000"/>
            </x14:dataBar>
          </x14:cfRule>
          <xm:sqref>K18 B8 G20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60EAF-13F1-8B43-9DA9-E1EFBA3CC7CC}">
  <sheetPr>
    <tabColor rgb="FF720040"/>
  </sheetPr>
  <dimension ref="A1:K43"/>
  <sheetViews>
    <sheetView zoomScale="130" zoomScaleNormal="130" workbookViewId="0">
      <pane ySplit="1" topLeftCell="A2" activePane="bottomLeft" state="frozen"/>
      <selection activeCell="B1" sqref="B1"/>
      <selection pane="bottomLeft" activeCell="L20" sqref="L20"/>
    </sheetView>
  </sheetViews>
  <sheetFormatPr baseColWidth="10" defaultRowHeight="16" x14ac:dyDescent="0.2"/>
  <cols>
    <col min="1" max="1" width="13.83203125" bestFit="1" customWidth="1"/>
    <col min="2" max="2" width="15.83203125" bestFit="1" customWidth="1"/>
    <col min="3" max="3" width="28.5" bestFit="1" customWidth="1"/>
    <col min="4" max="4" width="17.1640625" bestFit="1" customWidth="1"/>
    <col min="5" max="5" width="22" bestFit="1" customWidth="1"/>
    <col min="6" max="6" width="11.6640625" bestFit="1" customWidth="1"/>
    <col min="7" max="7" width="13.83203125" bestFit="1" customWidth="1"/>
    <col min="8" max="11" width="10.83203125" customWidth="1"/>
  </cols>
  <sheetData>
    <row r="1" spans="1:11" x14ac:dyDescent="0.2">
      <c r="A1" s="47" t="s">
        <v>3</v>
      </c>
      <c r="B1" s="47"/>
      <c r="C1" s="47"/>
      <c r="D1" s="47"/>
      <c r="E1" s="47"/>
      <c r="F1" s="47"/>
      <c r="G1" s="47"/>
      <c r="H1" s="47"/>
      <c r="I1" s="47"/>
      <c r="J1" s="47"/>
      <c r="K1" s="47"/>
    </row>
    <row r="2" spans="1:11" x14ac:dyDescent="0.2">
      <c r="A2" s="48" t="s">
        <v>6</v>
      </c>
      <c r="B2" s="48"/>
      <c r="C2" s="48"/>
      <c r="D2" s="48"/>
      <c r="E2" s="1"/>
      <c r="F2" s="13" t="s">
        <v>100</v>
      </c>
      <c r="G2" s="49" t="s">
        <v>97</v>
      </c>
      <c r="H2" s="49"/>
      <c r="I2" s="27" t="s">
        <v>98</v>
      </c>
      <c r="J2" s="27" t="s">
        <v>96</v>
      </c>
      <c r="K2" s="27" t="s">
        <v>109</v>
      </c>
    </row>
    <row r="3" spans="1:11" ht="16" customHeight="1" x14ac:dyDescent="0.2">
      <c r="A3" s="32" t="s">
        <v>73</v>
      </c>
      <c r="B3" s="27" t="s">
        <v>130</v>
      </c>
      <c r="C3" s="27" t="s">
        <v>103</v>
      </c>
      <c r="D3" s="27" t="s">
        <v>99</v>
      </c>
      <c r="E3" s="1"/>
      <c r="F3" s="27" t="s">
        <v>7</v>
      </c>
      <c r="G3" s="4">
        <v>0.5</v>
      </c>
      <c r="H3" s="4">
        <v>0.5</v>
      </c>
      <c r="I3" s="4">
        <v>1</v>
      </c>
      <c r="J3" s="4">
        <v>1</v>
      </c>
      <c r="K3" s="4">
        <v>1</v>
      </c>
    </row>
    <row r="4" spans="1:11" x14ac:dyDescent="0.2">
      <c r="A4" s="4">
        <v>0</v>
      </c>
      <c r="B4" s="4">
        <v>0.3</v>
      </c>
      <c r="C4" s="4">
        <v>0.5</v>
      </c>
      <c r="D4" s="2">
        <v>0</v>
      </c>
      <c r="E4" s="1"/>
      <c r="F4" s="27" t="s">
        <v>95</v>
      </c>
      <c r="G4" s="2">
        <v>500</v>
      </c>
      <c r="H4" s="2">
        <v>-400</v>
      </c>
      <c r="I4" s="2" cm="1">
        <f t="array" ref="I4">SUM(G4:H4*G3:H3)</f>
        <v>50</v>
      </c>
      <c r="J4" s="2">
        <v>300</v>
      </c>
      <c r="K4" s="2">
        <v>500</v>
      </c>
    </row>
    <row r="5" spans="1:11" x14ac:dyDescent="0.2">
      <c r="A5" s="1"/>
      <c r="B5" s="1"/>
      <c r="C5" s="1"/>
      <c r="D5" s="1"/>
      <c r="E5" s="1"/>
      <c r="F5" s="1"/>
      <c r="G5" s="1"/>
      <c r="H5" s="1"/>
      <c r="I5" s="1"/>
      <c r="J5" s="1"/>
      <c r="K5" s="1"/>
    </row>
    <row r="6" spans="1:11" x14ac:dyDescent="0.2">
      <c r="A6" s="53" t="s">
        <v>10</v>
      </c>
      <c r="B6" s="53"/>
      <c r="C6" s="53"/>
      <c r="D6" s="53"/>
      <c r="E6" s="53"/>
      <c r="F6" s="1"/>
      <c r="G6" s="53" t="s">
        <v>12</v>
      </c>
      <c r="H6" s="53"/>
      <c r="I6" s="53"/>
      <c r="J6" s="1"/>
      <c r="K6" s="1"/>
    </row>
    <row r="7" spans="1:11" x14ac:dyDescent="0.2">
      <c r="A7" s="35" t="s">
        <v>107</v>
      </c>
      <c r="B7" s="27" t="s">
        <v>110</v>
      </c>
      <c r="C7" s="27" t="s">
        <v>111</v>
      </c>
      <c r="D7" s="27" t="s">
        <v>105</v>
      </c>
      <c r="E7" s="27" t="s">
        <v>106</v>
      </c>
      <c r="F7" s="1"/>
      <c r="G7" s="36" t="s">
        <v>108</v>
      </c>
      <c r="H7" s="27" t="s">
        <v>15</v>
      </c>
      <c r="I7" s="27" t="s">
        <v>96</v>
      </c>
      <c r="J7" s="1"/>
      <c r="K7" s="1"/>
    </row>
    <row r="8" spans="1:11" x14ac:dyDescent="0.2">
      <c r="A8" s="27" t="s">
        <v>7</v>
      </c>
      <c r="B8" s="4">
        <v>0.5</v>
      </c>
      <c r="C8" s="4">
        <v>0.5</v>
      </c>
      <c r="D8" s="4">
        <v>0.5</v>
      </c>
      <c r="E8" s="4">
        <v>0.5</v>
      </c>
      <c r="F8" s="1"/>
      <c r="G8" s="27" t="s">
        <v>7</v>
      </c>
      <c r="H8" s="4">
        <v>1</v>
      </c>
      <c r="I8" s="4">
        <v>1</v>
      </c>
      <c r="J8" s="1"/>
    </row>
    <row r="9" spans="1:11" x14ac:dyDescent="0.2">
      <c r="A9" s="27" t="s">
        <v>104</v>
      </c>
      <c r="B9" s="2">
        <v>0</v>
      </c>
      <c r="C9" s="2">
        <v>0</v>
      </c>
      <c r="D9" s="2">
        <v>0</v>
      </c>
      <c r="E9" s="2">
        <f>IF(J4-ABS(H4)&gt;(1-C4)*J4,ABS(H4),(1-C4)*J4)</f>
        <v>150</v>
      </c>
      <c r="F9" s="1"/>
      <c r="G9" s="27" t="s">
        <v>104</v>
      </c>
      <c r="H9" s="2">
        <v>0</v>
      </c>
      <c r="I9" s="2">
        <v>0</v>
      </c>
      <c r="J9" s="1"/>
      <c r="K9" s="1"/>
    </row>
    <row r="10" spans="1:11" x14ac:dyDescent="0.2">
      <c r="A10" s="27" t="s">
        <v>102</v>
      </c>
      <c r="B10" s="5">
        <f>G4*B4</f>
        <v>150</v>
      </c>
      <c r="C10" s="5">
        <v>0</v>
      </c>
      <c r="D10" s="5">
        <f>J4*B4</f>
        <v>90</v>
      </c>
      <c r="E10" s="5">
        <f>(J4-E9)*B4</f>
        <v>45</v>
      </c>
      <c r="F10" s="1"/>
      <c r="G10" s="27" t="s">
        <v>102</v>
      </c>
      <c r="H10" s="5">
        <f>I4*B4</f>
        <v>15</v>
      </c>
      <c r="I10" s="5">
        <f>J4*B4</f>
        <v>90</v>
      </c>
    </row>
    <row r="11" spans="1:11" ht="16" customHeight="1" x14ac:dyDescent="0.2">
      <c r="A11" s="27" t="s">
        <v>101</v>
      </c>
      <c r="B11" s="5">
        <f>G4-B10</f>
        <v>350</v>
      </c>
      <c r="C11" s="5">
        <f>H4-C10</f>
        <v>-400</v>
      </c>
      <c r="D11" s="5">
        <f>J4-D10</f>
        <v>210</v>
      </c>
      <c r="E11" s="5">
        <f>J4-E10</f>
        <v>255</v>
      </c>
      <c r="F11" s="1"/>
      <c r="G11" s="27" t="s">
        <v>101</v>
      </c>
      <c r="H11" s="5">
        <f>I4-H10</f>
        <v>35</v>
      </c>
      <c r="I11" s="5">
        <f>J4-I10</f>
        <v>210</v>
      </c>
    </row>
    <row r="12" spans="1:11" x14ac:dyDescent="0.2">
      <c r="A12" s="1"/>
      <c r="B12" s="1"/>
      <c r="C12" s="1"/>
      <c r="D12" s="1"/>
      <c r="E12" s="1"/>
      <c r="F12" s="1"/>
      <c r="G12" s="1"/>
    </row>
    <row r="13" spans="1:11" x14ac:dyDescent="0.2">
      <c r="A13" s="53" t="s">
        <v>20</v>
      </c>
      <c r="B13" s="53"/>
      <c r="D13" s="51" t="s">
        <v>21</v>
      </c>
      <c r="E13" s="52"/>
      <c r="G13" s="1"/>
    </row>
    <row r="14" spans="1:11" x14ac:dyDescent="0.2">
      <c r="A14" s="27" t="s">
        <v>131</v>
      </c>
      <c r="B14" s="5" cm="1">
        <f t="array" ref="B14">SUM(H11:I11*H8:I8)</f>
        <v>245</v>
      </c>
      <c r="D14" s="50" t="s">
        <v>136</v>
      </c>
      <c r="E14" s="50"/>
      <c r="G14" s="1"/>
    </row>
    <row r="15" spans="1:11" x14ac:dyDescent="0.2">
      <c r="A15" s="27" t="s">
        <v>132</v>
      </c>
      <c r="B15" s="5" cm="1">
        <f t="array" ref="B15">SUM(B11:E11*B8:E8)</f>
        <v>207.5</v>
      </c>
      <c r="D15" s="50"/>
      <c r="E15" s="50"/>
      <c r="G15" s="1"/>
    </row>
    <row r="16" spans="1:11" x14ac:dyDescent="0.2">
      <c r="A16" s="50" t="s">
        <v>140</v>
      </c>
      <c r="B16" s="50"/>
      <c r="D16" s="50"/>
      <c r="E16" s="50"/>
      <c r="G16" s="1"/>
    </row>
    <row r="17" spans="1:11" x14ac:dyDescent="0.2">
      <c r="A17" s="50"/>
      <c r="B17" s="50"/>
      <c r="D17" s="50"/>
      <c r="E17" s="50"/>
      <c r="G17" s="1"/>
      <c r="H17" s="1"/>
      <c r="I17" s="1"/>
      <c r="J17" s="1"/>
      <c r="K17" s="1"/>
    </row>
    <row r="18" spans="1:11" x14ac:dyDescent="0.2">
      <c r="A18" s="50"/>
      <c r="B18" s="50"/>
      <c r="D18" s="50"/>
      <c r="E18" s="50"/>
      <c r="G18" s="1"/>
      <c r="H18" s="1"/>
      <c r="I18" s="1"/>
      <c r="J18" s="1"/>
      <c r="K18" s="1"/>
    </row>
    <row r="19" spans="1:11" x14ac:dyDescent="0.2">
      <c r="A19" s="50"/>
      <c r="B19" s="50"/>
      <c r="D19" s="50"/>
      <c r="E19" s="50"/>
      <c r="F19" s="1"/>
      <c r="G19" s="1"/>
      <c r="H19" s="1"/>
      <c r="I19" s="1"/>
      <c r="J19" s="1"/>
      <c r="K19" s="1"/>
    </row>
    <row r="20" spans="1:11" x14ac:dyDescent="0.2">
      <c r="A20" s="50"/>
      <c r="B20" s="50"/>
      <c r="D20" s="50"/>
      <c r="E20" s="50"/>
      <c r="F20" s="12"/>
      <c r="G20" s="12"/>
      <c r="H20" s="1"/>
      <c r="I20" s="1"/>
      <c r="J20" s="1"/>
      <c r="K20" s="1"/>
    </row>
    <row r="21" spans="1:11" ht="16" customHeight="1" x14ac:dyDescent="0.2">
      <c r="A21" s="50"/>
      <c r="B21" s="50"/>
      <c r="D21" s="50"/>
      <c r="E21" s="50"/>
      <c r="F21" s="12"/>
      <c r="G21" s="12"/>
      <c r="H21" s="1"/>
      <c r="I21" s="1"/>
      <c r="J21" s="1"/>
      <c r="K21" s="1"/>
    </row>
    <row r="22" spans="1:11" x14ac:dyDescent="0.2">
      <c r="A22" s="50"/>
      <c r="B22" s="50"/>
      <c r="D22" s="50"/>
      <c r="E22" s="50"/>
      <c r="F22" s="12"/>
      <c r="G22" s="12"/>
    </row>
    <row r="23" spans="1:11" ht="16" customHeight="1" x14ac:dyDescent="0.2">
      <c r="A23" s="50"/>
      <c r="B23" s="50"/>
      <c r="D23" s="50"/>
      <c r="E23" s="50"/>
      <c r="F23" s="12"/>
      <c r="G23" s="12"/>
    </row>
    <row r="24" spans="1:11" x14ac:dyDescent="0.2">
      <c r="F24" s="12"/>
      <c r="G24" s="12"/>
    </row>
    <row r="25" spans="1:11" x14ac:dyDescent="0.2">
      <c r="A25" s="53" t="s">
        <v>133</v>
      </c>
      <c r="B25" s="53"/>
      <c r="C25" s="53"/>
      <c r="D25" s="53"/>
      <c r="E25" s="53"/>
      <c r="F25" s="12"/>
      <c r="G25" s="54" t="s">
        <v>134</v>
      </c>
      <c r="H25" s="54"/>
      <c r="I25" s="54"/>
    </row>
    <row r="26" spans="1:11" ht="16" customHeight="1" x14ac:dyDescent="0.2">
      <c r="A26" s="35" t="s">
        <v>107</v>
      </c>
      <c r="B26" s="27" t="s">
        <v>110</v>
      </c>
      <c r="C26" s="27" t="s">
        <v>111</v>
      </c>
      <c r="D26" s="27" t="s">
        <v>112</v>
      </c>
      <c r="E26" s="27" t="s">
        <v>113</v>
      </c>
      <c r="F26" s="1"/>
      <c r="G26" s="36" t="s">
        <v>108</v>
      </c>
      <c r="H26" s="27" t="s">
        <v>15</v>
      </c>
      <c r="I26" s="27" t="s">
        <v>109</v>
      </c>
    </row>
    <row r="27" spans="1:11" x14ac:dyDescent="0.2">
      <c r="A27" s="27" t="s">
        <v>7</v>
      </c>
      <c r="B27" s="4">
        <v>0.5</v>
      </c>
      <c r="C27" s="4">
        <v>0.5</v>
      </c>
      <c r="D27" s="4">
        <v>0.5</v>
      </c>
      <c r="E27" s="4">
        <v>0.5</v>
      </c>
      <c r="F27" s="1"/>
      <c r="G27" s="27" t="s">
        <v>7</v>
      </c>
      <c r="H27" s="4">
        <v>1</v>
      </c>
      <c r="I27" s="4">
        <v>1</v>
      </c>
    </row>
    <row r="28" spans="1:11" x14ac:dyDescent="0.2">
      <c r="A28" s="27" t="s">
        <v>104</v>
      </c>
      <c r="B28" s="2">
        <v>0</v>
      </c>
      <c r="C28" s="2">
        <v>0</v>
      </c>
      <c r="D28" s="2">
        <v>0</v>
      </c>
      <c r="E28" s="2">
        <v>0</v>
      </c>
      <c r="F28" s="1"/>
      <c r="G28" s="27" t="s">
        <v>104</v>
      </c>
      <c r="H28" s="2">
        <v>0</v>
      </c>
      <c r="I28" s="2">
        <v>0</v>
      </c>
    </row>
    <row r="29" spans="1:11" ht="16" customHeight="1" x14ac:dyDescent="0.2">
      <c r="A29" s="27" t="s">
        <v>102</v>
      </c>
      <c r="B29" s="5">
        <v>150</v>
      </c>
      <c r="C29" s="5">
        <v>0</v>
      </c>
      <c r="D29" s="5">
        <f>K4*B$4</f>
        <v>150</v>
      </c>
      <c r="E29" s="5">
        <f>K4*$B$4</f>
        <v>150</v>
      </c>
      <c r="F29" s="1"/>
      <c r="G29" s="27" t="s">
        <v>102</v>
      </c>
      <c r="H29" s="5">
        <v>15</v>
      </c>
      <c r="I29" s="5">
        <v>150</v>
      </c>
    </row>
    <row r="30" spans="1:11" x14ac:dyDescent="0.2">
      <c r="A30" s="27" t="s">
        <v>101</v>
      </c>
      <c r="B30" s="5">
        <v>350</v>
      </c>
      <c r="C30" s="5">
        <v>-400</v>
      </c>
      <c r="D30" s="5">
        <f>$K$4-$D$29</f>
        <v>350</v>
      </c>
      <c r="E30" s="5">
        <f>$K$4-$D$29</f>
        <v>350</v>
      </c>
      <c r="F30" s="1"/>
      <c r="G30" s="27" t="s">
        <v>101</v>
      </c>
      <c r="H30" s="5">
        <v>35</v>
      </c>
      <c r="I30" s="5">
        <v>350</v>
      </c>
    </row>
    <row r="38" spans="1:5" x14ac:dyDescent="0.2">
      <c r="A38" s="1"/>
      <c r="B38" s="1"/>
      <c r="C38" s="1"/>
      <c r="D38" s="1"/>
      <c r="E38" s="1"/>
    </row>
    <row r="39" spans="1:5" x14ac:dyDescent="0.2">
      <c r="D39" s="1"/>
      <c r="E39" s="1"/>
    </row>
    <row r="40" spans="1:5" x14ac:dyDescent="0.2">
      <c r="D40" s="1"/>
      <c r="E40" s="1"/>
    </row>
    <row r="41" spans="1:5" x14ac:dyDescent="0.2">
      <c r="D41" s="1"/>
      <c r="E41" s="1"/>
    </row>
    <row r="42" spans="1:5" x14ac:dyDescent="0.2">
      <c r="D42" s="1"/>
      <c r="E42" s="1"/>
    </row>
    <row r="43" spans="1:5" x14ac:dyDescent="0.2">
      <c r="D43" s="1"/>
      <c r="E43" s="1"/>
    </row>
  </sheetData>
  <mergeCells count="11">
    <mergeCell ref="A25:E25"/>
    <mergeCell ref="A13:B13"/>
    <mergeCell ref="G6:I6"/>
    <mergeCell ref="A6:E6"/>
    <mergeCell ref="G25:I25"/>
    <mergeCell ref="A1:K1"/>
    <mergeCell ref="A2:D2"/>
    <mergeCell ref="G2:H2"/>
    <mergeCell ref="A16:B23"/>
    <mergeCell ref="D14:E23"/>
    <mergeCell ref="D13:E1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FDB8E-89FE-EA43-A1D7-B1BBBC97250B}">
  <sheetPr>
    <tabColor rgb="FF006A50"/>
  </sheetPr>
  <dimension ref="A1:O29"/>
  <sheetViews>
    <sheetView zoomScale="108" zoomScaleNormal="108" workbookViewId="0">
      <pane ySplit="1" topLeftCell="A2" activePane="bottomLeft" state="frozen"/>
      <selection pane="bottomLeft" activeCell="K16" sqref="K16"/>
    </sheetView>
  </sheetViews>
  <sheetFormatPr baseColWidth="10" defaultRowHeight="16" x14ac:dyDescent="0.2"/>
  <cols>
    <col min="1" max="1" width="19" bestFit="1" customWidth="1"/>
    <col min="2" max="2" width="11.1640625" bestFit="1" customWidth="1"/>
    <col min="3" max="3" width="13.83203125" bestFit="1" customWidth="1"/>
    <col min="5" max="5" width="19" bestFit="1" customWidth="1"/>
    <col min="6" max="6" width="11.1640625" bestFit="1" customWidth="1"/>
    <col min="7" max="7" width="13.83203125" bestFit="1" customWidth="1"/>
    <col min="9" max="9" width="20.5" bestFit="1" customWidth="1"/>
    <col min="10" max="10" width="13.1640625" bestFit="1" customWidth="1"/>
    <col min="11" max="11" width="13.83203125" bestFit="1" customWidth="1"/>
    <col min="13" max="13" width="20.5" bestFit="1" customWidth="1"/>
    <col min="14" max="14" width="11.33203125" bestFit="1" customWidth="1"/>
    <col min="15" max="15" width="13.83203125" bestFit="1" customWidth="1"/>
  </cols>
  <sheetData>
    <row r="1" spans="1:15" x14ac:dyDescent="0.2">
      <c r="A1" s="47" t="s">
        <v>2</v>
      </c>
      <c r="B1" s="47"/>
      <c r="C1" s="47"/>
      <c r="D1" s="47"/>
      <c r="E1" s="47"/>
      <c r="F1" s="47"/>
      <c r="G1" s="47"/>
      <c r="H1" s="47"/>
      <c r="I1" s="47"/>
      <c r="J1" s="47"/>
      <c r="K1" s="47"/>
      <c r="L1" s="47"/>
      <c r="M1" s="47"/>
      <c r="N1" s="47"/>
      <c r="O1" s="47"/>
    </row>
    <row r="2" spans="1:15" x14ac:dyDescent="0.2">
      <c r="A2" s="48" t="s">
        <v>6</v>
      </c>
      <c r="B2" s="48"/>
      <c r="C2" s="48"/>
      <c r="D2" s="48"/>
      <c r="E2" s="48"/>
      <c r="F2" s="48"/>
      <c r="G2" s="1"/>
      <c r="H2" s="7" t="s">
        <v>10</v>
      </c>
      <c r="I2" s="1"/>
      <c r="J2" s="1"/>
      <c r="K2" s="1"/>
      <c r="L2" s="1"/>
      <c r="M2" s="1"/>
      <c r="N2" s="1"/>
      <c r="O2" s="1"/>
    </row>
    <row r="3" spans="1:15" ht="15" customHeight="1" x14ac:dyDescent="0.2">
      <c r="A3" s="32" t="s">
        <v>73</v>
      </c>
      <c r="B3" s="27" t="s">
        <v>74</v>
      </c>
      <c r="C3" s="27" t="s">
        <v>75</v>
      </c>
      <c r="D3" s="27" t="s">
        <v>77</v>
      </c>
      <c r="E3" s="27" t="s">
        <v>48</v>
      </c>
      <c r="F3" s="27" t="s">
        <v>76</v>
      </c>
      <c r="G3" s="1"/>
      <c r="H3" s="27" t="s">
        <v>78</v>
      </c>
      <c r="I3" s="1"/>
      <c r="J3" s="1"/>
      <c r="K3" s="1"/>
      <c r="L3" s="1"/>
      <c r="M3" s="1"/>
      <c r="N3" s="1"/>
      <c r="O3" s="1"/>
    </row>
    <row r="4" spans="1:15" x14ac:dyDescent="0.2">
      <c r="A4" s="4">
        <v>0</v>
      </c>
      <c r="B4" s="2">
        <v>2400</v>
      </c>
      <c r="C4" s="2">
        <v>2200</v>
      </c>
      <c r="D4" s="2">
        <v>2050</v>
      </c>
      <c r="E4" s="2">
        <v>300</v>
      </c>
      <c r="F4" s="2">
        <v>520</v>
      </c>
      <c r="G4" s="1"/>
      <c r="H4" s="5">
        <f>F4-E4</f>
        <v>220</v>
      </c>
      <c r="I4" s="1"/>
      <c r="J4" s="1"/>
      <c r="K4" s="1"/>
      <c r="L4" s="1"/>
      <c r="M4" s="1"/>
      <c r="N4" s="1"/>
      <c r="O4" s="1"/>
    </row>
    <row r="5" spans="1:15" x14ac:dyDescent="0.2">
      <c r="A5" s="1"/>
      <c r="B5" s="1"/>
      <c r="C5" s="1"/>
      <c r="D5" s="1"/>
      <c r="E5" s="1"/>
      <c r="F5" s="1"/>
      <c r="G5" s="1"/>
      <c r="H5" s="1"/>
      <c r="I5" s="1"/>
      <c r="J5" s="1"/>
      <c r="K5" s="1"/>
      <c r="L5" s="1"/>
      <c r="M5" s="1"/>
      <c r="N5" s="1"/>
      <c r="O5" s="1"/>
    </row>
    <row r="6" spans="1:15" x14ac:dyDescent="0.2">
      <c r="A6" s="53" t="s">
        <v>12</v>
      </c>
      <c r="B6" s="53"/>
      <c r="C6" s="53"/>
      <c r="D6" s="1"/>
      <c r="E6" s="53" t="s">
        <v>58</v>
      </c>
      <c r="F6" s="53"/>
      <c r="G6" s="53"/>
      <c r="H6" s="1"/>
      <c r="I6" s="51" t="s">
        <v>60</v>
      </c>
      <c r="J6" s="56"/>
      <c r="K6" s="52"/>
      <c r="L6" s="1"/>
      <c r="M6" s="53" t="s">
        <v>71</v>
      </c>
      <c r="N6" s="53"/>
      <c r="O6" s="53"/>
    </row>
    <row r="7" spans="1:15" x14ac:dyDescent="0.2">
      <c r="A7" s="40" t="s">
        <v>50</v>
      </c>
      <c r="B7" s="27" t="s">
        <v>16</v>
      </c>
      <c r="C7" s="27" t="s">
        <v>15</v>
      </c>
      <c r="D7" s="1"/>
      <c r="E7" s="40" t="s">
        <v>50</v>
      </c>
      <c r="F7" s="27" t="s">
        <v>16</v>
      </c>
      <c r="G7" s="27" t="s">
        <v>15</v>
      </c>
      <c r="H7" s="1"/>
      <c r="I7" s="27"/>
      <c r="J7" s="27" t="s">
        <v>66</v>
      </c>
      <c r="K7" s="27" t="s">
        <v>67</v>
      </c>
      <c r="L7" s="1"/>
      <c r="M7" s="27"/>
      <c r="N7" s="27" t="s">
        <v>66</v>
      </c>
      <c r="O7" s="27" t="s">
        <v>67</v>
      </c>
    </row>
    <row r="8" spans="1:15" x14ac:dyDescent="0.2">
      <c r="A8" s="27" t="s">
        <v>49</v>
      </c>
      <c r="B8" s="2">
        <f>C8/(1+A4)</f>
        <v>2050</v>
      </c>
      <c r="C8" s="2">
        <f>D4</f>
        <v>2050</v>
      </c>
      <c r="D8" s="1"/>
      <c r="E8" s="27" t="s">
        <v>49</v>
      </c>
      <c r="F8" s="2">
        <v>2050</v>
      </c>
      <c r="G8" s="2">
        <v>2050</v>
      </c>
      <c r="H8" s="1"/>
      <c r="I8" s="27" t="s">
        <v>47</v>
      </c>
      <c r="J8" s="2">
        <v>2400</v>
      </c>
      <c r="K8" s="2">
        <f>C4</f>
        <v>2200</v>
      </c>
      <c r="L8" s="1"/>
      <c r="M8" s="27" t="s">
        <v>47</v>
      </c>
      <c r="N8" s="2">
        <v>2400</v>
      </c>
      <c r="O8" s="2">
        <v>2200</v>
      </c>
    </row>
    <row r="9" spans="1:15" x14ac:dyDescent="0.2">
      <c r="A9" s="27" t="s">
        <v>18</v>
      </c>
      <c r="B9" s="2">
        <f>IF(B8&lt;$B$4,B8,$B$4)</f>
        <v>2050</v>
      </c>
      <c r="C9" s="2">
        <f>IF(C8&lt;$B$4,C8,$B$4)</f>
        <v>2050</v>
      </c>
      <c r="D9" s="1"/>
      <c r="E9" s="27" t="s">
        <v>18</v>
      </c>
      <c r="F9" s="2">
        <f>IF($D$4-$C$4&lt;0,$D$4,$C$4)</f>
        <v>2050</v>
      </c>
      <c r="G9" s="2">
        <f>IF($D$4-$C$4&lt;0,$D$4,$C$4)</f>
        <v>2050</v>
      </c>
      <c r="H9" s="1"/>
      <c r="I9" s="27" t="s">
        <v>64</v>
      </c>
      <c r="J9" s="2">
        <v>1200</v>
      </c>
      <c r="K9" s="2">
        <v>1200</v>
      </c>
      <c r="L9" s="1"/>
      <c r="M9" s="27" t="s">
        <v>64</v>
      </c>
      <c r="N9" s="2">
        <v>1200</v>
      </c>
      <c r="O9" s="2">
        <v>1200</v>
      </c>
    </row>
    <row r="10" spans="1:15" x14ac:dyDescent="0.2">
      <c r="A10" s="27" t="s">
        <v>19</v>
      </c>
      <c r="B10" s="2">
        <f>B8-B9</f>
        <v>0</v>
      </c>
      <c r="C10" s="2">
        <f>C8-C9</f>
        <v>0</v>
      </c>
      <c r="D10" s="1"/>
      <c r="E10" s="27" t="s">
        <v>19</v>
      </c>
      <c r="F10" s="2">
        <v>0</v>
      </c>
      <c r="G10" s="2">
        <v>0</v>
      </c>
      <c r="H10" s="1"/>
      <c r="I10" s="27" t="s">
        <v>68</v>
      </c>
      <c r="J10" s="2">
        <f>J8/J9</f>
        <v>2</v>
      </c>
      <c r="K10" s="11">
        <f>K8/K9</f>
        <v>1.8333333333333333</v>
      </c>
      <c r="L10" s="1"/>
      <c r="M10" s="27" t="s">
        <v>68</v>
      </c>
      <c r="N10" s="2">
        <v>2</v>
      </c>
      <c r="O10" s="11">
        <v>1.8333333333333333</v>
      </c>
    </row>
    <row r="11" spans="1:15" x14ac:dyDescent="0.2">
      <c r="A11" s="1"/>
      <c r="B11" s="1"/>
      <c r="C11" s="1"/>
      <c r="D11" s="1"/>
      <c r="E11" s="1"/>
      <c r="F11" s="1"/>
      <c r="G11" s="1"/>
      <c r="H11" s="1"/>
      <c r="I11" s="1"/>
      <c r="J11" s="1"/>
      <c r="K11" s="1"/>
      <c r="L11" s="1"/>
      <c r="M11" s="1"/>
      <c r="N11" s="1"/>
      <c r="O11" s="1"/>
    </row>
    <row r="12" spans="1:15" x14ac:dyDescent="0.2">
      <c r="A12" s="34" t="s">
        <v>51</v>
      </c>
      <c r="B12" s="26" t="s">
        <v>16</v>
      </c>
      <c r="C12" s="26" t="s">
        <v>15</v>
      </c>
      <c r="D12" s="1"/>
      <c r="E12" s="34" t="s">
        <v>51</v>
      </c>
      <c r="F12" s="27" t="s">
        <v>16</v>
      </c>
      <c r="G12" s="27" t="s">
        <v>15</v>
      </c>
      <c r="H12" s="1"/>
      <c r="I12" s="27" t="s">
        <v>61</v>
      </c>
      <c r="J12" s="27" t="s">
        <v>62</v>
      </c>
      <c r="K12" s="27" t="s">
        <v>63</v>
      </c>
      <c r="L12" s="1"/>
      <c r="M12" s="27" t="s">
        <v>61</v>
      </c>
      <c r="N12" s="27" t="s">
        <v>62</v>
      </c>
      <c r="O12" s="27" t="s">
        <v>63</v>
      </c>
    </row>
    <row r="13" spans="1:15" x14ac:dyDescent="0.2">
      <c r="A13" s="27" t="s">
        <v>49</v>
      </c>
      <c r="B13" s="2">
        <v>2050</v>
      </c>
      <c r="C13" s="2">
        <f>D4</f>
        <v>2050</v>
      </c>
      <c r="D13" s="1"/>
      <c r="E13" s="27" t="s">
        <v>49</v>
      </c>
      <c r="F13" s="2">
        <f>$D$4</f>
        <v>2050</v>
      </c>
      <c r="G13" s="2">
        <f>$D$4</f>
        <v>2050</v>
      </c>
      <c r="H13" s="1"/>
      <c r="I13" s="27" t="s">
        <v>64</v>
      </c>
      <c r="J13" s="2">
        <v>1199</v>
      </c>
      <c r="K13" s="2">
        <v>1</v>
      </c>
      <c r="L13" s="1"/>
      <c r="M13" s="27" t="s">
        <v>64</v>
      </c>
      <c r="N13" s="2">
        <v>1</v>
      </c>
      <c r="O13" s="2">
        <v>1199</v>
      </c>
    </row>
    <row r="14" spans="1:15" x14ac:dyDescent="0.2">
      <c r="A14" s="27" t="s">
        <v>76</v>
      </c>
      <c r="B14" s="2">
        <v>520</v>
      </c>
      <c r="C14" s="2">
        <f>F4</f>
        <v>520</v>
      </c>
      <c r="D14" s="1"/>
      <c r="E14" s="27" t="s">
        <v>76</v>
      </c>
      <c r="F14" s="2">
        <f>$F$4</f>
        <v>520</v>
      </c>
      <c r="G14" s="2">
        <f>$F$4</f>
        <v>520</v>
      </c>
      <c r="H14" s="1"/>
      <c r="I14" s="27" t="s">
        <v>65</v>
      </c>
      <c r="J14" s="11">
        <f>K10</f>
        <v>1.8333333333333333</v>
      </c>
      <c r="K14" s="2">
        <f>J10</f>
        <v>2</v>
      </c>
      <c r="L14" s="1"/>
      <c r="M14" s="27" t="s">
        <v>65</v>
      </c>
      <c r="N14" s="11">
        <f>O10</f>
        <v>1.8333333333333333</v>
      </c>
      <c r="O14" s="2">
        <f>N10</f>
        <v>2</v>
      </c>
    </row>
    <row r="15" spans="1:15" x14ac:dyDescent="0.2">
      <c r="A15" s="27" t="s">
        <v>52</v>
      </c>
      <c r="B15" s="2">
        <v>2570</v>
      </c>
      <c r="C15" s="2">
        <f>C13+C14</f>
        <v>2570</v>
      </c>
      <c r="D15" s="1"/>
      <c r="E15" s="27" t="s">
        <v>52</v>
      </c>
      <c r="F15" s="2">
        <f>F13+F14</f>
        <v>2570</v>
      </c>
      <c r="G15" s="2">
        <f>G13+G14</f>
        <v>2570</v>
      </c>
      <c r="H15" s="1"/>
      <c r="I15" s="27" t="s">
        <v>69</v>
      </c>
      <c r="J15" s="11">
        <f>J13*J14</f>
        <v>2198.1666666666665</v>
      </c>
      <c r="K15" s="2">
        <f>K13*K14</f>
        <v>2</v>
      </c>
      <c r="L15" s="1"/>
      <c r="M15" s="27" t="s">
        <v>69</v>
      </c>
      <c r="N15" s="11">
        <f>N14*N13</f>
        <v>1.8333333333333333</v>
      </c>
      <c r="O15" s="2">
        <f>O14*O13</f>
        <v>2398</v>
      </c>
    </row>
    <row r="16" spans="1:15" x14ac:dyDescent="0.2">
      <c r="A16" s="27" t="s">
        <v>18</v>
      </c>
      <c r="B16" s="2">
        <v>2400</v>
      </c>
      <c r="C16" s="2">
        <f>IF(C15-B4&lt;0,C15,B4)</f>
        <v>2400</v>
      </c>
      <c r="D16" s="1"/>
      <c r="E16" s="27" t="s">
        <v>18</v>
      </c>
      <c r="F16" s="2">
        <f>$C$4</f>
        <v>2200</v>
      </c>
      <c r="G16" s="2">
        <f>$C$4</f>
        <v>2200</v>
      </c>
      <c r="H16" s="1"/>
      <c r="I16" s="1"/>
      <c r="J16" s="1"/>
      <c r="K16" s="1"/>
      <c r="L16" s="1"/>
      <c r="M16" s="1"/>
      <c r="N16" s="1"/>
      <c r="O16" s="1"/>
    </row>
    <row r="17" spans="1:15" x14ac:dyDescent="0.2">
      <c r="A17" s="27" t="s">
        <v>19</v>
      </c>
      <c r="B17" s="2">
        <v>170</v>
      </c>
      <c r="C17" s="2">
        <f>C15-C16</f>
        <v>170</v>
      </c>
      <c r="D17" s="1"/>
      <c r="E17" s="27" t="s">
        <v>19</v>
      </c>
      <c r="F17" s="2">
        <f>F15-F16</f>
        <v>370</v>
      </c>
      <c r="G17" s="2">
        <f>G15-G16</f>
        <v>370</v>
      </c>
      <c r="H17" s="1"/>
      <c r="I17" s="1"/>
      <c r="J17" s="1"/>
      <c r="K17" s="1"/>
      <c r="L17" s="1"/>
      <c r="M17" s="1"/>
      <c r="N17" s="1"/>
      <c r="O17" s="1"/>
    </row>
    <row r="18" spans="1:15" x14ac:dyDescent="0.2">
      <c r="A18" s="1"/>
      <c r="B18" s="1"/>
      <c r="C18" s="1"/>
      <c r="D18" s="1"/>
      <c r="E18" s="1"/>
      <c r="F18" s="1"/>
      <c r="G18" s="1"/>
      <c r="H18" s="1"/>
      <c r="I18" s="1"/>
      <c r="J18" s="1"/>
      <c r="K18" s="1"/>
      <c r="L18" s="1"/>
      <c r="M18" s="1"/>
      <c r="N18" s="1"/>
      <c r="O18" s="1"/>
    </row>
    <row r="19" spans="1:15" x14ac:dyDescent="0.2">
      <c r="A19" s="27"/>
      <c r="B19" s="34" t="s">
        <v>51</v>
      </c>
      <c r="C19" s="40" t="s">
        <v>50</v>
      </c>
      <c r="D19" s="1"/>
      <c r="E19" s="27"/>
      <c r="F19" s="34" t="s">
        <v>51</v>
      </c>
      <c r="G19" s="40" t="s">
        <v>50</v>
      </c>
      <c r="H19" s="1"/>
      <c r="I19" s="27"/>
      <c r="J19" s="34" t="s">
        <v>51</v>
      </c>
      <c r="K19" s="40" t="s">
        <v>50</v>
      </c>
      <c r="L19" s="1"/>
      <c r="M19" s="27"/>
      <c r="N19" s="34" t="s">
        <v>51</v>
      </c>
      <c r="O19" s="40" t="s">
        <v>50</v>
      </c>
    </row>
    <row r="20" spans="1:15" x14ac:dyDescent="0.2">
      <c r="A20" s="27" t="s">
        <v>19</v>
      </c>
      <c r="B20" s="2">
        <f>B17</f>
        <v>170</v>
      </c>
      <c r="C20" s="2">
        <f>B10</f>
        <v>0</v>
      </c>
      <c r="D20" s="1"/>
      <c r="E20" s="27" t="s">
        <v>19</v>
      </c>
      <c r="F20" s="2">
        <f>F17</f>
        <v>370</v>
      </c>
      <c r="G20" s="2">
        <f>F10</f>
        <v>0</v>
      </c>
      <c r="H20" s="1"/>
      <c r="I20" s="27" t="s">
        <v>19</v>
      </c>
      <c r="J20" s="31">
        <f>F15-(J15+K15)</f>
        <v>369.83333333333348</v>
      </c>
      <c r="K20" s="2">
        <f>F10</f>
        <v>0</v>
      </c>
      <c r="L20" s="1"/>
      <c r="M20" s="27" t="s">
        <v>19</v>
      </c>
      <c r="N20" s="11">
        <f>F15-(O15+N15)</f>
        <v>170.16666666666652</v>
      </c>
      <c r="O20" s="2">
        <f>J10</f>
        <v>2</v>
      </c>
    </row>
    <row r="21" spans="1:15" x14ac:dyDescent="0.2">
      <c r="A21" s="27" t="s">
        <v>53</v>
      </c>
      <c r="B21" s="28">
        <f>-E4</f>
        <v>-300</v>
      </c>
      <c r="C21" s="2" t="s">
        <v>55</v>
      </c>
      <c r="D21" s="1"/>
      <c r="E21" s="27" t="s">
        <v>53</v>
      </c>
      <c r="F21" s="28">
        <f>-E4</f>
        <v>-300</v>
      </c>
      <c r="G21" s="2" t="s">
        <v>55</v>
      </c>
      <c r="H21" s="1"/>
      <c r="I21" s="27" t="s">
        <v>53</v>
      </c>
      <c r="J21" s="28">
        <f>-E4</f>
        <v>-300</v>
      </c>
      <c r="K21" s="2" t="s">
        <v>55</v>
      </c>
      <c r="L21" s="1"/>
      <c r="M21" s="27" t="s">
        <v>53</v>
      </c>
      <c r="N21" s="28">
        <f>-E4</f>
        <v>-300</v>
      </c>
      <c r="O21" s="2" t="s">
        <v>55</v>
      </c>
    </row>
    <row r="22" spans="1:15" ht="16" customHeight="1" x14ac:dyDescent="0.2">
      <c r="A22" s="27" t="s">
        <v>54</v>
      </c>
      <c r="B22" s="29">
        <f>B20+B21</f>
        <v>-130</v>
      </c>
      <c r="C22" s="2">
        <v>0</v>
      </c>
      <c r="D22" s="1"/>
      <c r="E22" s="27" t="s">
        <v>54</v>
      </c>
      <c r="F22" s="30">
        <f>SUM(F20:F21)</f>
        <v>70</v>
      </c>
      <c r="G22" s="2">
        <f>G20</f>
        <v>0</v>
      </c>
      <c r="H22" s="1"/>
      <c r="I22" s="27" t="s">
        <v>54</v>
      </c>
      <c r="J22" s="38">
        <f>SUM(J20:J21)</f>
        <v>69.833333333333485</v>
      </c>
      <c r="K22" s="2">
        <v>0</v>
      </c>
      <c r="L22" s="1"/>
      <c r="M22" s="27" t="s">
        <v>54</v>
      </c>
      <c r="N22" s="37">
        <f>SUM(N20:N21)</f>
        <v>-129.83333333333348</v>
      </c>
      <c r="O22" s="2">
        <v>0</v>
      </c>
    </row>
    <row r="23" spans="1:15" x14ac:dyDescent="0.2">
      <c r="A23" s="73" t="s">
        <v>57</v>
      </c>
      <c r="B23" s="74"/>
      <c r="C23" s="75"/>
      <c r="D23" s="1"/>
      <c r="E23" s="73" t="s">
        <v>56</v>
      </c>
      <c r="F23" s="74"/>
      <c r="G23" s="75"/>
      <c r="H23" s="1"/>
      <c r="I23" s="1"/>
      <c r="J23" s="1"/>
      <c r="K23" s="1"/>
      <c r="L23" s="1"/>
      <c r="M23" s="1"/>
      <c r="N23" s="1"/>
      <c r="O23" s="1"/>
    </row>
    <row r="24" spans="1:15" ht="16" customHeight="1" x14ac:dyDescent="0.2">
      <c r="A24" s="1"/>
      <c r="B24" s="1"/>
      <c r="C24" s="1"/>
      <c r="D24" s="1"/>
      <c r="E24" s="1"/>
      <c r="F24" s="1"/>
      <c r="G24" s="1"/>
      <c r="H24" s="1"/>
      <c r="I24" s="50" t="s">
        <v>70</v>
      </c>
      <c r="J24" s="50"/>
      <c r="K24" s="50"/>
      <c r="L24" s="1"/>
      <c r="M24" s="76" t="s">
        <v>72</v>
      </c>
      <c r="N24" s="77"/>
      <c r="O24" s="78"/>
    </row>
    <row r="25" spans="1:15" x14ac:dyDescent="0.2">
      <c r="A25" s="53" t="s">
        <v>59</v>
      </c>
      <c r="B25" s="50" t="s">
        <v>137</v>
      </c>
      <c r="C25" s="50"/>
      <c r="D25" s="50"/>
      <c r="E25" s="50"/>
      <c r="F25" s="50"/>
      <c r="G25" s="50"/>
      <c r="H25" s="1"/>
      <c r="I25" s="50"/>
      <c r="J25" s="50"/>
      <c r="K25" s="50"/>
      <c r="L25" s="1"/>
      <c r="M25" s="79"/>
      <c r="N25" s="80"/>
      <c r="O25" s="81"/>
    </row>
    <row r="26" spans="1:15" x14ac:dyDescent="0.2">
      <c r="A26" s="53"/>
      <c r="B26" s="50"/>
      <c r="C26" s="50"/>
      <c r="D26" s="50"/>
      <c r="E26" s="50"/>
      <c r="F26" s="50"/>
      <c r="G26" s="50"/>
      <c r="H26" s="1"/>
      <c r="I26" s="50"/>
      <c r="J26" s="50"/>
      <c r="K26" s="50"/>
      <c r="L26" s="1"/>
      <c r="M26" s="82"/>
      <c r="N26" s="83"/>
      <c r="O26" s="84"/>
    </row>
    <row r="27" spans="1:15" x14ac:dyDescent="0.2">
      <c r="A27" s="1"/>
      <c r="B27" s="1"/>
      <c r="C27" s="1"/>
      <c r="D27" s="1"/>
      <c r="E27" s="1"/>
      <c r="F27" s="1"/>
      <c r="G27" s="1"/>
      <c r="H27" s="1"/>
      <c r="L27" s="1"/>
      <c r="M27" s="1"/>
      <c r="N27" s="1"/>
      <c r="O27" s="1"/>
    </row>
    <row r="28" spans="1:15" x14ac:dyDescent="0.2">
      <c r="H28" s="1"/>
      <c r="L28" s="1"/>
    </row>
    <row r="29" spans="1:15" x14ac:dyDescent="0.2">
      <c r="H29" s="1"/>
      <c r="I29" s="1"/>
      <c r="J29" s="1"/>
      <c r="K29" s="1"/>
      <c r="L29" s="1"/>
    </row>
  </sheetData>
  <mergeCells count="12">
    <mergeCell ref="E23:G23"/>
    <mergeCell ref="M24:O26"/>
    <mergeCell ref="A23:C23"/>
    <mergeCell ref="B25:G26"/>
    <mergeCell ref="A25:A26"/>
    <mergeCell ref="I24:K26"/>
    <mergeCell ref="A1:O1"/>
    <mergeCell ref="A2:F2"/>
    <mergeCell ref="M6:O6"/>
    <mergeCell ref="I6:K6"/>
    <mergeCell ref="E6:G6"/>
    <mergeCell ref="A6:C6"/>
  </mergeCells>
  <conditionalFormatting sqref="K10 O10">
    <cfRule type="iconSet" priority="1">
      <iconSet iconSet="3Arrows">
        <cfvo type="percent" val="0"/>
        <cfvo type="num" val="3" gte="0"/>
        <cfvo type="num" val="3" gte="0"/>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5" id="{4149073A-E88D-224F-BD90-9E652BA36449}">
            <x14:iconSet iconSet="3Triangles">
              <x14:cfvo type="percent">
                <xm:f>0</xm:f>
              </x14:cfvo>
              <x14:cfvo type="num">
                <xm:f>0</xm:f>
              </x14:cfvo>
              <x14:cfvo type="num" gte="0">
                <xm:f>0</xm:f>
              </x14:cfvo>
            </x14:iconSet>
          </x14:cfRule>
          <xm:sqref>B10 B17</xm:sqref>
        </x14:conditionalFormatting>
        <x14:conditionalFormatting xmlns:xm="http://schemas.microsoft.com/office/excel/2006/main">
          <x14:cfRule type="iconSet" priority="7" id="{D40EB9AA-6374-3640-8C90-CB5E7DD1A79C}">
            <x14:iconSet iconSet="3Triangles">
              <x14:cfvo type="percent">
                <xm:f>0</xm:f>
              </x14:cfvo>
              <x14:cfvo type="num">
                <xm:f>0</xm:f>
              </x14:cfvo>
              <x14:cfvo type="num" gte="0">
                <xm:f>0</xm:f>
              </x14:cfvo>
            </x14:iconSet>
          </x14:cfRule>
          <xm:sqref>B22:C22</xm:sqref>
        </x14:conditionalFormatting>
        <x14:conditionalFormatting xmlns:xm="http://schemas.microsoft.com/office/excel/2006/main">
          <x14:cfRule type="iconSet" priority="4" id="{22F4BFF4-EABF-7843-BD19-6BB87A6D6FD6}">
            <x14:iconSet iconSet="3Triangles">
              <x14:cfvo type="percent">
                <xm:f>0</xm:f>
              </x14:cfvo>
              <x14:cfvo type="num">
                <xm:f>0</xm:f>
              </x14:cfvo>
              <x14:cfvo type="num" gte="0">
                <xm:f>0</xm:f>
              </x14:cfvo>
            </x14:iconSet>
          </x14:cfRule>
          <xm:sqref>F22:G22 F17 F10</xm:sqref>
        </x14:conditionalFormatting>
        <x14:conditionalFormatting xmlns:xm="http://schemas.microsoft.com/office/excel/2006/main">
          <x14:cfRule type="iconSet" priority="3" id="{87848BDF-D5F9-8743-96B5-1D9061DE47FD}">
            <x14:iconSet iconSet="3Triangles">
              <x14:cfvo type="percent">
                <xm:f>0</xm:f>
              </x14:cfvo>
              <x14:cfvo type="num">
                <xm:f>0</xm:f>
              </x14:cfvo>
              <x14:cfvo type="num" gte="0">
                <xm:f>0</xm:f>
              </x14:cfvo>
            </x14:iconSet>
          </x14:cfRule>
          <xm:sqref>J22:K22</xm:sqref>
        </x14:conditionalFormatting>
        <x14:conditionalFormatting xmlns:xm="http://schemas.microsoft.com/office/excel/2006/main">
          <x14:cfRule type="iconSet" priority="2" id="{864CCD54-862F-6B41-B74A-61F3ADE14B56}">
            <x14:iconSet iconSet="3Triangles">
              <x14:cfvo type="percent">
                <xm:f>0</xm:f>
              </x14:cfvo>
              <x14:cfvo type="num">
                <xm:f>0</xm:f>
              </x14:cfvo>
              <x14:cfvo type="num" gte="0">
                <xm:f>0</xm:f>
              </x14:cfvo>
            </x14:iconSet>
          </x14:cfRule>
          <xm:sqref>N22:O22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779E4-44D4-994D-9083-1B707731392C}">
  <sheetPr>
    <tabColor rgb="FF764115"/>
  </sheetPr>
  <dimension ref="A1:H17"/>
  <sheetViews>
    <sheetView tabSelected="1" zoomScale="184" zoomScaleNormal="184" workbookViewId="0">
      <pane ySplit="1" topLeftCell="A2" activePane="bottomLeft" state="frozen"/>
      <selection pane="bottomLeft" activeCell="D12" sqref="D12"/>
    </sheetView>
  </sheetViews>
  <sheetFormatPr baseColWidth="10" defaultRowHeight="16" x14ac:dyDescent="0.2"/>
  <cols>
    <col min="1" max="1" width="21" bestFit="1" customWidth="1"/>
    <col min="2" max="2" width="14.33203125" bestFit="1" customWidth="1"/>
    <col min="3" max="3" width="13.83203125" bestFit="1" customWidth="1"/>
    <col min="4" max="4" width="12.33203125" bestFit="1" customWidth="1"/>
    <col min="7" max="8" width="14.33203125" bestFit="1" customWidth="1"/>
  </cols>
  <sheetData>
    <row r="1" spans="1:8" x14ac:dyDescent="0.2">
      <c r="A1" s="47" t="s">
        <v>1</v>
      </c>
      <c r="B1" s="47"/>
      <c r="C1" s="47"/>
      <c r="D1" s="47"/>
      <c r="E1" s="47"/>
      <c r="F1" s="47"/>
      <c r="G1" s="47"/>
      <c r="H1" s="47"/>
    </row>
    <row r="2" spans="1:8" x14ac:dyDescent="0.2">
      <c r="A2" s="48" t="s">
        <v>6</v>
      </c>
      <c r="B2" s="48"/>
      <c r="C2" s="48"/>
      <c r="D2" s="48"/>
      <c r="E2" s="48"/>
      <c r="F2" s="48"/>
      <c r="G2" s="48"/>
      <c r="H2" s="48"/>
    </row>
    <row r="3" spans="1:8" ht="25" customHeight="1" x14ac:dyDescent="0.2">
      <c r="A3" s="41" t="s">
        <v>79</v>
      </c>
      <c r="B3" s="42" t="s">
        <v>82</v>
      </c>
      <c r="C3" s="43" t="s">
        <v>83</v>
      </c>
      <c r="D3" s="42" t="s">
        <v>84</v>
      </c>
      <c r="E3" s="33"/>
      <c r="F3" s="43" t="s">
        <v>80</v>
      </c>
      <c r="G3" s="42" t="s">
        <v>85</v>
      </c>
      <c r="H3" s="46" t="s">
        <v>86</v>
      </c>
    </row>
    <row r="4" spans="1:8" x14ac:dyDescent="0.2">
      <c r="A4" s="85">
        <v>2000000</v>
      </c>
      <c r="B4" s="44">
        <v>40000000</v>
      </c>
      <c r="C4" s="45">
        <v>-3000000</v>
      </c>
      <c r="D4" s="45">
        <v>-300000</v>
      </c>
      <c r="E4" s="1"/>
      <c r="F4" s="27" t="s">
        <v>81</v>
      </c>
      <c r="G4" s="4">
        <v>0.5</v>
      </c>
      <c r="H4" s="4">
        <v>0.5</v>
      </c>
    </row>
    <row r="5" spans="1:8" x14ac:dyDescent="0.2">
      <c r="A5" s="1"/>
      <c r="B5" s="1"/>
      <c r="C5" s="1"/>
      <c r="D5" s="1"/>
      <c r="E5" s="1"/>
      <c r="F5" s="27" t="s">
        <v>19</v>
      </c>
      <c r="G5" s="44">
        <f>B4</f>
        <v>40000000</v>
      </c>
      <c r="H5" s="44">
        <f>B4+C4</f>
        <v>37000000</v>
      </c>
    </row>
    <row r="6" spans="1:8" x14ac:dyDescent="0.2">
      <c r="A6" s="53" t="s">
        <v>10</v>
      </c>
      <c r="B6" s="53"/>
      <c r="C6" s="1"/>
      <c r="D6" s="1"/>
      <c r="E6" s="1"/>
      <c r="F6" s="1"/>
      <c r="G6" s="1"/>
      <c r="H6" s="1"/>
    </row>
    <row r="7" spans="1:8" x14ac:dyDescent="0.2">
      <c r="A7" s="27" t="s">
        <v>87</v>
      </c>
      <c r="B7" s="44" cm="1">
        <f t="array" ref="B7">SUM(G5:H5*G4:H4)</f>
        <v>38500000</v>
      </c>
      <c r="C7" s="1"/>
      <c r="D7" s="1"/>
      <c r="E7" s="53" t="s">
        <v>12</v>
      </c>
      <c r="F7" s="53"/>
      <c r="G7" s="53"/>
      <c r="H7" s="53"/>
    </row>
    <row r="8" spans="1:8" x14ac:dyDescent="0.2">
      <c r="A8" s="27" t="s">
        <v>88</v>
      </c>
      <c r="B8" s="45">
        <f>B7-B4</f>
        <v>-1500000</v>
      </c>
      <c r="C8" s="1"/>
      <c r="D8" s="1"/>
      <c r="E8" s="49" t="s">
        <v>90</v>
      </c>
      <c r="F8" s="49"/>
      <c r="G8" s="49"/>
      <c r="H8" s="2">
        <v>1</v>
      </c>
    </row>
    <row r="9" spans="1:8" x14ac:dyDescent="0.2">
      <c r="A9" s="27" t="s">
        <v>94</v>
      </c>
      <c r="B9" s="30" t="str">
        <f>IF(B8&lt;D4,"YES","NO")</f>
        <v>YES</v>
      </c>
      <c r="C9" s="1"/>
      <c r="D9" s="1"/>
      <c r="E9" s="49" t="s">
        <v>89</v>
      </c>
      <c r="F9" s="49"/>
      <c r="G9" s="49"/>
      <c r="H9" s="2">
        <f>A4/H8</f>
        <v>2000000</v>
      </c>
    </row>
    <row r="10" spans="1:8" x14ac:dyDescent="0.2">
      <c r="A10" s="1"/>
      <c r="B10" s="1"/>
      <c r="C10" s="1"/>
      <c r="D10" s="1"/>
      <c r="E10" s="49" t="s">
        <v>91</v>
      </c>
      <c r="F10" s="49"/>
      <c r="G10" s="49"/>
      <c r="H10" s="45">
        <f>B8/H9</f>
        <v>-0.75</v>
      </c>
    </row>
    <row r="11" spans="1:8" x14ac:dyDescent="0.2">
      <c r="A11" s="53" t="s">
        <v>20</v>
      </c>
      <c r="B11" s="53"/>
      <c r="C11" s="1"/>
      <c r="D11" s="1"/>
      <c r="E11" s="49" t="s">
        <v>94</v>
      </c>
      <c r="F11" s="49"/>
      <c r="G11" s="49"/>
      <c r="H11" s="29" t="str">
        <f>IF(H10&lt;D4,"YES","NO")</f>
        <v>NO</v>
      </c>
    </row>
    <row r="12" spans="1:8" x14ac:dyDescent="0.2">
      <c r="A12" s="27" t="s">
        <v>92</v>
      </c>
      <c r="B12" s="44">
        <f>B4/A4</f>
        <v>20</v>
      </c>
      <c r="C12" s="1"/>
      <c r="D12" s="1"/>
      <c r="E12" s="1"/>
      <c r="F12" s="1"/>
      <c r="G12" s="1"/>
      <c r="H12" s="1"/>
    </row>
    <row r="13" spans="1:8" x14ac:dyDescent="0.2">
      <c r="A13" s="27" t="s">
        <v>93</v>
      </c>
      <c r="B13" s="85">
        <f>-D4/B12</f>
        <v>15000</v>
      </c>
      <c r="C13" s="86"/>
      <c r="D13" s="1"/>
      <c r="E13" s="1"/>
      <c r="F13" s="1"/>
      <c r="G13" s="1"/>
      <c r="H13" s="1"/>
    </row>
    <row r="14" spans="1:8" x14ac:dyDescent="0.2">
      <c r="A14" s="1"/>
      <c r="B14" s="1"/>
      <c r="C14" s="1"/>
      <c r="D14" s="1"/>
      <c r="E14" s="1"/>
      <c r="F14" s="1"/>
      <c r="G14" s="1"/>
      <c r="H14" s="1"/>
    </row>
    <row r="15" spans="1:8" x14ac:dyDescent="0.2">
      <c r="A15" s="53" t="s">
        <v>21</v>
      </c>
      <c r="B15" s="50" t="s">
        <v>138</v>
      </c>
      <c r="C15" s="50"/>
      <c r="D15" s="50"/>
      <c r="E15" s="50"/>
      <c r="F15" s="50"/>
      <c r="G15" s="50"/>
      <c r="H15" s="50"/>
    </row>
    <row r="16" spans="1:8" x14ac:dyDescent="0.2">
      <c r="A16" s="53"/>
      <c r="B16" s="50"/>
      <c r="C16" s="50"/>
      <c r="D16" s="50"/>
      <c r="E16" s="50"/>
      <c r="F16" s="50"/>
      <c r="G16" s="50"/>
      <c r="H16" s="50"/>
    </row>
    <row r="17" spans="1:8" x14ac:dyDescent="0.2">
      <c r="A17" s="53"/>
      <c r="B17" s="50"/>
      <c r="C17" s="50"/>
      <c r="D17" s="50"/>
      <c r="E17" s="50"/>
      <c r="F17" s="50"/>
      <c r="G17" s="50"/>
      <c r="H17" s="50"/>
    </row>
  </sheetData>
  <mergeCells count="11">
    <mergeCell ref="B15:H17"/>
    <mergeCell ref="A15:A17"/>
    <mergeCell ref="A1:H1"/>
    <mergeCell ref="A2:H2"/>
    <mergeCell ref="A11:B11"/>
    <mergeCell ref="E8:G8"/>
    <mergeCell ref="E9:G9"/>
    <mergeCell ref="E10:G10"/>
    <mergeCell ref="E11:G11"/>
    <mergeCell ref="E7:H7"/>
    <mergeCell ref="A6:B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M.C.5.1</vt:lpstr>
      <vt:lpstr>M.C.5.2</vt:lpstr>
      <vt:lpstr>M.C.5.3</vt:lpstr>
      <vt:lpstr>M.C.5.4</vt:lpstr>
      <vt:lpstr>M.C.5.5</vt:lpstr>
      <vt:lpstr>M.C.5.6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Олег Бурдуков</dc:creator>
  <cp:lastModifiedBy>Олег Бурдуков</cp:lastModifiedBy>
  <dcterms:created xsi:type="dcterms:W3CDTF">2026-04-15T12:34:26Z</dcterms:created>
  <dcterms:modified xsi:type="dcterms:W3CDTF">2026-04-21T10:27:00Z</dcterms:modified>
</cp:coreProperties>
</file>