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olegburdukov/Documents/Österreich/WU/WU Hauptstudium/SBWL/SBWL Finance/Course III Corporate Finance/Interactive part/Unit 4/"/>
    </mc:Choice>
  </mc:AlternateContent>
  <xr:revisionPtr revIDLastSave="0" documentId="13_ncr:1_{A66FC02D-9D1F-624C-AA84-188D0467EE87}" xr6:coauthVersionLast="47" xr6:coauthVersionMax="47" xr10:uidLastSave="{00000000-0000-0000-0000-000000000000}"/>
  <bookViews>
    <workbookView xWindow="0" yWindow="720" windowWidth="29400" windowHeight="18400" activeTab="5" xr2:uid="{C4107D0D-2911-7248-986F-FE53D45E00E8}"/>
  </bookViews>
  <sheets>
    <sheet name="M.C.4.1" sheetId="1" r:id="rId1"/>
    <sheet name="M.C.4.2" sheetId="2" r:id="rId2"/>
    <sheet name="M.C.4.3" sheetId="3" r:id="rId3"/>
    <sheet name="M.C.4.4" sheetId="4" r:id="rId4"/>
    <sheet name="M.C.4.5" sheetId="5" r:id="rId5"/>
    <sheet name="M.C.4.6"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3" l="1"/>
  <c r="H29" i="6"/>
  <c r="E29" i="6"/>
  <c r="C29" i="6"/>
  <c r="D28" i="6"/>
  <c r="D19" i="6"/>
  <c r="E19" i="6"/>
  <c r="D16" i="6"/>
  <c r="E16" i="6"/>
  <c r="C18" i="6" a="1"/>
  <c r="C18" i="6" s="1"/>
  <c r="C19" i="6" s="1"/>
  <c r="C15" i="6" a="1"/>
  <c r="C15" i="6" s="1"/>
  <c r="C16" i="6" s="1"/>
  <c r="E18" i="6"/>
  <c r="D18" i="6"/>
  <c r="E15" i="6"/>
  <c r="D15" i="6"/>
  <c r="C17" i="6" a="1"/>
  <c r="C17" i="6" s="1"/>
  <c r="C14" i="6" a="1"/>
  <c r="C14" i="6" s="1"/>
  <c r="H9" i="6" a="1"/>
  <c r="H9" i="6" s="1"/>
  <c r="H8" i="6" a="1"/>
  <c r="H8" i="6" s="1"/>
  <c r="H5" i="6" a="1"/>
  <c r="H5" i="6" s="1"/>
  <c r="H4" i="6" a="1"/>
  <c r="H4" i="6" s="1"/>
  <c r="F17" i="5"/>
  <c r="C17" i="5"/>
  <c r="D17" i="5"/>
  <c r="B17" i="5"/>
  <c r="C16" i="5"/>
  <c r="D16" i="5"/>
  <c r="B16" i="5"/>
  <c r="F4" i="5" a="1"/>
  <c r="F4" i="5" s="1"/>
  <c r="C3" i="5"/>
  <c r="D3" i="5"/>
  <c r="B3" i="5"/>
  <c r="C11" i="4"/>
  <c r="D11" i="4"/>
  <c r="E11" i="4"/>
  <c r="B11" i="4"/>
  <c r="E7" i="3"/>
  <c r="E9" i="3" a="1"/>
  <c r="E9" i="3" s="1"/>
  <c r="D3" i="3"/>
  <c r="E3" i="3"/>
  <c r="C3" i="3"/>
  <c r="B9" i="3" s="1" a="1"/>
  <c r="B9" i="3" s="1"/>
  <c r="H16" i="2"/>
  <c r="H12" i="2"/>
  <c r="H14" i="2" a="1"/>
  <c r="H14" i="2" s="1"/>
  <c r="G11" i="2" a="1"/>
  <c r="G11" i="2" s="1"/>
  <c r="H11" i="2" s="1"/>
  <c r="G12" i="2" a="1"/>
  <c r="G12" i="2" s="1"/>
  <c r="H4" i="2" a="1"/>
  <c r="H4" i="2" s="1"/>
  <c r="F4" i="2" a="1"/>
  <c r="F4" i="2" s="1"/>
  <c r="H7" i="2"/>
  <c r="H6" i="2"/>
  <c r="D4" i="2"/>
  <c r="D3" i="2"/>
  <c r="E11" i="1"/>
  <c r="B11" i="1"/>
  <c r="D8" i="1" a="1"/>
  <c r="D8" i="1" s="1"/>
  <c r="E4" i="1"/>
  <c r="E8" i="1" s="1" a="1"/>
  <c r="E8" i="1" s="1"/>
  <c r="E25" i="6" l="1"/>
  <c r="E26" i="6" s="1"/>
  <c r="C25" i="6"/>
  <c r="C26" i="6" s="1"/>
  <c r="D29" i="6"/>
  <c r="D25" i="6"/>
  <c r="D26" i="6" s="1"/>
  <c r="C16" i="4"/>
  <c r="C15" i="4"/>
  <c r="D16" i="4"/>
  <c r="D15" i="4"/>
  <c r="E15" i="4"/>
  <c r="E16" i="4"/>
  <c r="B16" i="4"/>
  <c r="D19" i="4" s="1"/>
  <c r="B19" i="4"/>
  <c r="B15" i="4"/>
  <c r="C19" i="4" s="1"/>
  <c r="C12" i="3"/>
  <c r="D12" i="3"/>
  <c r="D13" i="3" s="1"/>
  <c r="D14" i="3" s="1"/>
  <c r="E12" i="3"/>
  <c r="E13" i="3" s="1"/>
  <c r="E14" i="3" s="1"/>
  <c r="B18" i="3" l="1" a="1"/>
  <c r="B18" i="3" s="1"/>
  <c r="E17" i="3" s="1"/>
  <c r="C13" i="3"/>
  <c r="C18" i="3" a="1"/>
  <c r="C18" i="3" s="1"/>
  <c r="C14" i="3"/>
  <c r="B19" i="3" l="1" a="1"/>
  <c r="B19" i="3" s="1"/>
  <c r="C19" i="3" a="1"/>
  <c r="C19" i="3" s="1"/>
  <c r="B20" i="3" a="1"/>
  <c r="B20" i="3" s="1"/>
  <c r="C20" i="3" a="1"/>
  <c r="C20"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<sst xmlns="http://schemas.openxmlformats.org/spreadsheetml/2006/main" count="158" uniqueCount="97">
  <si>
    <t>Mini-case 4.1</t>
  </si>
  <si>
    <t>Mini-case 4.2</t>
  </si>
  <si>
    <t>Mini-case 4.3</t>
  </si>
  <si>
    <t>Mini-case 4.4</t>
  </si>
  <si>
    <t>Mini-case 4.5</t>
  </si>
  <si>
    <t>Mini-case 4.6</t>
  </si>
  <si>
    <t>Assumptions</t>
  </si>
  <si>
    <t>CF generated</t>
  </si>
  <si>
    <t>Manager makes no effort</t>
  </si>
  <si>
    <t>Personal cost to manager</t>
  </si>
  <si>
    <t>Manager makes an effort</t>
  </si>
  <si>
    <t>No effort</t>
  </si>
  <si>
    <t>Effort</t>
  </si>
  <si>
    <t>Bonus linked to the CFs</t>
  </si>
  <si>
    <r>
      <t>E[CF]</t>
    </r>
    <r>
      <rPr>
        <sz val="8"/>
        <color theme="1"/>
        <rFont val="Aptos Narrow (Body)"/>
      </rPr>
      <t>max</t>
    </r>
  </si>
  <si>
    <r>
      <t>X</t>
    </r>
    <r>
      <rPr>
        <sz val="8"/>
        <color theme="1"/>
        <rFont val="Aptos Narrow (Body)"/>
      </rPr>
      <t>min</t>
    </r>
    <r>
      <rPr>
        <sz val="12"/>
        <color theme="1"/>
        <rFont val="Aptos Narrow"/>
        <family val="2"/>
        <scheme val="minor"/>
      </rPr>
      <t>&gt;</t>
    </r>
  </si>
  <si>
    <t>Fixed wage</t>
  </si>
  <si>
    <t>TASK A</t>
  </si>
  <si>
    <t>TASK B</t>
  </si>
  <si>
    <t>High effort reduces the manager's utility by</t>
  </si>
  <si>
    <t>TASK C</t>
  </si>
  <si>
    <t>U(compensation)</t>
  </si>
  <si>
    <t>Compensation linked to the project value</t>
  </si>
  <si>
    <t>TASK D</t>
  </si>
  <si>
    <t>Low effort</t>
  </si>
  <si>
    <t>High effort</t>
  </si>
  <si>
    <t>Compensation</t>
  </si>
  <si>
    <t>TASK E</t>
  </si>
  <si>
    <t>E[CF, T = 1]</t>
  </si>
  <si>
    <t>TASK F</t>
  </si>
  <si>
    <t>TASK G</t>
  </si>
  <si>
    <r>
      <t>CF</t>
    </r>
    <r>
      <rPr>
        <sz val="8"/>
        <color theme="1"/>
        <rFont val="Aptos Narrow (Body)"/>
      </rPr>
      <t>proj</t>
    </r>
  </si>
  <si>
    <r>
      <t>Considering the utility values, the manager will never make an effort on the project. Since even E[Equity]</t>
    </r>
    <r>
      <rPr>
        <sz val="8"/>
        <color theme="1"/>
        <rFont val="Aptos Narrow (Body)"/>
      </rPr>
      <t>HE</t>
    </r>
    <r>
      <rPr>
        <sz val="12"/>
        <color theme="1"/>
        <rFont val="Aptos Narrow"/>
        <family val="2"/>
        <scheme val="minor"/>
      </rPr>
      <t xml:space="preserve"> in case of compensation linked to the project value is less than E[Equity]</t>
    </r>
    <r>
      <rPr>
        <sz val="8"/>
        <color theme="1"/>
        <rFont val="Aptos Narrow (Body)"/>
      </rPr>
      <t>LE</t>
    </r>
    <r>
      <rPr>
        <sz val="12"/>
        <color theme="1"/>
        <rFont val="Aptos Narrow"/>
        <family val="2"/>
        <scheme val="minor"/>
      </rPr>
      <t xml:space="preserve"> in case of fixed wage, the equity holders will prefer the fixed wage compensation of 4000€</t>
    </r>
  </si>
  <si>
    <r>
      <t>E[Equity]</t>
    </r>
    <r>
      <rPr>
        <sz val="8"/>
        <color theme="1"/>
        <rFont val="Aptos Narrow (Body)"/>
      </rPr>
      <t>LE</t>
    </r>
  </si>
  <si>
    <r>
      <t>E[Equity]</t>
    </r>
    <r>
      <rPr>
        <sz val="8"/>
        <color theme="1"/>
        <rFont val="Aptos Narrow (Body)"/>
      </rPr>
      <t>HE</t>
    </r>
  </si>
  <si>
    <r>
      <t>U(compensation)</t>
    </r>
    <r>
      <rPr>
        <sz val="8"/>
        <color theme="1"/>
        <rFont val="Aptos Narrow (Body)"/>
      </rPr>
      <t>LE</t>
    </r>
  </si>
  <si>
    <r>
      <t>U(compensation)</t>
    </r>
    <r>
      <rPr>
        <sz val="8"/>
        <color theme="1"/>
        <rFont val="Aptos Narrow (Body)"/>
      </rPr>
      <t>HE</t>
    </r>
  </si>
  <si>
    <r>
      <t>BONUS</t>
    </r>
    <r>
      <rPr>
        <sz val="8"/>
        <color theme="1"/>
        <rFont val="Aptos Narrow (Body)"/>
      </rPr>
      <t>min</t>
    </r>
  </si>
  <si>
    <t>Present team</t>
  </si>
  <si>
    <t>New team</t>
  </si>
  <si>
    <t>Probabilities</t>
  </si>
  <si>
    <t>Fdebt</t>
  </si>
  <si>
    <t>Tax savings</t>
  </si>
  <si>
    <t>Expected value</t>
  </si>
  <si>
    <t>Assets</t>
  </si>
  <si>
    <t>D</t>
  </si>
  <si>
    <t>E</t>
  </si>
  <si>
    <t>State 1</t>
  </si>
  <si>
    <t>State 2</t>
  </si>
  <si>
    <t>State 3</t>
  </si>
  <si>
    <t>Agency cost of debt</t>
  </si>
  <si>
    <r>
      <t>E[Firm]</t>
    </r>
    <r>
      <rPr>
        <sz val="8"/>
        <color theme="1"/>
        <rFont val="Aptos Narrow (Body)"/>
      </rPr>
      <t>levered</t>
    </r>
  </si>
  <si>
    <r>
      <t>MV</t>
    </r>
    <r>
      <rPr>
        <sz val="8"/>
        <color theme="1"/>
        <rFont val="Aptos Narrow (Body)"/>
      </rPr>
      <t>firm</t>
    </r>
  </si>
  <si>
    <r>
      <rPr>
        <sz val="16"/>
        <color theme="1"/>
        <rFont val="Aptos Narrow (Body)"/>
      </rPr>
      <t>r</t>
    </r>
    <r>
      <rPr>
        <sz val="8"/>
        <color theme="1"/>
        <rFont val="Aptos Narrow (Body)"/>
      </rPr>
      <t>E</t>
    </r>
  </si>
  <si>
    <t>Strategy</t>
  </si>
  <si>
    <t>A</t>
  </si>
  <si>
    <t>B</t>
  </si>
  <si>
    <t>C</t>
  </si>
  <si>
    <t>Probability of success</t>
  </si>
  <si>
    <t>FCF if successful</t>
  </si>
  <si>
    <t>E[Payoff]</t>
  </si>
  <si>
    <t>I</t>
  </si>
  <si>
    <t>II</t>
  </si>
  <si>
    <t>III</t>
  </si>
  <si>
    <t>E[Equity] for II)</t>
  </si>
  <si>
    <t>E[Equity] for III)</t>
  </si>
  <si>
    <t>Task part</t>
  </si>
  <si>
    <t>The agency cost of debt refers to the excessive risk-taking concept and basically displays the case of risk-shifting towards the debt investors. The management will choose the strategy B because although the payoff is lesser than in strategy A, the riskiness of strategy leads to a higher value of equity</t>
  </si>
  <si>
    <t>Share price</t>
  </si>
  <si>
    <t>If it is known to everyone CEO has no private information, the sale of shares by her won't affect the stock price in anyway. Everyone understands in this case she sells her shares to diversify and to make her portfolio more robust</t>
  </si>
  <si>
    <t>Current price</t>
  </si>
  <si>
    <t>If the CEO sells her stocks for 100, she is sure it'll bring profit to her. Thus, we need to compare the current price with the own value of a share to CEO, that is 97% of the price</t>
  </si>
  <si>
    <t>Own value</t>
  </si>
  <si>
    <t>Would she sell?</t>
  </si>
  <si>
    <t>YES</t>
  </si>
  <si>
    <t>NO</t>
  </si>
  <si>
    <r>
      <t>E[Share price]</t>
    </r>
    <r>
      <rPr>
        <sz val="8"/>
        <color theme="1"/>
        <rFont val="Aptos Narrow (Body)"/>
      </rPr>
      <t>new</t>
    </r>
  </si>
  <si>
    <t>Payoff</t>
  </si>
  <si>
    <t>Investment oppertunity 1</t>
  </si>
  <si>
    <t>Investment oppertunity 2</t>
  </si>
  <si>
    <t>Initial investment</t>
  </si>
  <si>
    <t>IO</t>
  </si>
  <si>
    <t>NPV</t>
  </si>
  <si>
    <t>T = 0</t>
  </si>
  <si>
    <t>T = 1</t>
  </si>
  <si>
    <t>IO1</t>
  </si>
  <si>
    <t>IO2</t>
  </si>
  <si>
    <t>Loan</t>
  </si>
  <si>
    <t>TASK D,E</t>
  </si>
  <si>
    <t>Agency cost of information assymetry</t>
  </si>
  <si>
    <t>Project</t>
  </si>
  <si>
    <t xml:space="preserve">Capital structure </t>
  </si>
  <si>
    <r>
      <rPr>
        <sz val="16"/>
        <color theme="1"/>
        <rFont val="Aptos Narrow (Body)"/>
      </rPr>
      <t>r</t>
    </r>
    <r>
      <rPr>
        <sz val="8"/>
        <color theme="1"/>
        <rFont val="Aptos Narrow (Body)"/>
      </rPr>
      <t>f</t>
    </r>
  </si>
  <si>
    <r>
      <t>E[CF]</t>
    </r>
    <r>
      <rPr>
        <sz val="8"/>
        <color theme="1"/>
        <rFont val="Aptos Narrow (Body)"/>
      </rPr>
      <t>IO1</t>
    </r>
  </si>
  <si>
    <r>
      <t>E[CF]</t>
    </r>
    <r>
      <rPr>
        <sz val="8"/>
        <color theme="1"/>
        <rFont val="Aptos Narrow (Body)"/>
      </rPr>
      <t>IO2</t>
    </r>
  </si>
  <si>
    <r>
      <t>F</t>
    </r>
    <r>
      <rPr>
        <sz val="8"/>
        <color theme="1"/>
        <rFont val="Aptos Narrow (Body)"/>
      </rPr>
      <t>debt</t>
    </r>
    <r>
      <rPr>
        <sz val="12"/>
        <color theme="1"/>
        <rFont val="Aptos Narrow"/>
        <family val="2"/>
        <scheme val="minor"/>
      </rPr>
      <t xml:space="preserve"> for III)</t>
    </r>
  </si>
  <si>
    <r>
      <t>F</t>
    </r>
    <r>
      <rPr>
        <sz val="8"/>
        <color theme="1"/>
        <rFont val="Aptos Narrow (Body)"/>
      </rPr>
      <t>debt</t>
    </r>
    <r>
      <rPr>
        <sz val="12"/>
        <color theme="1"/>
        <rFont val="Aptos Narrow"/>
        <family val="2"/>
        <scheme val="minor"/>
      </rPr>
      <t xml:space="preserve"> for II)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</si>
</sst>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 #,##0.00;[Red]&quot;€&quot;\ \-#,##0.00"/>
    <numFmt numFmtId="164" formatCode="_-[$$-409]* #,##0.00_ ;_-[$$-409]* \-#,##0.00\ ;_-[$$-409]* &quot;-&quot;??_ ;_-@_ "/>
  </numFmts>
  <fonts count="9" x14ac:knownFonts="1">
    <font>
      <sz val="12"/>
      <color theme="1"/>
      <name val="Aptos Narrow"/>
      <family val="2"/>
      <scheme val="minor"/>
    </font>
    <font>
      <sz val="12"/>
      <color theme="0"/>
      <name val="Aptos Narrow"/>
      <family val="2"/>
      <scheme val="minor"/>
    </font>
    <font>
      <sz val="11"/>
      <color theme="1"/>
      <name val="Aptos Narrow"/>
      <family val="2"/>
      <scheme val="minor"/>
    </font>
    <font>
      <sz val="8"/>
      <color theme="1"/>
      <name val="Aptos Narrow (Body)"/>
    </font>
    <font>
      <sz val="8"/>
      <name val="Aptos Narrow"/>
      <family val="2"/>
      <scheme val="minor"/>
    </font>
    <font>
      <sz val="16"/>
      <color theme="1"/>
      <name val="Aptos Narrow (Body)"/>
    </font>
    <font>
      <sz val="12"/>
      <color theme="1"/>
      <name val="Aptos Narrow (Body)"/>
    </font>
    <font>
      <sz val="12"/>
      <color theme="1"/>
      <name val="Aptos Narrow"/>
      <scheme val="minor"/>
    </font>
    <font>
      <sz val="10"/>
      <color theme="1"/>
      <name val="Aptos Narrow"/>
      <family val="2"/>
      <scheme val="minor"/>
    </font>
  </fonts>
  <fills count="9">
    <fill>
      <patternFill patternType="none"/>
    </fill>
    <fill>
      <patternFill patternType="gray125"/>
    </fill>
    <fill>
      <patternFill patternType="solid">
        <fgColor theme="2" tint="-0.749992370372631"/>
        <bgColor indexed="64"/>
      </patternFill>
    </fill>
    <fill>
      <patternFill patternType="solid">
        <fgColor theme="3" tint="0.499984740745262"/>
        <bgColor indexed="64"/>
      </patternFill>
    </fill>
    <fill>
      <patternFill patternType="solid">
        <fgColor theme="2"/>
        <bgColor indexed="64"/>
      </patternFill>
    </fill>
    <fill>
      <patternFill patternType="solid">
        <fgColor theme="2" tint="-0.49998474074526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0" borderId="1" xfId="0" applyBorder="1" applyAlignment="1">
      <alignment horizontal="center" vertical="center"/>
    </xf>
    <xf numFmtId="0" fontId="0" fillId="4" borderId="1" xfId="0" applyFill="1" applyBorder="1" applyAlignment="1">
      <alignment horizontal="center" vertical="center"/>
    </xf>
    <xf numFmtId="0" fontId="0" fillId="0" borderId="0" xfId="0" applyAlignment="1">
      <alignment horizontal="center" vertical="center"/>
    </xf>
    <xf numFmtId="0" fontId="1" fillId="5" borderId="1" xfId="0" applyFont="1" applyFill="1" applyBorder="1" applyAlignment="1">
      <alignment horizontal="center" vertical="center"/>
    </xf>
    <xf numFmtId="0" fontId="2" fillId="4" borderId="1" xfId="0" applyFont="1" applyFill="1" applyBorder="1" applyAlignment="1">
      <alignment horizontal="center" vertical="center" wrapText="1"/>
    </xf>
    <xf numFmtId="8" fontId="0" fillId="0" borderId="1" xfId="0" applyNumberFormat="1" applyBorder="1" applyAlignment="1">
      <alignment horizontal="center" vertical="center"/>
    </xf>
    <xf numFmtId="9" fontId="0" fillId="0" borderId="1" xfId="0" applyNumberFormat="1" applyBorder="1" applyAlignment="1">
      <alignment horizontal="center" vertical="center"/>
    </xf>
    <xf numFmtId="9" fontId="0" fillId="6" borderId="1" xfId="0" applyNumberFormat="1" applyFill="1" applyBorder="1" applyAlignment="1">
      <alignment horizontal="center" vertical="center"/>
    </xf>
    <xf numFmtId="0" fontId="0" fillId="4" borderId="2" xfId="0" applyFill="1" applyBorder="1" applyAlignment="1">
      <alignment horizontal="center" vertical="center"/>
    </xf>
    <xf numFmtId="8" fontId="0" fillId="4" borderId="1" xfId="0" applyNumberFormat="1" applyFill="1" applyBorder="1" applyAlignment="1">
      <alignment horizontal="center" vertical="center"/>
    </xf>
    <xf numFmtId="0" fontId="6" fillId="4" borderId="1" xfId="0" applyFont="1" applyFill="1" applyBorder="1" applyAlignment="1">
      <alignment horizontal="center" vertical="center"/>
    </xf>
    <xf numFmtId="0" fontId="1" fillId="0" borderId="0" xfId="0" applyFont="1" applyAlignment="1">
      <alignment horizontal="center" vertical="center"/>
    </xf>
    <xf numFmtId="164" fontId="0" fillId="0" borderId="1" xfId="0" applyNumberFormat="1" applyBorder="1" applyAlignment="1">
      <alignment horizontal="center" vertical="center"/>
    </xf>
    <xf numFmtId="9" fontId="0" fillId="4" borderId="1" xfId="0" applyNumberFormat="1" applyFill="1" applyBorder="1" applyAlignment="1">
      <alignment horizontal="center" vertical="center"/>
    </xf>
    <xf numFmtId="8" fontId="7" fillId="0" borderId="1" xfId="0" applyNumberFormat="1" applyFont="1" applyBorder="1" applyAlignment="1">
      <alignment horizontal="center" vertical="center"/>
    </xf>
    <xf numFmtId="8" fontId="0" fillId="6" borderId="1" xfId="0" applyNumberFormat="1" applyFill="1" applyBorder="1" applyAlignment="1">
      <alignment horizontal="center" vertical="center"/>
    </xf>
    <xf numFmtId="0" fontId="8" fillId="4"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0" fillId="4" borderId="1" xfId="0" applyFill="1" applyBorder="1" applyAlignment="1">
      <alignment horizontal="center" vertical="center"/>
    </xf>
    <xf numFmtId="0" fontId="0" fillId="8" borderId="1" xfId="0" applyFill="1" applyBorder="1" applyAlignment="1">
      <alignment horizontal="center" vertical="center"/>
    </xf>
    <xf numFmtId="0" fontId="0" fillId="7" borderId="1" xfId="0" applyFill="1" applyBorder="1" applyAlignment="1">
      <alignment horizontal="center" vertical="center"/>
    </xf>
    <xf numFmtId="0" fontId="0" fillId="4" borderId="1" xfId="0" applyFill="1" applyBorder="1" applyAlignment="1">
      <alignment horizontal="center" vertical="center" wrapText="1"/>
    </xf>
    <xf numFmtId="0" fontId="1" fillId="3" borderId="1" xfId="0" applyFont="1" applyFill="1" applyBorder="1" applyAlignment="1">
      <alignment horizontal="center" vertical="center"/>
    </xf>
    <xf numFmtId="0" fontId="1" fillId="2" borderId="1" xfId="0" applyFont="1" applyFill="1" applyBorder="1" applyAlignment="1">
      <alignment horizontal="center" vertical="center"/>
    </xf>
    <xf numFmtId="0" fontId="0" fillId="4" borderId="4" xfId="0" applyFill="1" applyBorder="1" applyAlignment="1">
      <alignment horizontal="center" vertical="center"/>
    </xf>
    <xf numFmtId="0" fontId="0" fillId="0" borderId="1" xfId="0" applyBorder="1" applyAlignment="1">
      <alignment horizontal="center" vertical="center" wrapText="1"/>
    </xf>
    <xf numFmtId="0" fontId="0" fillId="4" borderId="3" xfId="0" applyFill="1" applyBorder="1" applyAlignment="1">
      <alignment horizontal="center" vertical="center"/>
    </xf>
    <xf numFmtId="0" fontId="0" fillId="4" borderId="2" xfId="0" applyFill="1" applyBorder="1" applyAlignment="1">
      <alignment horizontal="center" vertical="center"/>
    </xf>
    <xf numFmtId="0" fontId="1" fillId="2" borderId="1" xfId="0" applyFont="1" applyFill="1" applyBorder="1" applyAlignment="1">
      <alignment horizont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colors>
    <mruColors>
      <color rgb="FF8C6909"/>
      <color rgb="FFB28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F02AF-C969-564E-A6EA-B04ADB08B5F7}">
  <sheetPr>
    <tabColor theme="5" tint="-0.499984740745262"/>
  </sheetPr>
  <dimension ref="A1:E11"/>
  <sheetViews>
    <sheetView zoomScale="289" zoomScaleNormal="289" workbookViewId="0">
      <pane ySplit="1" topLeftCell="A2" activePane="bottomLeft" state="frozen"/>
      <selection pane="bottomLeft" activeCell="E11" sqref="E11"/>
    </sheetView>
  </sheetViews>
  <sheetFormatPr baseColWidth="10" defaultRowHeight="16" x14ac:dyDescent="0.2"/>
  <cols>
    <col min="1" max="1" width="10.83203125" customWidth="1"/>
  </cols>
  <sheetData>
    <row r="1" spans="1:5" x14ac:dyDescent="0.2">
      <c r="A1" s="24" t="s">
        <v>0</v>
      </c>
      <c r="B1" s="24"/>
      <c r="C1" s="24"/>
      <c r="D1" s="24"/>
      <c r="E1" s="24"/>
    </row>
    <row r="2" spans="1:5" x14ac:dyDescent="0.2">
      <c r="A2" s="23" t="s">
        <v>6</v>
      </c>
      <c r="B2" s="23"/>
      <c r="C2" s="23"/>
      <c r="D2" s="23"/>
      <c r="E2" s="23"/>
    </row>
    <row r="3" spans="1:5" x14ac:dyDescent="0.2">
      <c r="A3" s="1"/>
      <c r="B3" s="19" t="s">
        <v>8</v>
      </c>
      <c r="C3" s="19"/>
      <c r="D3" s="19" t="s">
        <v>10</v>
      </c>
      <c r="E3" s="19"/>
    </row>
    <row r="4" spans="1:5" x14ac:dyDescent="0.2">
      <c r="A4" s="2" t="s">
        <v>40</v>
      </c>
      <c r="B4" s="7">
        <v>0.3</v>
      </c>
      <c r="C4" s="7">
        <v>0.7</v>
      </c>
      <c r="D4" s="7">
        <v>0.8</v>
      </c>
      <c r="E4" s="7">
        <f>1-D4</f>
        <v>0.19999999999999996</v>
      </c>
    </row>
    <row r="5" spans="1:5" x14ac:dyDescent="0.2">
      <c r="A5" s="2" t="s">
        <v>7</v>
      </c>
      <c r="B5" s="6">
        <v>400</v>
      </c>
      <c r="C5" s="6">
        <v>0</v>
      </c>
      <c r="D5" s="6">
        <v>400</v>
      </c>
      <c r="E5" s="6">
        <v>0</v>
      </c>
    </row>
    <row r="6" spans="1:5" x14ac:dyDescent="0.2">
      <c r="A6" s="3"/>
      <c r="B6" s="3"/>
      <c r="C6" s="3"/>
      <c r="D6" s="3"/>
      <c r="E6" s="3"/>
    </row>
    <row r="7" spans="1:5" ht="32" customHeight="1" x14ac:dyDescent="0.2">
      <c r="A7" s="5" t="s">
        <v>9</v>
      </c>
      <c r="B7" s="3"/>
      <c r="C7" s="23" t="s">
        <v>28</v>
      </c>
      <c r="D7" s="2" t="s">
        <v>11</v>
      </c>
      <c r="E7" s="2" t="s">
        <v>12</v>
      </c>
    </row>
    <row r="8" spans="1:5" x14ac:dyDescent="0.2">
      <c r="A8" s="6">
        <v>30</v>
      </c>
      <c r="B8" s="3"/>
      <c r="C8" s="23"/>
      <c r="D8" s="6" cm="1">
        <f t="array" ref="D8">SUM(B5:C5*B4:C4)</f>
        <v>120</v>
      </c>
      <c r="E8" s="6" cm="1">
        <f t="array" ref="E8">SUM(D4:E4*D5:E5)</f>
        <v>320</v>
      </c>
    </row>
    <row r="9" spans="1:5" x14ac:dyDescent="0.2">
      <c r="A9" s="3"/>
      <c r="B9" s="3"/>
      <c r="C9" s="3"/>
      <c r="D9" s="3"/>
      <c r="E9" s="3"/>
    </row>
    <row r="10" spans="1:5" x14ac:dyDescent="0.2">
      <c r="A10" s="18" t="s">
        <v>13</v>
      </c>
      <c r="B10" s="18"/>
      <c r="C10" s="18"/>
      <c r="D10" s="18"/>
      <c r="E10" s="18"/>
    </row>
    <row r="11" spans="1:5" x14ac:dyDescent="0.2">
      <c r="A11" s="2" t="s">
        <v>15</v>
      </c>
      <c r="B11" s="8">
        <f>A8/(E8-D8)</f>
        <v>0.15</v>
      </c>
      <c r="C11" s="3"/>
      <c r="D11" s="2" t="s">
        <v>14</v>
      </c>
      <c r="E11" s="6">
        <f>MAX(E8*(1-B11),D8*(1-B11))</f>
        <v>272</v>
      </c>
    </row>
  </sheetData>
  <mergeCells count="6">
    <mergeCell ref="A1:E1"/>
    <mergeCell ref="A2:E2"/>
    <mergeCell ref="A10:E10"/>
    <mergeCell ref="C7:C8"/>
    <mergeCell ref="D3:E3"/>
    <mergeCell ref="B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A7F70-A684-3F49-B413-8AE8D6B5A7B9}">
  <sheetPr>
    <tabColor theme="4" tint="-0.249977111117893"/>
  </sheetPr>
  <dimension ref="A1:H19"/>
  <sheetViews>
    <sheetView zoomScale="181" zoomScaleNormal="181" workbookViewId="0">
      <pane ySplit="1" topLeftCell="A2" activePane="bottomLeft" state="frozen"/>
      <selection pane="bottomLeft" activeCell="H17" sqref="H17"/>
    </sheetView>
  </sheetViews>
  <sheetFormatPr baseColWidth="10" defaultRowHeight="16" x14ac:dyDescent="0.2"/>
  <cols>
    <col min="2" max="2" width="20.83203125" bestFit="1" customWidth="1"/>
    <col min="3" max="3" width="11.6640625" bestFit="1" customWidth="1"/>
    <col min="5" max="6" width="10.83203125" customWidth="1"/>
    <col min="7" max="7" width="17.6640625" bestFit="1" customWidth="1"/>
    <col min="8" max="8" width="16.33203125" customWidth="1"/>
  </cols>
  <sheetData>
    <row r="1" spans="1:8" x14ac:dyDescent="0.2">
      <c r="A1" s="24" t="s">
        <v>1</v>
      </c>
      <c r="B1" s="24"/>
      <c r="C1" s="24"/>
      <c r="D1" s="24"/>
      <c r="E1" s="24"/>
      <c r="F1" s="24"/>
      <c r="G1" s="24"/>
      <c r="H1" s="24"/>
    </row>
    <row r="2" spans="1:8" x14ac:dyDescent="0.2">
      <c r="A2" s="23" t="s">
        <v>6</v>
      </c>
      <c r="B2" s="23"/>
      <c r="C2" s="23"/>
      <c r="D2" s="23"/>
      <c r="E2" s="3"/>
      <c r="F2" s="4" t="s">
        <v>17</v>
      </c>
      <c r="G2" s="3"/>
      <c r="H2" s="4" t="s">
        <v>18</v>
      </c>
    </row>
    <row r="3" spans="1:8" x14ac:dyDescent="0.2">
      <c r="A3" s="19" t="s">
        <v>40</v>
      </c>
      <c r="B3" s="2" t="s">
        <v>10</v>
      </c>
      <c r="C3" s="7">
        <v>0.6</v>
      </c>
      <c r="D3" s="7">
        <f>1-C3</f>
        <v>0.4</v>
      </c>
      <c r="E3" s="3"/>
      <c r="F3" s="2" t="s">
        <v>33</v>
      </c>
      <c r="G3" s="3"/>
      <c r="H3" s="2" t="s">
        <v>34</v>
      </c>
    </row>
    <row r="4" spans="1:8" x14ac:dyDescent="0.2">
      <c r="A4" s="19"/>
      <c r="B4" s="2" t="s">
        <v>8</v>
      </c>
      <c r="C4" s="7">
        <v>0.4</v>
      </c>
      <c r="D4" s="7">
        <f>1-C4</f>
        <v>0.6</v>
      </c>
      <c r="E4" s="3"/>
      <c r="F4" s="6" cm="1">
        <f t="array" ref="F4">SUM(C5:D5*C4:D4)-A8</f>
        <v>66000</v>
      </c>
      <c r="G4" s="3"/>
      <c r="H4" s="6" cm="1">
        <f t="array" ref="H4">SUM(C5:D5*C3:D3)-A8</f>
        <v>76000</v>
      </c>
    </row>
    <row r="5" spans="1:8" x14ac:dyDescent="0.2">
      <c r="A5" s="19" t="s">
        <v>31</v>
      </c>
      <c r="B5" s="19"/>
      <c r="C5" s="6">
        <v>100000</v>
      </c>
      <c r="D5" s="6">
        <v>50000</v>
      </c>
      <c r="E5" s="3"/>
      <c r="F5" s="3"/>
      <c r="G5" s="3"/>
      <c r="H5" s="3"/>
    </row>
    <row r="6" spans="1:8" x14ac:dyDescent="0.2">
      <c r="A6" s="3"/>
      <c r="B6" s="3"/>
      <c r="C6" s="3"/>
      <c r="D6" s="3"/>
      <c r="E6" s="3"/>
      <c r="F6" s="18" t="s">
        <v>20</v>
      </c>
      <c r="G6" s="2" t="s">
        <v>35</v>
      </c>
      <c r="H6" s="1">
        <f>LOG10(A8)</f>
        <v>3.6020599913279625</v>
      </c>
    </row>
    <row r="7" spans="1:8" ht="16" customHeight="1" x14ac:dyDescent="0.2">
      <c r="A7" s="2" t="s">
        <v>16</v>
      </c>
      <c r="B7" s="3"/>
      <c r="C7" s="3"/>
      <c r="D7" s="11" t="s">
        <v>53</v>
      </c>
      <c r="E7" s="3"/>
      <c r="F7" s="18"/>
      <c r="G7" s="2" t="s">
        <v>36</v>
      </c>
      <c r="H7" s="1">
        <f>LOG10(A8)-D10</f>
        <v>3.5020599913279624</v>
      </c>
    </row>
    <row r="8" spans="1:8" x14ac:dyDescent="0.2">
      <c r="A8" s="6">
        <v>4000</v>
      </c>
      <c r="B8" s="3"/>
      <c r="C8" s="3"/>
      <c r="D8" s="7">
        <v>0</v>
      </c>
      <c r="E8" s="3"/>
      <c r="F8" s="3"/>
      <c r="G8" s="3"/>
      <c r="H8" s="3"/>
    </row>
    <row r="9" spans="1:8" x14ac:dyDescent="0.2">
      <c r="A9" s="3"/>
      <c r="B9" s="3"/>
      <c r="C9" s="3"/>
      <c r="D9" s="3"/>
      <c r="E9" s="3"/>
      <c r="F9" s="18" t="s">
        <v>23</v>
      </c>
      <c r="G9" s="18"/>
      <c r="H9" s="18"/>
    </row>
    <row r="10" spans="1:8" x14ac:dyDescent="0.2">
      <c r="A10" s="19" t="s">
        <v>19</v>
      </c>
      <c r="B10" s="19"/>
      <c r="C10" s="19"/>
      <c r="D10" s="1">
        <v>0.1</v>
      </c>
      <c r="E10" s="3"/>
      <c r="F10" s="1"/>
      <c r="G10" s="2" t="s">
        <v>26</v>
      </c>
      <c r="H10" s="2" t="s">
        <v>21</v>
      </c>
    </row>
    <row r="11" spans="1:8" x14ac:dyDescent="0.2">
      <c r="A11" s="3"/>
      <c r="B11" s="3"/>
      <c r="C11" s="3"/>
      <c r="D11" s="3"/>
      <c r="E11" s="3"/>
      <c r="F11" s="2" t="s">
        <v>24</v>
      </c>
      <c r="G11" s="6" cm="1">
        <f t="array" ref="G11">SUM(C5:D5*C4:D4)*D12</f>
        <v>14000</v>
      </c>
      <c r="H11" s="1">
        <f>LOG10(G11)</f>
        <v>4.1461280356782382</v>
      </c>
    </row>
    <row r="12" spans="1:8" x14ac:dyDescent="0.2">
      <c r="A12" s="19" t="s">
        <v>22</v>
      </c>
      <c r="B12" s="19"/>
      <c r="C12" s="19"/>
      <c r="D12" s="7">
        <v>0.2</v>
      </c>
      <c r="E12" s="3"/>
      <c r="F12" s="2" t="s">
        <v>25</v>
      </c>
      <c r="G12" s="6" cm="1">
        <f t="array" ref="G12">SUM(C5:D5*C3:D3)*D12</f>
        <v>16000</v>
      </c>
      <c r="H12" s="1">
        <f>LOG10(G12)-D10</f>
        <v>4.1041199826559254</v>
      </c>
    </row>
    <row r="13" spans="1:8" x14ac:dyDescent="0.2">
      <c r="A13" s="3"/>
      <c r="B13" s="3"/>
      <c r="C13" s="3"/>
      <c r="D13" s="3"/>
      <c r="E13" s="3"/>
      <c r="F13" s="3"/>
      <c r="G13" s="3"/>
      <c r="H13" s="3"/>
    </row>
    <row r="14" spans="1:8" x14ac:dyDescent="0.2">
      <c r="A14" s="18" t="s">
        <v>29</v>
      </c>
      <c r="B14" s="18"/>
      <c r="C14" s="18"/>
      <c r="D14" s="18"/>
      <c r="E14" s="3"/>
      <c r="F14" s="4" t="s">
        <v>27</v>
      </c>
      <c r="G14" s="2" t="s">
        <v>34</v>
      </c>
      <c r="H14" s="6" cm="1">
        <f t="array" ref="H14">SUM(C5:D5*C3:D3)-G12</f>
        <v>64000</v>
      </c>
    </row>
    <row r="15" spans="1:8" ht="16" customHeight="1" x14ac:dyDescent="0.2">
      <c r="A15" s="26" t="s">
        <v>32</v>
      </c>
      <c r="B15" s="26"/>
      <c r="C15" s="26"/>
      <c r="D15" s="26"/>
      <c r="E15" s="3"/>
      <c r="F15" s="3"/>
      <c r="G15" s="3"/>
      <c r="H15" s="3"/>
    </row>
    <row r="16" spans="1:8" x14ac:dyDescent="0.2">
      <c r="A16" s="26"/>
      <c r="B16" s="26"/>
      <c r="C16" s="26"/>
      <c r="D16" s="26"/>
      <c r="E16" s="3"/>
      <c r="F16" s="4" t="s">
        <v>30</v>
      </c>
      <c r="G16" s="2" t="s">
        <v>37</v>
      </c>
      <c r="H16" s="6">
        <f>10^(LOG10(A8)+D10)</f>
        <v>5035.7016471766729</v>
      </c>
    </row>
    <row r="17" spans="1:8" x14ac:dyDescent="0.2">
      <c r="A17" s="26"/>
      <c r="B17" s="26"/>
      <c r="C17" s="26"/>
      <c r="D17" s="26"/>
      <c r="E17" s="3"/>
      <c r="F17" s="3"/>
      <c r="G17" s="3"/>
      <c r="H17" s="3"/>
    </row>
    <row r="18" spans="1:8" x14ac:dyDescent="0.2">
      <c r="A18" s="26"/>
      <c r="B18" s="26"/>
      <c r="C18" s="26"/>
      <c r="D18" s="26"/>
      <c r="E18" s="3"/>
      <c r="F18" s="3"/>
      <c r="G18" s="3"/>
      <c r="H18" s="3"/>
    </row>
    <row r="19" spans="1:8" x14ac:dyDescent="0.2">
      <c r="A19" s="26"/>
      <c r="B19" s="26"/>
      <c r="C19" s="26"/>
      <c r="D19" s="26"/>
      <c r="E19" s="3"/>
      <c r="F19" s="3"/>
      <c r="G19" s="3"/>
      <c r="H19" s="3"/>
    </row>
  </sheetData>
  <mergeCells count="10">
    <mergeCell ref="A2:D2"/>
    <mergeCell ref="A1:H1"/>
    <mergeCell ref="A5:B5"/>
    <mergeCell ref="A3:A4"/>
    <mergeCell ref="A15:D19"/>
    <mergeCell ref="F9:H9"/>
    <mergeCell ref="F6:F7"/>
    <mergeCell ref="A14:D14"/>
    <mergeCell ref="A12:C12"/>
    <mergeCell ref="A10:C10"/>
  </mergeCells>
  <conditionalFormatting sqref="H6:H7">
    <cfRule type="iconSet" priority="2">
      <iconSet iconSet="3Symbols2">
        <cfvo type="percent" val="0"/>
        <cfvo type="percent" val="33"/>
        <cfvo type="percent" val="67"/>
      </iconSet>
    </cfRule>
  </conditionalFormatting>
  <conditionalFormatting sqref="H11:H12">
    <cfRule type="iconSet" priority="1">
      <iconSet iconSet="3Symbols2">
        <cfvo type="percent" val="0"/>
        <cfvo type="percent" val="33"/>
        <cfvo type="percent" val="67"/>
      </iconSet>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A104B-E1C8-6D40-8D93-A4DD4B8608B1}">
  <sheetPr>
    <tabColor theme="9" tint="-0.499984740745262"/>
  </sheetPr>
  <dimension ref="A1:E20"/>
  <sheetViews>
    <sheetView zoomScale="190" zoomScaleNormal="190" workbookViewId="0">
      <pane ySplit="1" topLeftCell="A3" activePane="bottomLeft" state="frozen"/>
      <selection pane="bottomLeft" activeCell="E20" sqref="E20"/>
    </sheetView>
  </sheetViews>
  <sheetFormatPr baseColWidth="10" defaultRowHeight="16" x14ac:dyDescent="0.2"/>
  <cols>
    <col min="2" max="2" width="19.83203125" customWidth="1"/>
    <col min="3" max="3" width="20.5" customWidth="1"/>
    <col min="4" max="4" width="15.33203125" bestFit="1" customWidth="1"/>
    <col min="5" max="5" width="20.6640625" customWidth="1"/>
  </cols>
  <sheetData>
    <row r="1" spans="1:5" x14ac:dyDescent="0.2">
      <c r="A1" s="24" t="s">
        <v>2</v>
      </c>
      <c r="B1" s="24"/>
      <c r="C1" s="24"/>
      <c r="D1" s="24"/>
      <c r="E1" s="24"/>
    </row>
    <row r="2" spans="1:5" x14ac:dyDescent="0.2">
      <c r="A2" s="23" t="s">
        <v>6</v>
      </c>
      <c r="B2" s="23"/>
      <c r="C2" s="23"/>
      <c r="D2" s="23"/>
      <c r="E2" s="23"/>
    </row>
    <row r="3" spans="1:5" x14ac:dyDescent="0.2">
      <c r="A3" s="19" t="s">
        <v>40</v>
      </c>
      <c r="B3" s="2" t="s">
        <v>38</v>
      </c>
      <c r="C3" s="7">
        <f>1/3</f>
        <v>0.33333333333333331</v>
      </c>
      <c r="D3" s="7">
        <f t="shared" ref="D3:E3" si="0">1/3</f>
        <v>0.33333333333333331</v>
      </c>
      <c r="E3" s="7">
        <f t="shared" si="0"/>
        <v>0.33333333333333331</v>
      </c>
    </row>
    <row r="4" spans="1:5" x14ac:dyDescent="0.2">
      <c r="A4" s="19"/>
      <c r="B4" s="2" t="s">
        <v>39</v>
      </c>
      <c r="C4" s="7">
        <v>0.4</v>
      </c>
      <c r="D4" s="7">
        <v>0.05</v>
      </c>
      <c r="E4" s="7">
        <v>0.55000000000000004</v>
      </c>
    </row>
    <row r="5" spans="1:5" x14ac:dyDescent="0.2">
      <c r="A5" s="19" t="s">
        <v>52</v>
      </c>
      <c r="B5" s="19"/>
      <c r="C5" s="6">
        <v>900000000</v>
      </c>
      <c r="D5" s="6">
        <v>600000000</v>
      </c>
      <c r="E5" s="6">
        <v>300000000</v>
      </c>
    </row>
    <row r="6" spans="1:5" x14ac:dyDescent="0.2">
      <c r="A6" s="3"/>
      <c r="B6" s="3"/>
      <c r="C6" s="3"/>
      <c r="D6" s="3"/>
      <c r="E6" s="3"/>
    </row>
    <row r="7" spans="1:5" x14ac:dyDescent="0.2">
      <c r="A7" s="2" t="s">
        <v>41</v>
      </c>
      <c r="B7" s="6">
        <v>600000000</v>
      </c>
      <c r="C7" s="3"/>
      <c r="D7" s="2" t="s">
        <v>42</v>
      </c>
      <c r="E7" s="6">
        <f>B7*0.04</f>
        <v>24000000</v>
      </c>
    </row>
    <row r="8" spans="1:5" x14ac:dyDescent="0.2">
      <c r="A8" s="3"/>
      <c r="B8" s="3"/>
      <c r="C8" s="3"/>
      <c r="D8" s="3"/>
      <c r="E8" s="3"/>
    </row>
    <row r="9" spans="1:5" x14ac:dyDescent="0.2">
      <c r="A9" s="4" t="s">
        <v>17</v>
      </c>
      <c r="B9" s="6" cm="1">
        <f t="array" ref="B9">SUM(C5:E5*C3:E3)</f>
        <v>600000000</v>
      </c>
      <c r="C9" s="3"/>
      <c r="D9" s="4" t="s">
        <v>18</v>
      </c>
      <c r="E9" s="6" cm="1">
        <f t="array" ref="E9">SUM(C5:E5*C4:E4)</f>
        <v>555000000</v>
      </c>
    </row>
    <row r="10" spans="1:5" x14ac:dyDescent="0.2">
      <c r="A10" s="3"/>
      <c r="B10" s="3"/>
      <c r="C10" s="3"/>
      <c r="D10" s="3"/>
      <c r="E10" s="3"/>
    </row>
    <row r="11" spans="1:5" x14ac:dyDescent="0.2">
      <c r="A11" s="18" t="s">
        <v>20</v>
      </c>
      <c r="B11" s="2"/>
      <c r="C11" s="10" t="s">
        <v>47</v>
      </c>
      <c r="D11" s="10" t="s">
        <v>48</v>
      </c>
      <c r="E11" s="10" t="s">
        <v>49</v>
      </c>
    </row>
    <row r="12" spans="1:5" x14ac:dyDescent="0.2">
      <c r="A12" s="18"/>
      <c r="B12" s="2" t="s">
        <v>44</v>
      </c>
      <c r="C12" s="6">
        <f>C5+$E$7</f>
        <v>924000000</v>
      </c>
      <c r="D12" s="6">
        <f>D5+$E$7</f>
        <v>624000000</v>
      </c>
      <c r="E12" s="6">
        <f>E5+$E$7</f>
        <v>324000000</v>
      </c>
    </row>
    <row r="13" spans="1:5" x14ac:dyDescent="0.2">
      <c r="A13" s="18"/>
      <c r="B13" s="2" t="s">
        <v>45</v>
      </c>
      <c r="C13" s="6">
        <f>IF($B$7&lt;C12,$B$7,C12)</f>
        <v>600000000</v>
      </c>
      <c r="D13" s="6">
        <f t="shared" ref="D13:E13" si="1">IF($B$7&lt;D12,$B$7,D12)</f>
        <v>600000000</v>
      </c>
      <c r="E13" s="6">
        <f t="shared" si="1"/>
        <v>324000000</v>
      </c>
    </row>
    <row r="14" spans="1:5" x14ac:dyDescent="0.2">
      <c r="A14" s="18"/>
      <c r="B14" s="2" t="s">
        <v>46</v>
      </c>
      <c r="C14" s="6">
        <f>C12-C13</f>
        <v>324000000</v>
      </c>
      <c r="D14" s="6">
        <f t="shared" ref="D14:E14" si="2">D12-D13</f>
        <v>24000000</v>
      </c>
      <c r="E14" s="6">
        <f t="shared" si="2"/>
        <v>0</v>
      </c>
    </row>
    <row r="15" spans="1:5" x14ac:dyDescent="0.2">
      <c r="A15" s="3"/>
      <c r="B15" s="3"/>
      <c r="C15" s="3"/>
      <c r="D15" s="3"/>
      <c r="E15" s="3"/>
    </row>
    <row r="16" spans="1:5" x14ac:dyDescent="0.2">
      <c r="A16" s="27"/>
      <c r="B16" s="19" t="s">
        <v>43</v>
      </c>
      <c r="C16" s="19"/>
      <c r="D16" s="3"/>
      <c r="E16" s="2" t="s">
        <v>50</v>
      </c>
    </row>
    <row r="17" spans="1:5" x14ac:dyDescent="0.2">
      <c r="A17" s="28"/>
      <c r="B17" s="2" t="s">
        <v>38</v>
      </c>
      <c r="C17" s="2" t="s">
        <v>39</v>
      </c>
      <c r="D17" s="3"/>
      <c r="E17" s="6">
        <f>B18-C18</f>
        <v>45000000</v>
      </c>
    </row>
    <row r="18" spans="1:5" x14ac:dyDescent="0.2">
      <c r="A18" s="9" t="s">
        <v>44</v>
      </c>
      <c r="B18" s="6" cm="1">
        <f t="array" ref="B18">SUM(C12:E12*$C$3:$E$3)</f>
        <v>624000000</v>
      </c>
      <c r="C18" s="6" cm="1">
        <f t="array" ref="C18">SUM(C12:E12*$C$4:$E$4)</f>
        <v>579000000</v>
      </c>
      <c r="D18" s="3"/>
      <c r="E18" s="3"/>
    </row>
    <row r="19" spans="1:5" x14ac:dyDescent="0.2">
      <c r="A19" s="2" t="s">
        <v>45</v>
      </c>
      <c r="B19" s="6" cm="1">
        <f t="array" ref="B19">SUM(C13:E13*$C$3:$E$3)</f>
        <v>508000000</v>
      </c>
      <c r="C19" s="6" cm="1">
        <f t="array" ref="C19">SUM(C13:E13*$C$4:$E$4)</f>
        <v>448200000</v>
      </c>
      <c r="D19" s="3"/>
      <c r="E19" s="2" t="s">
        <v>51</v>
      </c>
    </row>
    <row r="20" spans="1:5" x14ac:dyDescent="0.2">
      <c r="A20" s="2" t="s">
        <v>46</v>
      </c>
      <c r="B20" s="6" cm="1">
        <f t="array" ref="B20">SUM(C14:E14*$C$3:$E$3)</f>
        <v>116000000</v>
      </c>
      <c r="C20" s="6" cm="1">
        <f t="array" ref="C20">SUM(C14:E14*$C$4:$E$4)</f>
        <v>130800000</v>
      </c>
      <c r="D20" s="3"/>
      <c r="E20" s="6">
        <f>B9+E7-E17</f>
        <v>579000000</v>
      </c>
    </row>
  </sheetData>
  <mergeCells count="7">
    <mergeCell ref="A1:E1"/>
    <mergeCell ref="A2:E2"/>
    <mergeCell ref="B16:C16"/>
    <mergeCell ref="A11:A14"/>
    <mergeCell ref="A5:B5"/>
    <mergeCell ref="A3:A4"/>
    <mergeCell ref="A16:A17"/>
  </mergeCells>
  <phoneticPr fontId="4" type="noConversion"/>
  <conditionalFormatting sqref="B9 E9">
    <cfRule type="iconSet" priority="7">
      <iconSet iconSet="3Symbols2">
        <cfvo type="percent" val="0"/>
        <cfvo type="percent" val="33"/>
        <cfvo type="percent" val="67"/>
      </iconSet>
    </cfRule>
  </conditionalFormatting>
  <conditionalFormatting sqref="B18:C18">
    <cfRule type="colorScale" priority="2">
      <colorScale>
        <cfvo type="min"/>
        <cfvo type="percentile" val="50"/>
        <cfvo type="max"/>
        <color rgb="FFF8696B"/>
        <color rgb="FFFFEB84"/>
        <color rgb="FF63BE7B"/>
      </colorScale>
    </cfRule>
  </conditionalFormatting>
  <conditionalFormatting sqref="B20:C20">
    <cfRule type="iconSet" priority="1">
      <iconSet iconSet="3Symbols2">
        <cfvo type="percent" val="0"/>
        <cfvo type="percent" val="33"/>
        <cfvo type="percent" val="67"/>
      </iconSet>
    </cfRule>
  </conditionalFormatting>
  <conditionalFormatting sqref="C18">
    <cfRule type="iconSet" priority="4">
      <iconSet iconSet="3Symbols2">
        <cfvo type="percent" val="0"/>
        <cfvo type="percent" val="33"/>
        <cfvo type="percent" val="67"/>
      </iconSet>
    </cfRule>
  </conditionalFormatting>
  <conditionalFormatting sqref="E20">
    <cfRule type="iconSet" priority="5">
      <iconSet iconSet="3Symbols2">
        <cfvo type="percent" val="0"/>
        <cfvo type="percent" val="33"/>
        <cfvo type="percent" val="67"/>
      </iconSet>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40FE5-80D1-2849-BA12-C7F072E3BCDA}">
  <sheetPr>
    <tabColor rgb="FF7030A0"/>
  </sheetPr>
  <dimension ref="A1:E24"/>
  <sheetViews>
    <sheetView zoomScale="219" zoomScaleNormal="219" workbookViewId="0">
      <pane ySplit="1" topLeftCell="A8" activePane="bottomLeft" state="frozen"/>
      <selection pane="bottomLeft" activeCell="B19" sqref="B19"/>
    </sheetView>
  </sheetViews>
  <sheetFormatPr baseColWidth="10" defaultRowHeight="16" x14ac:dyDescent="0.2"/>
  <cols>
    <col min="1" max="1" width="18.6640625" bestFit="1" customWidth="1"/>
    <col min="2" max="5" width="14.33203125" bestFit="1" customWidth="1"/>
  </cols>
  <sheetData>
    <row r="1" spans="1:5" x14ac:dyDescent="0.2">
      <c r="A1" s="29" t="s">
        <v>3</v>
      </c>
      <c r="B1" s="29"/>
      <c r="C1" s="29"/>
      <c r="D1" s="29"/>
      <c r="E1" s="29"/>
    </row>
    <row r="2" spans="1:5" x14ac:dyDescent="0.2">
      <c r="A2" s="23" t="s">
        <v>6</v>
      </c>
      <c r="B2" s="23"/>
      <c r="C2" s="23"/>
      <c r="D2" s="23"/>
      <c r="E2" s="23"/>
    </row>
    <row r="3" spans="1:5" x14ac:dyDescent="0.2">
      <c r="A3" s="2" t="s">
        <v>54</v>
      </c>
      <c r="B3" s="1" t="s">
        <v>55</v>
      </c>
      <c r="C3" s="1" t="s">
        <v>56</v>
      </c>
      <c r="D3" s="1" t="s">
        <v>57</v>
      </c>
      <c r="E3" s="1" t="s">
        <v>45</v>
      </c>
    </row>
    <row r="4" spans="1:5" x14ac:dyDescent="0.2">
      <c r="A4" s="2" t="s">
        <v>58</v>
      </c>
      <c r="B4" s="7">
        <v>0.85</v>
      </c>
      <c r="C4" s="7">
        <v>0.7</v>
      </c>
      <c r="D4" s="7">
        <v>0.5</v>
      </c>
      <c r="E4" s="7">
        <v>0.4</v>
      </c>
    </row>
    <row r="5" spans="1:5" x14ac:dyDescent="0.2">
      <c r="A5" s="2" t="s">
        <v>59</v>
      </c>
      <c r="B5" s="6">
        <v>65000000</v>
      </c>
      <c r="C5" s="6">
        <v>75000000</v>
      </c>
      <c r="D5" s="6">
        <v>50000000</v>
      </c>
      <c r="E5" s="6">
        <v>40000000</v>
      </c>
    </row>
    <row r="6" spans="1:5" x14ac:dyDescent="0.2">
      <c r="A6" s="3"/>
      <c r="B6" s="3"/>
      <c r="C6" s="3"/>
      <c r="D6" s="3"/>
      <c r="E6" s="3"/>
    </row>
    <row r="7" spans="1:5" x14ac:dyDescent="0.2">
      <c r="A7" s="2" t="s">
        <v>96</v>
      </c>
      <c r="B7" s="6">
        <v>15000000</v>
      </c>
      <c r="C7" s="3"/>
      <c r="D7" s="2" t="s">
        <v>95</v>
      </c>
      <c r="E7" s="6">
        <v>30000000</v>
      </c>
    </row>
    <row r="8" spans="1:5" x14ac:dyDescent="0.2">
      <c r="A8" s="3"/>
      <c r="B8" s="3"/>
      <c r="C8" s="3"/>
      <c r="D8" s="3"/>
      <c r="E8" s="3"/>
    </row>
    <row r="9" spans="1:5" x14ac:dyDescent="0.2">
      <c r="A9" s="18" t="s">
        <v>17</v>
      </c>
      <c r="B9" s="18"/>
      <c r="C9" s="18"/>
      <c r="D9" s="18"/>
      <c r="E9" s="18"/>
    </row>
    <row r="10" spans="1:5" x14ac:dyDescent="0.2">
      <c r="A10" s="2" t="s">
        <v>54</v>
      </c>
      <c r="B10" s="1" t="s">
        <v>55</v>
      </c>
      <c r="C10" s="1" t="s">
        <v>56</v>
      </c>
      <c r="D10" s="1" t="s">
        <v>57</v>
      </c>
      <c r="E10" s="1" t="s">
        <v>45</v>
      </c>
    </row>
    <row r="11" spans="1:5" x14ac:dyDescent="0.2">
      <c r="A11" s="2" t="s">
        <v>60</v>
      </c>
      <c r="B11" s="6">
        <f>B5*B4</f>
        <v>55250000</v>
      </c>
      <c r="C11" s="6">
        <f>C5*C4</f>
        <v>52500000</v>
      </c>
      <c r="D11" s="6">
        <f>D5*D4</f>
        <v>25000000</v>
      </c>
      <c r="E11" s="6">
        <f>E5*E4</f>
        <v>16000000</v>
      </c>
    </row>
    <row r="12" spans="1:5" x14ac:dyDescent="0.2">
      <c r="A12" s="3"/>
      <c r="B12" s="3"/>
      <c r="C12" s="3"/>
      <c r="D12" s="3"/>
      <c r="E12" s="3"/>
    </row>
    <row r="13" spans="1:5" x14ac:dyDescent="0.2">
      <c r="A13" s="18" t="s">
        <v>18</v>
      </c>
      <c r="B13" s="18"/>
      <c r="C13" s="18"/>
      <c r="D13" s="18"/>
      <c r="E13" s="18"/>
    </row>
    <row r="14" spans="1:5" x14ac:dyDescent="0.2">
      <c r="A14" s="2" t="s">
        <v>54</v>
      </c>
      <c r="B14" s="1" t="s">
        <v>55</v>
      </c>
      <c r="C14" s="1" t="s">
        <v>56</v>
      </c>
      <c r="D14" s="1" t="s">
        <v>57</v>
      </c>
      <c r="E14" s="1" t="s">
        <v>45</v>
      </c>
    </row>
    <row r="15" spans="1:5" x14ac:dyDescent="0.2">
      <c r="A15" s="2" t="s">
        <v>64</v>
      </c>
      <c r="B15" s="6">
        <f>B11-$B$7*B4</f>
        <v>42500000</v>
      </c>
      <c r="C15" s="6">
        <f>C11-$B$7*C4</f>
        <v>42000000</v>
      </c>
      <c r="D15" s="6">
        <f>D11-$B$7*D4</f>
        <v>17500000</v>
      </c>
      <c r="E15" s="6">
        <f>E11-$B$7*E4</f>
        <v>10000000</v>
      </c>
    </row>
    <row r="16" spans="1:5" x14ac:dyDescent="0.2">
      <c r="A16" s="2" t="s">
        <v>65</v>
      </c>
      <c r="B16" s="6">
        <f>B11-$E$7*B4</f>
        <v>29750000</v>
      </c>
      <c r="C16" s="6">
        <f>C11-$E$7*C4</f>
        <v>31500000</v>
      </c>
      <c r="D16" s="6">
        <f>D11-$E$7*D4</f>
        <v>10000000</v>
      </c>
      <c r="E16" s="6">
        <f>E11-$E$7*E4</f>
        <v>4000000</v>
      </c>
    </row>
    <row r="17" spans="1:5" x14ac:dyDescent="0.2">
      <c r="A17" s="3"/>
      <c r="B17" s="3"/>
      <c r="C17" s="3"/>
      <c r="D17" s="3"/>
      <c r="E17" s="3"/>
    </row>
    <row r="18" spans="1:5" x14ac:dyDescent="0.2">
      <c r="A18" s="2" t="s">
        <v>66</v>
      </c>
      <c r="B18" s="2" t="s">
        <v>61</v>
      </c>
      <c r="C18" s="2" t="s">
        <v>62</v>
      </c>
      <c r="D18" s="2" t="s">
        <v>63</v>
      </c>
      <c r="E18" s="3"/>
    </row>
    <row r="19" spans="1:5" x14ac:dyDescent="0.2">
      <c r="A19" s="2" t="s">
        <v>54</v>
      </c>
      <c r="B19" s="1" t="str">
        <f>_xlfn.XLOOKUP(MAX(B11:E11),B11:E11,B10:E10)</f>
        <v>A</v>
      </c>
      <c r="C19" s="1" t="str">
        <f>_xlfn.XLOOKUP(MAX(B15:E15),B15:E15,B14:E14)</f>
        <v>A</v>
      </c>
      <c r="D19" s="1" t="str">
        <f>_xlfn.XLOOKUP(MAX(B16:E16),B16:E16,B14:E14)</f>
        <v>B</v>
      </c>
      <c r="E19" s="3"/>
    </row>
    <row r="21" spans="1:5" ht="16" customHeight="1" x14ac:dyDescent="0.2">
      <c r="A21" s="30" t="s">
        <v>67</v>
      </c>
      <c r="B21" s="30"/>
      <c r="C21" s="30"/>
      <c r="D21" s="30"/>
      <c r="E21" s="30"/>
    </row>
    <row r="22" spans="1:5" x14ac:dyDescent="0.2">
      <c r="A22" s="30"/>
      <c r="B22" s="30"/>
      <c r="C22" s="30"/>
      <c r="D22" s="30"/>
      <c r="E22" s="30"/>
    </row>
    <row r="23" spans="1:5" x14ac:dyDescent="0.2">
      <c r="A23" s="30"/>
      <c r="B23" s="30"/>
      <c r="C23" s="30"/>
      <c r="D23" s="30"/>
      <c r="E23" s="30"/>
    </row>
    <row r="24" spans="1:5" x14ac:dyDescent="0.2">
      <c r="A24" s="30"/>
      <c r="B24" s="30"/>
      <c r="C24" s="30"/>
      <c r="D24" s="30"/>
      <c r="E24" s="30"/>
    </row>
  </sheetData>
  <mergeCells count="5">
    <mergeCell ref="A1:E1"/>
    <mergeCell ref="A2:E2"/>
    <mergeCell ref="A13:E13"/>
    <mergeCell ref="A9:E9"/>
    <mergeCell ref="A21:E24"/>
  </mergeCells>
  <conditionalFormatting sqref="B11:E11">
    <cfRule type="dataBar" priority="3">
      <dataBar>
        <cfvo type="min"/>
        <cfvo type="max"/>
        <color rgb="FF63C384"/>
      </dataBar>
      <extLst>
        <ext xmlns:x14="http://schemas.microsoft.com/office/spreadsheetml/2009/9/main" uri="{B025F937-C7B1-47D3-B67F-A62EFF666E3E}">
          <x14:id>{F76EBBF2-9C07-0C4E-AA32-4B6BCC7A64BB}</x14:id>
        </ext>
      </extLst>
    </cfRule>
  </conditionalFormatting>
  <conditionalFormatting sqref="B15:E15">
    <cfRule type="dataBar" priority="2">
      <dataBar>
        <cfvo type="min"/>
        <cfvo type="max"/>
        <color rgb="FFFFB628"/>
      </dataBar>
      <extLst>
        <ext xmlns:x14="http://schemas.microsoft.com/office/spreadsheetml/2009/9/main" uri="{B025F937-C7B1-47D3-B67F-A62EFF666E3E}">
          <x14:id>{A0AE7477-73F4-B343-A3BC-F38BC6D80DC8}</x14:id>
        </ext>
      </extLst>
    </cfRule>
  </conditionalFormatting>
  <conditionalFormatting sqref="B16:E16">
    <cfRule type="dataBar" priority="1">
      <dataBar>
        <cfvo type="min"/>
        <cfvo type="max"/>
        <color rgb="FF638EC6"/>
      </dataBar>
      <extLst>
        <ext xmlns:x14="http://schemas.microsoft.com/office/spreadsheetml/2009/9/main" uri="{B025F937-C7B1-47D3-B67F-A62EFF666E3E}">
          <x14:id>{6EB40003-7BEA-7443-9FC8-70219B3183C5}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76EBBF2-9C07-0C4E-AA32-4B6BCC7A64BB}">
            <x14:dataBar minLength="0" maxLength="100" border="1" negativeBarBorderColorSameAsPositive="0">
              <x14:cfvo type="autoMin"/>
              <x14:cfvo type="autoMax"/>
              <x14:borderColor rgb="FF63C384"/>
              <x14:negativeFillColor rgb="FFFF0000"/>
              <x14:negativeBorderColor rgb="FFFF0000"/>
              <x14:axisColor rgb="FF000000"/>
            </x14:dataBar>
          </x14:cfRule>
          <xm:sqref>B11:E11</xm:sqref>
        </x14:conditionalFormatting>
        <x14:conditionalFormatting xmlns:xm="http://schemas.microsoft.com/office/excel/2006/main">
          <x14:cfRule type="dataBar" id="{A0AE7477-73F4-B343-A3BC-F38BC6D80DC8}">
            <x14:dataBar minLength="0" maxLength="100" border="1" negativeBarBorderColorSameAsPositive="0">
              <x14:cfvo type="autoMin"/>
              <x14:cfvo type="autoMax"/>
              <x14:borderColor rgb="FFFFB628"/>
              <x14:negativeFillColor rgb="FFFF0000"/>
              <x14:negativeBorderColor rgb="FFFF0000"/>
              <x14:axisColor rgb="FF000000"/>
            </x14:dataBar>
          </x14:cfRule>
          <xm:sqref>B15:E15</xm:sqref>
        </x14:conditionalFormatting>
        <x14:conditionalFormatting xmlns:xm="http://schemas.microsoft.com/office/excel/2006/main">
          <x14:cfRule type="dataBar" id="{6EB40003-7BEA-7443-9FC8-70219B3183C5}">
            <x14:dataBar minLength="0" maxLength="100" border="1" negativeBarBorderColorSameAsPositive="0">
              <x14:cfvo type="autoMin"/>
              <x14:cfvo type="autoMax"/>
              <x14:borderColor rgb="FF638EC6"/>
              <x14:negativeFillColor rgb="FFFF0000"/>
              <x14:negativeBorderColor rgb="FFFF0000"/>
              <x14:axisColor rgb="FF000000"/>
            </x14:dataBar>
          </x14:cfRule>
          <xm:sqref>B16:E16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6AC84-35C1-E54F-B4F5-30FB8547B90F}">
  <sheetPr>
    <tabColor theme="1" tint="0.14999847407452621"/>
  </sheetPr>
  <dimension ref="A1:F17"/>
  <sheetViews>
    <sheetView topLeftCell="A3" zoomScale="245" zoomScaleNormal="245" workbookViewId="0">
      <selection activeCell="F17" sqref="F17"/>
    </sheetView>
  </sheetViews>
  <sheetFormatPr baseColWidth="10" defaultRowHeight="16" x14ac:dyDescent="0.2"/>
  <cols>
    <col min="1" max="1" width="13.5" bestFit="1" customWidth="1"/>
    <col min="6" max="6" width="14.5" bestFit="1" customWidth="1"/>
  </cols>
  <sheetData>
    <row r="1" spans="1:6" x14ac:dyDescent="0.2">
      <c r="A1" s="24" t="s">
        <v>4</v>
      </c>
      <c r="B1" s="24"/>
      <c r="C1" s="24"/>
      <c r="D1" s="24"/>
      <c r="E1" s="24"/>
      <c r="F1" s="24"/>
    </row>
    <row r="2" spans="1:6" x14ac:dyDescent="0.2">
      <c r="A2" s="23" t="s">
        <v>6</v>
      </c>
      <c r="B2" s="23"/>
      <c r="C2" s="23"/>
      <c r="D2" s="23"/>
      <c r="E2" s="23"/>
      <c r="F2" s="23"/>
    </row>
    <row r="3" spans="1:6" x14ac:dyDescent="0.2">
      <c r="A3" s="2" t="s">
        <v>40</v>
      </c>
      <c r="B3" s="7">
        <f>1/3</f>
        <v>0.33333333333333331</v>
      </c>
      <c r="C3" s="7">
        <f t="shared" ref="C3:D3" si="0">1/3</f>
        <v>0.33333333333333331</v>
      </c>
      <c r="D3" s="7">
        <f t="shared" si="0"/>
        <v>0.33333333333333331</v>
      </c>
      <c r="E3" s="3"/>
      <c r="F3" s="2" t="s">
        <v>70</v>
      </c>
    </row>
    <row r="4" spans="1:6" x14ac:dyDescent="0.2">
      <c r="A4" s="2" t="s">
        <v>68</v>
      </c>
      <c r="B4" s="13">
        <v>120</v>
      </c>
      <c r="C4" s="13">
        <v>100</v>
      </c>
      <c r="D4" s="13">
        <v>80</v>
      </c>
      <c r="E4" s="3"/>
      <c r="F4" s="13" cm="1">
        <f t="array" ref="F4">SUM(B3:D3*B4:D4)</f>
        <v>100</v>
      </c>
    </row>
    <row r="5" spans="1:6" x14ac:dyDescent="0.2">
      <c r="A5" s="3"/>
      <c r="B5" s="3"/>
      <c r="C5" s="3"/>
      <c r="D5" s="3"/>
      <c r="E5" s="3"/>
      <c r="F5" s="3"/>
    </row>
    <row r="6" spans="1:6" x14ac:dyDescent="0.2">
      <c r="A6" s="18" t="s">
        <v>17</v>
      </c>
      <c r="B6" s="18"/>
      <c r="C6" s="18"/>
      <c r="D6" s="18"/>
      <c r="E6" s="18"/>
      <c r="F6" s="18"/>
    </row>
    <row r="7" spans="1:6" x14ac:dyDescent="0.2">
      <c r="A7" s="26" t="s">
        <v>69</v>
      </c>
      <c r="B7" s="26"/>
      <c r="C7" s="26"/>
      <c r="D7" s="26"/>
      <c r="E7" s="26"/>
      <c r="F7" s="26"/>
    </row>
    <row r="8" spans="1:6" x14ac:dyDescent="0.2">
      <c r="A8" s="26"/>
      <c r="B8" s="26"/>
      <c r="C8" s="26"/>
      <c r="D8" s="26"/>
      <c r="E8" s="26"/>
      <c r="F8" s="26"/>
    </row>
    <row r="9" spans="1:6" x14ac:dyDescent="0.2">
      <c r="A9" s="26"/>
      <c r="B9" s="26"/>
      <c r="C9" s="26"/>
      <c r="D9" s="26"/>
      <c r="E9" s="26"/>
      <c r="F9" s="26"/>
    </row>
    <row r="10" spans="1:6" x14ac:dyDescent="0.2">
      <c r="A10" s="3"/>
      <c r="B10" s="3"/>
      <c r="C10" s="3"/>
      <c r="D10" s="3"/>
      <c r="E10" s="3"/>
      <c r="F10" s="3"/>
    </row>
    <row r="11" spans="1:6" x14ac:dyDescent="0.2">
      <c r="A11" s="18" t="s">
        <v>18</v>
      </c>
      <c r="B11" s="18"/>
      <c r="C11" s="18"/>
      <c r="D11" s="18"/>
      <c r="E11" s="18"/>
      <c r="F11" s="18"/>
    </row>
    <row r="12" spans="1:6" x14ac:dyDescent="0.2">
      <c r="A12" s="26" t="s">
        <v>71</v>
      </c>
      <c r="B12" s="26"/>
      <c r="C12" s="26"/>
      <c r="D12" s="26"/>
      <c r="E12" s="26"/>
      <c r="F12" s="26"/>
    </row>
    <row r="13" spans="1:6" x14ac:dyDescent="0.2">
      <c r="A13" s="26"/>
      <c r="B13" s="26"/>
      <c r="C13" s="26"/>
      <c r="D13" s="26"/>
      <c r="E13" s="26"/>
      <c r="F13" s="26"/>
    </row>
    <row r="14" spans="1:6" x14ac:dyDescent="0.2">
      <c r="A14" s="26"/>
      <c r="B14" s="26"/>
      <c r="C14" s="26"/>
      <c r="D14" s="26"/>
      <c r="E14" s="26"/>
      <c r="F14" s="26"/>
    </row>
    <row r="15" spans="1:6" x14ac:dyDescent="0.2">
      <c r="A15" s="1"/>
      <c r="B15" s="2" t="s">
        <v>47</v>
      </c>
      <c r="C15" s="2" t="s">
        <v>48</v>
      </c>
      <c r="D15" s="2" t="s">
        <v>49</v>
      </c>
      <c r="E15" s="12" t="s">
        <v>74</v>
      </c>
    </row>
    <row r="16" spans="1:6" x14ac:dyDescent="0.2">
      <c r="A16" s="2" t="s">
        <v>72</v>
      </c>
      <c r="B16" s="13">
        <f>B4*(1-0.03)</f>
        <v>116.39999999999999</v>
      </c>
      <c r="C16" s="13">
        <f t="shared" ref="C16:D16" si="1">C4*(1-0.03)</f>
        <v>97</v>
      </c>
      <c r="D16" s="13">
        <f t="shared" si="1"/>
        <v>77.599999999999994</v>
      </c>
      <c r="E16" s="12" t="s">
        <v>75</v>
      </c>
      <c r="F16" s="2" t="s">
        <v>76</v>
      </c>
    </row>
    <row r="17" spans="1:6" x14ac:dyDescent="0.2">
      <c r="A17" s="2" t="s">
        <v>73</v>
      </c>
      <c r="B17" s="1" t="str">
        <f>IF(B16-$F$4&lt;0,$E$15,$E$16)</f>
        <v>NO</v>
      </c>
      <c r="C17" s="1" t="str">
        <f>IF(C16-$F$4&lt;0,$E$15,$E$16)</f>
        <v>YES</v>
      </c>
      <c r="D17" s="1" t="str">
        <f>IF(D16-$F$4&lt;0,$E$15,$E$16)</f>
        <v>YES</v>
      </c>
      <c r="E17" s="3"/>
      <c r="F17" s="13">
        <f>SUM(C4:D4)/2</f>
        <v>90</v>
      </c>
    </row>
  </sheetData>
  <mergeCells count="6">
    <mergeCell ref="A7:F9"/>
    <mergeCell ref="A12:F14"/>
    <mergeCell ref="A1:F1"/>
    <mergeCell ref="A2:F2"/>
    <mergeCell ref="A11:F11"/>
    <mergeCell ref="A6:F6"/>
  </mergeCells>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CD66-4BBA-924B-866F-0954D7C09286}">
  <sheetPr>
    <tabColor rgb="FF8C6909"/>
  </sheetPr>
  <dimension ref="A1:H29"/>
  <sheetViews>
    <sheetView tabSelected="1" zoomScale="207" zoomScaleNormal="207" workbookViewId="0">
      <pane ySplit="1" topLeftCell="A13" activePane="bottomLeft" state="frozen"/>
      <selection pane="bottomLeft" activeCell="H29" sqref="H29"/>
    </sheetView>
  </sheetViews>
  <sheetFormatPr baseColWidth="10" defaultRowHeight="16" x14ac:dyDescent="0.2"/>
  <cols>
    <col min="1" max="1" width="15.1640625" bestFit="1" customWidth="1"/>
    <col min="3" max="3" width="11.83203125" customWidth="1"/>
    <col min="8" max="8" width="13.5" customWidth="1"/>
  </cols>
  <sheetData>
    <row r="1" spans="1:8" x14ac:dyDescent="0.2">
      <c r="A1" s="24" t="s">
        <v>5</v>
      </c>
      <c r="B1" s="24"/>
      <c r="C1" s="24"/>
      <c r="D1" s="24"/>
      <c r="E1" s="24"/>
      <c r="F1" s="24"/>
      <c r="G1" s="24"/>
      <c r="H1" s="24"/>
    </row>
    <row r="2" spans="1:8" x14ac:dyDescent="0.2">
      <c r="A2" s="23" t="s">
        <v>6</v>
      </c>
      <c r="B2" s="23"/>
      <c r="C2" s="23"/>
      <c r="D2" s="23"/>
      <c r="E2" s="23"/>
      <c r="F2" s="3"/>
      <c r="G2" s="18" t="s">
        <v>17</v>
      </c>
      <c r="H2" s="18"/>
    </row>
    <row r="3" spans="1:8" x14ac:dyDescent="0.2">
      <c r="A3" s="2"/>
      <c r="B3" s="19" t="s">
        <v>78</v>
      </c>
      <c r="C3" s="19"/>
      <c r="D3" s="19" t="s">
        <v>79</v>
      </c>
      <c r="E3" s="19"/>
      <c r="F3" s="3"/>
      <c r="G3" s="2" t="s">
        <v>81</v>
      </c>
      <c r="H3" s="2" t="s">
        <v>82</v>
      </c>
    </row>
    <row r="4" spans="1:8" x14ac:dyDescent="0.2">
      <c r="A4" s="2" t="s">
        <v>40</v>
      </c>
      <c r="B4" s="7">
        <v>0.5</v>
      </c>
      <c r="C4" s="7">
        <v>0.5</v>
      </c>
      <c r="D4" s="7">
        <v>0.5</v>
      </c>
      <c r="E4" s="7">
        <v>0.5</v>
      </c>
      <c r="F4" s="3"/>
      <c r="G4" s="1">
        <v>1</v>
      </c>
      <c r="H4" s="6" cm="1">
        <f t="array" ref="H4">SUM(B5:C5*B4:C4)-B7</f>
        <v>500</v>
      </c>
    </row>
    <row r="5" spans="1:8" x14ac:dyDescent="0.2">
      <c r="A5" s="2" t="s">
        <v>77</v>
      </c>
      <c r="B5" s="6">
        <v>1000</v>
      </c>
      <c r="C5" s="6">
        <v>1000</v>
      </c>
      <c r="D5" s="6">
        <v>1600</v>
      </c>
      <c r="E5" s="6">
        <v>300</v>
      </c>
      <c r="F5" s="3"/>
      <c r="G5" s="1">
        <v>2</v>
      </c>
      <c r="H5" s="6" cm="1">
        <f t="array" ref="H5">SUM(D5:E5*D4:E4)-B7</f>
        <v>450</v>
      </c>
    </row>
    <row r="6" spans="1:8" x14ac:dyDescent="0.2">
      <c r="A6" s="3"/>
      <c r="B6" s="3"/>
      <c r="C6" s="3"/>
      <c r="D6" s="3"/>
      <c r="E6" s="3"/>
      <c r="F6" s="3"/>
      <c r="G6" s="3"/>
      <c r="H6" s="3"/>
    </row>
    <row r="7" spans="1:8" x14ac:dyDescent="0.2">
      <c r="A7" s="2" t="s">
        <v>80</v>
      </c>
      <c r="B7" s="6">
        <v>500</v>
      </c>
      <c r="C7" s="3"/>
      <c r="D7" s="3"/>
      <c r="E7" s="3"/>
      <c r="F7" s="3"/>
      <c r="G7" s="18" t="s">
        <v>18</v>
      </c>
      <c r="H7" s="18"/>
    </row>
    <row r="8" spans="1:8" ht="16" customHeight="1" x14ac:dyDescent="0.2">
      <c r="A8" s="11" t="s">
        <v>92</v>
      </c>
      <c r="B8" s="7">
        <v>0</v>
      </c>
      <c r="C8" s="3"/>
      <c r="D8" s="3"/>
      <c r="E8" s="3"/>
      <c r="F8" s="3"/>
      <c r="G8" s="2" t="s">
        <v>93</v>
      </c>
      <c r="H8" s="6" cm="1">
        <f t="array" ref="H8">SUM(B5:C5*B4:C4)</f>
        <v>1000</v>
      </c>
    </row>
    <row r="9" spans="1:8" x14ac:dyDescent="0.2">
      <c r="A9" s="2" t="s">
        <v>87</v>
      </c>
      <c r="B9" s="6">
        <v>500</v>
      </c>
      <c r="C9" s="3"/>
      <c r="D9" s="3"/>
      <c r="E9" s="3"/>
      <c r="F9" s="3"/>
      <c r="G9" s="2" t="s">
        <v>94</v>
      </c>
      <c r="H9" s="6" cm="1">
        <f t="array" ref="H9">SUM(D5:E5*D4:E4)</f>
        <v>950</v>
      </c>
    </row>
    <row r="10" spans="1:8" x14ac:dyDescent="0.2">
      <c r="A10" s="3"/>
      <c r="B10" s="3"/>
      <c r="C10" s="3"/>
      <c r="D10" s="3"/>
      <c r="E10" s="3"/>
      <c r="F10" s="3"/>
      <c r="G10" s="3"/>
      <c r="H10" s="3"/>
    </row>
    <row r="11" spans="1:8" x14ac:dyDescent="0.2">
      <c r="A11" s="18" t="s">
        <v>20</v>
      </c>
      <c r="B11" s="18"/>
      <c r="C11" s="18"/>
      <c r="D11" s="18"/>
      <c r="E11" s="18"/>
      <c r="F11" s="3"/>
      <c r="G11" s="3"/>
      <c r="H11" s="3"/>
    </row>
    <row r="12" spans="1:8" x14ac:dyDescent="0.2">
      <c r="A12" s="19" t="s">
        <v>90</v>
      </c>
      <c r="B12" s="22" t="s">
        <v>91</v>
      </c>
      <c r="C12" s="25" t="s">
        <v>83</v>
      </c>
      <c r="D12" s="19" t="s">
        <v>84</v>
      </c>
      <c r="E12" s="19"/>
      <c r="F12" s="3"/>
      <c r="G12" s="3"/>
      <c r="H12" s="3"/>
    </row>
    <row r="13" spans="1:8" x14ac:dyDescent="0.2">
      <c r="A13" s="19"/>
      <c r="B13" s="22"/>
      <c r="C13" s="25"/>
      <c r="D13" s="14">
        <v>0.5</v>
      </c>
      <c r="E13" s="14">
        <v>0.5</v>
      </c>
      <c r="F13" s="3"/>
      <c r="G13" s="3"/>
      <c r="H13" s="3"/>
    </row>
    <row r="14" spans="1:8" x14ac:dyDescent="0.2">
      <c r="A14" s="21" t="s">
        <v>85</v>
      </c>
      <c r="B14" s="2" t="s">
        <v>44</v>
      </c>
      <c r="C14" s="15" cm="1">
        <f t="array" ref="C14">SUM(B5:C5*B4:C4)</f>
        <v>1000</v>
      </c>
      <c r="D14" s="6">
        <v>1000</v>
      </c>
      <c r="E14" s="6">
        <v>1000</v>
      </c>
      <c r="F14" s="3"/>
      <c r="G14" s="3"/>
      <c r="H14" s="3"/>
    </row>
    <row r="15" spans="1:8" x14ac:dyDescent="0.2">
      <c r="A15" s="21"/>
      <c r="B15" s="2" t="s">
        <v>45</v>
      </c>
      <c r="C15" s="6" cm="1">
        <f t="array" ref="C15">SUM(D15:E15*D23:E23)</f>
        <v>500</v>
      </c>
      <c r="D15" s="6">
        <f>IF($B$9&lt;D14,$B$9,D14)</f>
        <v>500</v>
      </c>
      <c r="E15" s="6">
        <f>IF($B$9&lt;E14,$B$9,E14)</f>
        <v>500</v>
      </c>
      <c r="F15" s="3"/>
      <c r="G15" s="3"/>
      <c r="H15" s="3"/>
    </row>
    <row r="16" spans="1:8" x14ac:dyDescent="0.2">
      <c r="A16" s="21"/>
      <c r="B16" s="2" t="s">
        <v>46</v>
      </c>
      <c r="C16" s="6">
        <f>C14-C15</f>
        <v>500</v>
      </c>
      <c r="D16" s="6">
        <f t="shared" ref="D16:E16" si="0">D14-D15</f>
        <v>500</v>
      </c>
      <c r="E16" s="6">
        <f t="shared" si="0"/>
        <v>500</v>
      </c>
      <c r="F16" s="3"/>
      <c r="G16" s="3"/>
      <c r="H16" s="3"/>
    </row>
    <row r="17" spans="1:8" x14ac:dyDescent="0.2">
      <c r="A17" s="20" t="s">
        <v>86</v>
      </c>
      <c r="B17" s="2" t="s">
        <v>44</v>
      </c>
      <c r="C17" s="6" cm="1">
        <f t="array" ref="C17">SUM(D5:E5*D4:E4)</f>
        <v>950</v>
      </c>
      <c r="D17" s="6">
        <v>1600</v>
      </c>
      <c r="E17" s="6">
        <v>300</v>
      </c>
      <c r="F17" s="3"/>
      <c r="G17" s="3"/>
      <c r="H17" s="3"/>
    </row>
    <row r="18" spans="1:8" x14ac:dyDescent="0.2">
      <c r="A18" s="20"/>
      <c r="B18" s="2" t="s">
        <v>45</v>
      </c>
      <c r="C18" s="6" cm="1">
        <f t="array" ref="C18">SUM(D18:E18*D23:E23)</f>
        <v>400</v>
      </c>
      <c r="D18" s="6">
        <f>IF($B$9&lt;D17,$B$9,D17)</f>
        <v>500</v>
      </c>
      <c r="E18" s="6">
        <f>IF($B$9&lt;E17,$B$9,E17)</f>
        <v>300</v>
      </c>
      <c r="F18" s="3"/>
      <c r="G18" s="3"/>
      <c r="H18" s="3"/>
    </row>
    <row r="19" spans="1:8" x14ac:dyDescent="0.2">
      <c r="A19" s="20"/>
      <c r="B19" s="2" t="s">
        <v>46</v>
      </c>
      <c r="C19" s="6">
        <f>C17-C18</f>
        <v>550</v>
      </c>
      <c r="D19" s="6">
        <f t="shared" ref="D19:E19" si="1">D17-D18</f>
        <v>1100</v>
      </c>
      <c r="E19" s="6">
        <f t="shared" si="1"/>
        <v>0</v>
      </c>
      <c r="F19" s="3"/>
      <c r="G19" s="3"/>
      <c r="H19" s="3"/>
    </row>
    <row r="20" spans="1:8" x14ac:dyDescent="0.2">
      <c r="A20" s="3"/>
      <c r="B20" s="3"/>
      <c r="C20" s="3"/>
      <c r="D20" s="3"/>
      <c r="E20" s="3"/>
      <c r="F20" s="3"/>
      <c r="G20" s="3"/>
      <c r="H20" s="3"/>
    </row>
    <row r="21" spans="1:8" x14ac:dyDescent="0.2">
      <c r="A21" s="18" t="s">
        <v>88</v>
      </c>
      <c r="B21" s="18"/>
      <c r="C21" s="18"/>
      <c r="D21" s="18"/>
      <c r="E21" s="18"/>
      <c r="F21" s="3"/>
      <c r="G21" s="3"/>
      <c r="H21" s="3"/>
    </row>
    <row r="22" spans="1:8" x14ac:dyDescent="0.2">
      <c r="A22" s="19" t="s">
        <v>90</v>
      </c>
      <c r="B22" s="22" t="s">
        <v>91</v>
      </c>
      <c r="C22" s="25" t="s">
        <v>83</v>
      </c>
      <c r="D22" s="19" t="s">
        <v>84</v>
      </c>
      <c r="E22" s="19"/>
      <c r="F22" s="3"/>
      <c r="G22" s="3"/>
      <c r="H22" s="3"/>
    </row>
    <row r="23" spans="1:8" x14ac:dyDescent="0.2">
      <c r="A23" s="19"/>
      <c r="B23" s="22"/>
      <c r="C23" s="25"/>
      <c r="D23" s="14">
        <v>0.5</v>
      </c>
      <c r="E23" s="14">
        <v>0.5</v>
      </c>
      <c r="F23" s="3"/>
      <c r="G23" s="3"/>
      <c r="H23" s="3"/>
    </row>
    <row r="24" spans="1:8" x14ac:dyDescent="0.2">
      <c r="A24" s="21" t="s">
        <v>85</v>
      </c>
      <c r="B24" s="2" t="s">
        <v>44</v>
      </c>
      <c r="C24" s="15">
        <v>1000</v>
      </c>
      <c r="D24" s="15">
        <v>1000</v>
      </c>
      <c r="E24" s="15">
        <v>1000</v>
      </c>
      <c r="F24" s="3"/>
      <c r="G24" s="3"/>
      <c r="H24" s="3"/>
    </row>
    <row r="25" spans="1:8" x14ac:dyDescent="0.2">
      <c r="A25" s="21"/>
      <c r="B25" s="2" t="s">
        <v>45</v>
      </c>
      <c r="C25" s="6">
        <f>D28</f>
        <v>700</v>
      </c>
      <c r="D25" s="6">
        <f>D28</f>
        <v>700</v>
      </c>
      <c r="E25" s="6">
        <f>D28</f>
        <v>700</v>
      </c>
      <c r="F25" s="3"/>
      <c r="G25" s="3"/>
      <c r="H25" s="3"/>
    </row>
    <row r="26" spans="1:8" x14ac:dyDescent="0.2">
      <c r="A26" s="21"/>
      <c r="B26" s="2" t="s">
        <v>46</v>
      </c>
      <c r="C26" s="6">
        <f>C24-C25</f>
        <v>300</v>
      </c>
      <c r="D26" s="6">
        <f t="shared" ref="D26:E26" si="2">D24-D25</f>
        <v>300</v>
      </c>
      <c r="E26" s="6">
        <f t="shared" si="2"/>
        <v>300</v>
      </c>
      <c r="F26" s="3"/>
      <c r="G26" s="18" t="s">
        <v>29</v>
      </c>
      <c r="H26" s="17" t="s">
        <v>89</v>
      </c>
    </row>
    <row r="27" spans="1:8" x14ac:dyDescent="0.2">
      <c r="A27" s="20" t="s">
        <v>86</v>
      </c>
      <c r="B27" s="2" t="s">
        <v>44</v>
      </c>
      <c r="C27" s="6">
        <v>950</v>
      </c>
      <c r="D27" s="6">
        <v>1600</v>
      </c>
      <c r="E27" s="6">
        <v>300</v>
      </c>
      <c r="F27" s="3"/>
      <c r="G27" s="18"/>
      <c r="H27" s="17"/>
    </row>
    <row r="28" spans="1:8" x14ac:dyDescent="0.2">
      <c r="A28" s="20"/>
      <c r="B28" s="2" t="s">
        <v>45</v>
      </c>
      <c r="C28" s="6">
        <v>500</v>
      </c>
      <c r="D28" s="16">
        <f>(C28-E27*E23)/D23</f>
        <v>700</v>
      </c>
      <c r="E28" s="6">
        <v>300</v>
      </c>
      <c r="F28" s="3"/>
      <c r="G28" s="18"/>
      <c r="H28" s="17"/>
    </row>
    <row r="29" spans="1:8" x14ac:dyDescent="0.2">
      <c r="A29" s="20"/>
      <c r="B29" s="2" t="s">
        <v>46</v>
      </c>
      <c r="C29" s="16">
        <f>C27-C28</f>
        <v>450</v>
      </c>
      <c r="D29" s="6">
        <f t="shared" ref="D29:E29" si="3">D27-D28</f>
        <v>900</v>
      </c>
      <c r="E29" s="6">
        <f t="shared" si="3"/>
        <v>0</v>
      </c>
      <c r="F29" s="3"/>
      <c r="G29" s="18"/>
      <c r="H29" s="6">
        <f>C19-C29</f>
        <v>100</v>
      </c>
    </row>
  </sheetData>
  <mergeCells count="22">
    <mergeCell ref="G2:H2"/>
    <mergeCell ref="A2:E2"/>
    <mergeCell ref="A1:H1"/>
    <mergeCell ref="D22:E22"/>
    <mergeCell ref="D12:E12"/>
    <mergeCell ref="A17:A19"/>
    <mergeCell ref="A14:A16"/>
    <mergeCell ref="C12:C13"/>
    <mergeCell ref="C22:C23"/>
    <mergeCell ref="A12:A13"/>
    <mergeCell ref="H26:H28"/>
    <mergeCell ref="G26:G29"/>
    <mergeCell ref="A21:E21"/>
    <mergeCell ref="A11:E11"/>
    <mergeCell ref="D3:E3"/>
    <mergeCell ref="B3:C3"/>
    <mergeCell ref="G7:H7"/>
    <mergeCell ref="A27:A29"/>
    <mergeCell ref="A24:A26"/>
    <mergeCell ref="A22:A23"/>
    <mergeCell ref="B22:B23"/>
    <mergeCell ref="B12:B13"/>
  </mergeCells>
  <conditionalFormatting sqref="C19">
    <cfRule type="iconSet" priority="2">
      <iconSet iconSet="3Symbols2">
        <cfvo type="percent" val="0"/>
        <cfvo type="percent" val="33"/>
        <cfvo type="percent" val="67"/>
      </iconSet>
    </cfRule>
  </conditionalFormatting>
  <conditionalFormatting sqref="C29">
    <cfRule type="iconSet" priority="1">
      <iconSet iconSet="3Symbols2">
        <cfvo type="percent" val="0"/>
        <cfvo type="percent" val="33"/>
        <cfvo type="percent" val="67"/>
      </iconSet>
    </cfRule>
  </conditionalFormatting>
  <conditionalFormatting sqref="H4">
    <cfRule type="iconSet" priority="6">
      <iconSet iconSet="3Symbols2">
        <cfvo type="percent" val="0"/>
        <cfvo type="percent" val="33"/>
        <cfvo type="percent" val="67"/>
      </iconSet>
    </cfRule>
  </conditionalFormatting>
  <conditionalFormatting sqref="H8">
    <cfRule type="iconSet" priority="5">
      <iconSet iconSet="3Symbols2">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4" id="{1EB63F59-18F5-8849-B7DD-CBB2F0C73F2E}">
            <x14:iconSet iconSet="3Triangles">
              <x14:cfvo type="percent">
                <xm:f>0</xm:f>
              </x14:cfvo>
              <x14:cfvo type="num" gte="0">
                <xm:f>$C$18</xm:f>
              </x14:cfvo>
              <x14:cfvo type="num" gte="0">
                <xm:f>$C$18</xm:f>
              </x14:cfvo>
            </x14:iconSet>
          </x14:cfRule>
          <xm:sqref>C18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M.C.4.1</vt:lpstr>
      <vt:lpstr>M.C.4.2</vt:lpstr>
      <vt:lpstr>M.C.4.3</vt:lpstr>
      <vt:lpstr>M.C.4.4</vt:lpstr>
      <vt:lpstr>M.C.4.5</vt:lpstr>
      <vt:lpstr>M.C.4.6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Олег Бурдуков</dc:creator>
  <cp:lastModifiedBy>Олег Бурдуков</cp:lastModifiedBy>
  <dcterms:created xsi:type="dcterms:W3CDTF">2026-04-10T09:12:08Z</dcterms:created>
  <dcterms:modified xsi:type="dcterms:W3CDTF">2026-04-14T10:38:07Z</dcterms:modified>
</cp:coreProperties>
</file>